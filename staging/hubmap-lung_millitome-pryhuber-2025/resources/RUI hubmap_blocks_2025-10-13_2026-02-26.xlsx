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 RUI" sheetId="1" r:id="rId4"/>
    <sheet state="visible" name="Key for Model Size" sheetId="2" r:id="rId5"/>
    <sheet state="visible" name="Blocks" sheetId="3" r:id="rId6"/>
    <sheet state="visible" name="Lobes" sheetId="4" r:id="rId7"/>
    <sheet state="visible" name="Slices" sheetId="5" r:id="rId8"/>
    <sheet state="visible" name="Non-terminal bronchus &amp; artery" sheetId="6" r:id="rId9"/>
    <sheet state="visible" name="Cores" sheetId="7" r:id="rId10"/>
  </sheets>
  <definedNames>
    <definedName hidden="1" localSheetId="0" name="_xlnm._FilterDatabase">'For RUI'!$A$1:$AA$1000</definedName>
    <definedName hidden="1" localSheetId="2" name="_xlnm._FilterDatabase">Blocks!$A$1:$AA$377</definedName>
  </definedNames>
  <calcPr/>
  <extLst>
    <ext uri="GoogleSheetsCustomDataVersion2">
      <go:sheetsCustomData xmlns:go="http://customooxmlschemas.google.com/" r:id="rId11" roundtripDataChecksum="PebKpZ8OKDuijBP4yQeogI0uUGmzKQhrWv7tzeHPPcQ="/>
    </ext>
  </extLst>
</workbook>
</file>

<file path=xl/sharedStrings.xml><?xml version="1.0" encoding="utf-8"?>
<sst xmlns="http://schemas.openxmlformats.org/spreadsheetml/2006/main" count="12890" uniqueCount="964">
  <si>
    <t>hubmap_id</t>
  </si>
  <si>
    <t>millitome size (1,2,3)</t>
  </si>
  <si>
    <t>lab_donor_id</t>
  </si>
  <si>
    <t>Sex</t>
  </si>
  <si>
    <t>Age (yrs)</t>
  </si>
  <si>
    <t>origin_lab_id</t>
  </si>
  <si>
    <t>rui_registered</t>
  </si>
  <si>
    <t>origin_hubmap_id</t>
  </si>
  <si>
    <t>lab_tissue_sample_id</t>
  </si>
  <si>
    <t>Comment</t>
  </si>
  <si>
    <t>Max Slices</t>
  </si>
  <si>
    <t>Max Columns</t>
  </si>
  <si>
    <t>Max Block</t>
  </si>
  <si>
    <t>description</t>
  </si>
  <si>
    <t>entity_type</t>
  </si>
  <si>
    <t>sample_category</t>
  </si>
  <si>
    <t>display_subtype</t>
  </si>
  <si>
    <t>protocol_url</t>
  </si>
  <si>
    <t>data_access_level</t>
  </si>
  <si>
    <t>created_by_user_displayname</t>
  </si>
  <si>
    <t>created_by_user_email</t>
  </si>
  <si>
    <t>group_name</t>
  </si>
  <si>
    <t>created_time</t>
  </si>
  <si>
    <t>last_modified</t>
  </si>
  <si>
    <t>D016</t>
  </si>
  <si>
    <t>M</t>
  </si>
  <si>
    <t>D016-RL</t>
  </si>
  <si>
    <t>D016-RLL-11B2</t>
  </si>
  <si>
    <t>Sample</t>
  </si>
  <si>
    <t>block</t>
  </si>
  <si>
    <t>Block</t>
  </si>
  <si>
    <t>https://dx.doi.org/10.17504/protocols.io.kxygxejwdv8j/v3</t>
  </si>
  <si>
    <t>public</t>
  </si>
  <si>
    <t>Anthony Corbett</t>
  </si>
  <si>
    <t>Anthony_Corbett@URMC.Rochester.edu</t>
  </si>
  <si>
    <t>University of Rochester Medical Center TMC</t>
  </si>
  <si>
    <t>D115</t>
  </si>
  <si>
    <t>F</t>
  </si>
  <si>
    <t>D115-RL</t>
  </si>
  <si>
    <t>D115-RLL-10A3</t>
  </si>
  <si>
    <t>Already registered, should it be re-registered in the smaller model?</t>
  </si>
  <si>
    <t>FFPE block from the lower lobe of right lung</t>
  </si>
  <si>
    <t>https://dx.doi.org/10.17504/protocols.io.bjttknnn</t>
  </si>
  <si>
    <t>D231</t>
  </si>
  <si>
    <t>adult</t>
  </si>
  <si>
    <t>D231-BRR</t>
  </si>
  <si>
    <t>D231-BRR-2</t>
  </si>
  <si>
    <t>I'll do this one</t>
  </si>
  <si>
    <t>FFPE block from right bronchus of Donor 231</t>
  </si>
  <si>
    <t>consortium</t>
  </si>
  <si>
    <t>Andrew Watts</t>
  </si>
  <si>
    <t>Andrew_Watts@URMC.Rochester.edu</t>
  </si>
  <si>
    <t>D231-RL</t>
  </si>
  <si>
    <t>D231-RLL-11B3</t>
  </si>
  <si>
    <t>FFPE block from lower lobe of Donor 231's right lung</t>
  </si>
  <si>
    <t>D231-RLL-13A5</t>
  </si>
  <si>
    <t xml:space="preserve">FFPE block from right lower lobe of Donor 231 lung </t>
  </si>
  <si>
    <t>D231-RLL-13B4</t>
  </si>
  <si>
    <t>FFPE block from right lower lobe of lung from Donor 231</t>
  </si>
  <si>
    <t>D231-RLL-13C2</t>
  </si>
  <si>
    <t>D231-RLL-13D1</t>
  </si>
  <si>
    <t>D231-RLL-17A5</t>
  </si>
  <si>
    <t>D231-RLL-17B4</t>
  </si>
  <si>
    <t>D231-RLL-9A5</t>
  </si>
  <si>
    <t>D231-RLL-9B3</t>
  </si>
  <si>
    <t>D231-RML-10A4</t>
  </si>
  <si>
    <t>dx.doi.org/10.17504/protocols.io.bjtnknme</t>
  </si>
  <si>
    <t>GLORIA PRYHUBER</t>
  </si>
  <si>
    <t>gloria_pryhuber@urmc.rochester.edu</t>
  </si>
  <si>
    <t>University of California San Diego TMC</t>
  </si>
  <si>
    <t>D231-RML-10B2</t>
  </si>
  <si>
    <t xml:space="preserve">Peripheral tissue of right medial bronchopulmonary segment; longitudinal pulmonary vein forms one edge with branches into interlobular septum, small muscular bronchus with cartilage with pulmonary artery , muscular bronchioles with pulmonary artery, alveolar ducts, alveoli </t>
  </si>
  <si>
    <t>D231-RML-2A3</t>
  </si>
  <si>
    <t>D231-RML-4B4</t>
  </si>
  <si>
    <t>D231-RML-6A4</t>
  </si>
  <si>
    <t>D239</t>
  </si>
  <si>
    <t>D239-BRR</t>
  </si>
  <si>
    <t>D239-BRR-2</t>
  </si>
  <si>
    <t xml:space="preserve">FFPE block from right bronchus of Donor 239  </t>
  </si>
  <si>
    <t>D239-RL</t>
  </si>
  <si>
    <t>D239-RLL-11A4</t>
  </si>
  <si>
    <t>D239-RLL-11B3</t>
  </si>
  <si>
    <t xml:space="preserve">FFPE block from right lower lobe of Donor 239 lung </t>
  </si>
  <si>
    <t>D239-RLL-15B3</t>
  </si>
  <si>
    <t>FFPE block of lower lobe of Donor 239's right lung</t>
  </si>
  <si>
    <t>https://dx.doi.org/10.17504/protocols.io.n2bvj395plk5/v1</t>
  </si>
  <si>
    <t>D239-RLL-15C2</t>
  </si>
  <si>
    <t>D239-RLL-18D1</t>
  </si>
  <si>
    <t>D239-RLL-20A6</t>
  </si>
  <si>
    <t>D239-RLL-20C3</t>
  </si>
  <si>
    <t>D239-RLL-22A4</t>
  </si>
  <si>
    <t>D239-RLL-22B3</t>
  </si>
  <si>
    <t>D239-RML-12A3</t>
  </si>
  <si>
    <t>D239-RML-12A4</t>
  </si>
  <si>
    <t>D239-RML-3A4</t>
  </si>
  <si>
    <t>D239-RML-7A2</t>
  </si>
  <si>
    <t>D239-RML-7A3</t>
  </si>
  <si>
    <t>D239-RML-9B3</t>
  </si>
  <si>
    <t>D239-RML-9B5</t>
  </si>
  <si>
    <t>D239-RML-7A1</t>
  </si>
  <si>
    <t>Replaced D239-RML-BPS-3 with useable ID. Already registered, should it be re-registered in the smaller model?</t>
  </si>
  <si>
    <t>Biopsy section, subsections of which were used at Northwestern for protein analysis. Slice 13 in accompanying image.</t>
  </si>
  <si>
    <t>D260</t>
  </si>
  <si>
    <t>D260-LL</t>
  </si>
  <si>
    <t>D260-LUL-11A3</t>
  </si>
  <si>
    <t>Tissue block from left upper lung lobe, embedded and frozen in OCT</t>
  </si>
  <si>
    <t>D260-LUL-11C8</t>
  </si>
  <si>
    <t>D260-LUL-5A3</t>
  </si>
  <si>
    <t>D260-LUL-5C3</t>
  </si>
  <si>
    <t>D260-RL</t>
  </si>
  <si>
    <t>D260-RLL-15C3</t>
  </si>
  <si>
    <t>FFPE (Paraffin embedded) block of lung tissue from right lower lobe of lung from donor 260</t>
  </si>
  <si>
    <t>D264</t>
  </si>
  <si>
    <t>D264-LL</t>
  </si>
  <si>
    <t>D264-LLL-12B3</t>
  </si>
  <si>
    <t>FFPE (Paraffin embedded) block of lung tissue from left lower lobe of lung from donor 264</t>
  </si>
  <si>
    <t>D264-LUL-10A3</t>
  </si>
  <si>
    <t>Tissue block from left upper lung lobe</t>
  </si>
  <si>
    <t>dx.doi.org/10.17504/protocols.io.bjtsknne</t>
  </si>
  <si>
    <t>D264-LUL-13B5</t>
  </si>
  <si>
    <t>D264-LUL-4A2</t>
  </si>
  <si>
    <t>D264-LUL-4A6</t>
  </si>
  <si>
    <t>D264-LUL-7B4</t>
  </si>
  <si>
    <t>D265</t>
  </si>
  <si>
    <t>D265-LL</t>
  </si>
  <si>
    <t>D265-LLL-10A7</t>
  </si>
  <si>
    <t>FFPE block from left lower lobe of lung from Donor 265</t>
  </si>
  <si>
    <t>D265-LLL-10B2</t>
  </si>
  <si>
    <t>FFPE block from lower left lobe of D265</t>
  </si>
  <si>
    <t>D265-LLL-12B2</t>
  </si>
  <si>
    <t>FFPE block from the lower lobe of the left lung</t>
  </si>
  <si>
    <t>https://dx.doi.org/10.17504/protocols.io.kxygxejwdv8j/v2</t>
  </si>
  <si>
    <t>D265-LLL-7A7</t>
  </si>
  <si>
    <t>D265-LUL-13B4</t>
  </si>
  <si>
    <t>Tissue blocks from left upper lobe, embedded and frozen in OCT</t>
  </si>
  <si>
    <t>D265-LUL-13B5</t>
  </si>
  <si>
    <t>D265-LUL-20A2</t>
  </si>
  <si>
    <t>https://dx.doi.org/10.17504/protocols.io.rm7vz84k2vx1/v2</t>
  </si>
  <si>
    <t>D265-LUL-20A3</t>
  </si>
  <si>
    <t>D265-LUL-5A3</t>
  </si>
  <si>
    <t>Tissue blocks from left upper lobe, embedded and frozen in OCT; longitudinal muscular vessel, muscular bronchiole and pulmonary artery, small regions of BALT</t>
  </si>
  <si>
    <t>D265-LUL-5B4</t>
  </si>
  <si>
    <t>D265-LUL-9B4</t>
  </si>
  <si>
    <t>D271</t>
  </si>
  <si>
    <t>D271-RL</t>
  </si>
  <si>
    <t>D271-RLL-14A8</t>
  </si>
  <si>
    <t>Formalin fixed right lower lobe tissue</t>
  </si>
  <si>
    <t>dx.doi.org/10.17504/protocols.io.bjtuknnw</t>
  </si>
  <si>
    <t>D271-RLL-15B7</t>
  </si>
  <si>
    <t>FFPE (Paraffin embedded) block of lung tissue from right lower lobe of lung from donor 271</t>
  </si>
  <si>
    <t>D271-RLL-17B5</t>
  </si>
  <si>
    <t>D271-RML-10B3</t>
  </si>
  <si>
    <t>Fresh tissue block from right middle lobe of 53 y.o, healthy, white male, embedded in OCT media, then frozen over dry ice ethanol bath</t>
  </si>
  <si>
    <t>D271-RML-11B2</t>
  </si>
  <si>
    <t>Formalin fixed right lower lobe tissue blocks</t>
  </si>
  <si>
    <t>D271-RML-7B4</t>
  </si>
  <si>
    <t>D273</t>
  </si>
  <si>
    <t>D273-RL</t>
  </si>
  <si>
    <t>D273-RLL-15B3</t>
  </si>
  <si>
    <t>FFPE (Paraffin embedded) block of lung tissue from right lower lobe of lung from donor 273</t>
  </si>
  <si>
    <t>D273-RML-9A5</t>
  </si>
  <si>
    <t>D283</t>
  </si>
  <si>
    <t>D283-RL</t>
  </si>
  <si>
    <t>D283-RLL-14C3</t>
  </si>
  <si>
    <t>Formalin Fixed Tissue Block</t>
  </si>
  <si>
    <t>D283-RLL-18A6</t>
  </si>
  <si>
    <t>D283-RLL-18D2</t>
  </si>
  <si>
    <t>D283-RLL-21B5</t>
  </si>
  <si>
    <t>D292</t>
  </si>
  <si>
    <t>D292-RL</t>
  </si>
  <si>
    <t>D292-RLL-14C2</t>
  </si>
  <si>
    <t>FFPE block from right lower lobe of lung from Donor 292</t>
  </si>
  <si>
    <t>D292-RLL-19B4</t>
  </si>
  <si>
    <t>FFPE (Paraffin embedded) block of lung tissue from right lower lobe of lung from donor 292</t>
  </si>
  <si>
    <t>D292-RUL-10A5</t>
  </si>
  <si>
    <t>D292-RUL-5A2</t>
  </si>
  <si>
    <t>D292-RUL-5A5</t>
  </si>
  <si>
    <t>D292-RUL-5B5</t>
  </si>
  <si>
    <t>Tissue block from right upper lobe, embedded and frozen in OCT.</t>
  </si>
  <si>
    <t>D292-RUL-5B7</t>
  </si>
  <si>
    <t>D298</t>
  </si>
  <si>
    <t>D298-RL</t>
  </si>
  <si>
    <t>D298-RLL-20A6</t>
  </si>
  <si>
    <t>Formalin fixed paraffin embedded COVID-19 pneumonia</t>
  </si>
  <si>
    <t>D298-RLL-20D3</t>
  </si>
  <si>
    <t>D298-RUL-5A3</t>
  </si>
  <si>
    <t>D303</t>
  </si>
  <si>
    <t>D303-RL</t>
  </si>
  <si>
    <t>D303-RML-11A2</t>
  </si>
  <si>
    <t>Formalin Fixed tissue block of COVID-19 pneumonia</t>
  </si>
  <si>
    <t>D303-RML-15A2</t>
  </si>
  <si>
    <t>D303-RML-15B2</t>
  </si>
  <si>
    <t>D303-RML-7A4</t>
  </si>
  <si>
    <t>D311</t>
  </si>
  <si>
    <t>D311-RL</t>
  </si>
  <si>
    <t>D311-RLL-14A6</t>
  </si>
  <si>
    <t>D311-RLL-14B6</t>
  </si>
  <si>
    <t>D311-RLL-24B6</t>
  </si>
  <si>
    <t>D316</t>
  </si>
  <si>
    <t>D316-RL</t>
  </si>
  <si>
    <t>D316-RLL-15B2</t>
  </si>
  <si>
    <t>Formalin fixed right lung with COVID-19 pneumonia</t>
  </si>
  <si>
    <t>D316-RLL-19C3</t>
  </si>
  <si>
    <t>D316-RLL-21C6</t>
  </si>
  <si>
    <t>D320</t>
  </si>
  <si>
    <t>D320-LL</t>
  </si>
  <si>
    <t>D320-LLL-15C2</t>
  </si>
  <si>
    <t>Formalin fixed left lower lobe, left lung with prior COVID-19 pneumonia</t>
  </si>
  <si>
    <t>D320-LLL-16A3</t>
  </si>
  <si>
    <t>D320-LLL-20B5</t>
  </si>
  <si>
    <t>D322</t>
  </si>
  <si>
    <t>D322-RL</t>
  </si>
  <si>
    <t>D322-RML-14B2</t>
  </si>
  <si>
    <t>Formalin fixed right lung with acute COVID-19 pneumonia</t>
  </si>
  <si>
    <t>D322-RML-14C1</t>
  </si>
  <si>
    <t>D322-RML-14E1</t>
  </si>
  <si>
    <t>D322-RML-23A2</t>
  </si>
  <si>
    <t>D341</t>
  </si>
  <si>
    <t>D341-BRR</t>
  </si>
  <si>
    <t>D341-BRR-2</t>
  </si>
  <si>
    <t>FFPE block from right bronchus of Donor 341</t>
  </si>
  <si>
    <t>D341-RL</t>
  </si>
  <si>
    <t>D341-RLL-13D1</t>
  </si>
  <si>
    <t>FFPE block from right lower lobe of Donor 341 lung</t>
  </si>
  <si>
    <t>D341-RLL-14A4</t>
  </si>
  <si>
    <t xml:space="preserve">FFPE block from right lower lobe of Donor 341 lung </t>
  </si>
  <si>
    <t>D341-RLL-14B3</t>
  </si>
  <si>
    <t>D341-RLL-14D3</t>
  </si>
  <si>
    <t>D341-RLL-17C4</t>
  </si>
  <si>
    <t>FFPE (Paraffin embedded) block of lung tissue from right lower lobe of lung from donor 341</t>
  </si>
  <si>
    <t>D341-RUL-3A2</t>
  </si>
  <si>
    <t>Tissue block from right upper lobe, embedded and frozen in OCT</t>
  </si>
  <si>
    <t>D341-RUL-3A4</t>
  </si>
  <si>
    <t>D341-RUL-3B4</t>
  </si>
  <si>
    <t>D341-RUL-7A4</t>
  </si>
  <si>
    <t xml:space="preserve">FFPE block from right upper lobe of Donor 341 lung </t>
  </si>
  <si>
    <t>D341-RUL-7B5</t>
  </si>
  <si>
    <t>FFPE block from right upper lobe of Donor 341 lung</t>
  </si>
  <si>
    <t>D341-RUL-7C2</t>
  </si>
  <si>
    <t>D341-RUL-9A3</t>
  </si>
  <si>
    <t>D341-RUL-9B3</t>
  </si>
  <si>
    <t>D341-RUL-9B5</t>
  </si>
  <si>
    <t>D342</t>
  </si>
  <si>
    <t>D342-RL</t>
  </si>
  <si>
    <t>D342-RLL-18A6</t>
  </si>
  <si>
    <t>FFPE block from lower lobe of Donor 342's right lung</t>
  </si>
  <si>
    <t>D346</t>
  </si>
  <si>
    <t>D346-BRR</t>
  </si>
  <si>
    <t>D346-BRR-2</t>
  </si>
  <si>
    <t xml:space="preserve">FFPE block from right bronchus of Donor 346 </t>
  </si>
  <si>
    <t>D346-RL</t>
  </si>
  <si>
    <t>D346-RLL-15B3</t>
  </si>
  <si>
    <t>block from Donor 346's right lower lobe of lung</t>
  </si>
  <si>
    <t>D346-RLL-15D2</t>
  </si>
  <si>
    <t>FFPE block from lower lobe of Donor 346's right lung</t>
  </si>
  <si>
    <t>D346-RLL-16C2</t>
  </si>
  <si>
    <t>FFPE block from right lower lobe of Donor 346 lung</t>
  </si>
  <si>
    <t>D346-RLL-17B5</t>
  </si>
  <si>
    <t>D346-RLL-17D3</t>
  </si>
  <si>
    <t xml:space="preserve">FFPE block from right lower lobe of Donor 346 lung </t>
  </si>
  <si>
    <t>D346-RLL-18A6</t>
  </si>
  <si>
    <t>D346-RLL-20B3</t>
  </si>
  <si>
    <t>FFPE block from right lower lobe of lung from Donor 346</t>
  </si>
  <si>
    <t>D346-RLL-21C5</t>
  </si>
  <si>
    <t>FFPE (Paraffin embedded) block of lung tissue from right lower lobe of lung from donor 346</t>
  </si>
  <si>
    <t>D346-RUL-4A4</t>
  </si>
  <si>
    <t>Tissue block from right upper lung lobe, embedded and frozen in OCT</t>
  </si>
  <si>
    <t>D346-RUL-4B5</t>
  </si>
  <si>
    <t>D346-RUL-8B1</t>
  </si>
  <si>
    <t xml:space="preserve">FFPE block from right upper lobe of Donor 346 lung </t>
  </si>
  <si>
    <t>D346-RUL-8C1</t>
  </si>
  <si>
    <t>FFPE block from right upper lobe of Donor 346 lung</t>
  </si>
  <si>
    <t>D346-RUL-8C4</t>
  </si>
  <si>
    <t>D346-RUL-8D3</t>
  </si>
  <si>
    <t>D346-RUL-9A2</t>
  </si>
  <si>
    <t>D346-RUL-9B4</t>
  </si>
  <si>
    <t>D403</t>
  </si>
  <si>
    <t>D403-RL</t>
  </si>
  <si>
    <t>D403-RLL-15B3</t>
  </si>
  <si>
    <t>FFPE block from right lower lobe of lung from Donor 403</t>
  </si>
  <si>
    <t>D403-RLL-16A3</t>
  </si>
  <si>
    <t>FFPE block from the lower lobe of the right lung</t>
  </si>
  <si>
    <t>D403-RUL-3B4</t>
  </si>
  <si>
    <t>Tissue block from right upper lung lobe embedded and frozen in OCT</t>
  </si>
  <si>
    <t>D403-RUL-5A2</t>
  </si>
  <si>
    <t>D403-RUL-5B2</t>
  </si>
  <si>
    <t>D403-RUL-5C2</t>
  </si>
  <si>
    <t>D438</t>
  </si>
  <si>
    <t>D438-BRL</t>
  </si>
  <si>
    <t>D438-BRL-1</t>
  </si>
  <si>
    <t>These in Grey will require modficiation in label before will fit the millitome, we will still need the models for D438, D460 amd D478 but the 3 letter code wont work.  We'll tackle these after we hve the others sorted out.</t>
  </si>
  <si>
    <t>FFPE block from left bronchus of Donor 438</t>
  </si>
  <si>
    <t>D438-BRL-A1A</t>
  </si>
  <si>
    <t>1.Extrapulmonary bronchi: Primary bronchus - Multiome</t>
  </si>
  <si>
    <t>D438-BRL-A1B</t>
  </si>
  <si>
    <t>1.Extrapulmonary bronchi: Primary bronchus - MPLEx</t>
  </si>
  <si>
    <t>D438-BRL-A1C</t>
  </si>
  <si>
    <t>1.Extrapulmonary bronchi: Primary bronchus - MERFISH</t>
  </si>
  <si>
    <t>D438-BRL-A1D</t>
  </si>
  <si>
    <t>1.Extrapulmonary bronchi: Primary bronchus - FFPE</t>
  </si>
  <si>
    <t>D438-BRL-B1A</t>
  </si>
  <si>
    <t>D438-BRL-B1B</t>
  </si>
  <si>
    <t>D438-BRL-B1C</t>
  </si>
  <si>
    <t>D438-BRL-B1D</t>
  </si>
  <si>
    <t>D438-LL</t>
  </si>
  <si>
    <t>D438-LLL-A1A</t>
  </si>
  <si>
    <t>6.LLL segmental bronchi (3rd) or 4th bronchi (B1+2): &gt;2 mm - Multiome</t>
  </si>
  <si>
    <t>D438-LLL-A1B</t>
  </si>
  <si>
    <t>6.LLL segmental bronchi (3rd) or 4th bronchi (B1+2): &gt;2 mm - MPLEx</t>
  </si>
  <si>
    <t>D438-LLL-A1C</t>
  </si>
  <si>
    <t>6.LLL segmental bronchi (3rd) or 4th bronchi (B1+2): &gt;2 mm - MERFISH</t>
  </si>
  <si>
    <t>D438-LLL-A1D</t>
  </si>
  <si>
    <t>6.LLL segmental bronchi (3rd) or 4th bronchi (B1+2): &gt;2 mm - FFPE</t>
  </si>
  <si>
    <t>D438-LLL-A2A</t>
  </si>
  <si>
    <t>7.LLL bronchi-bronchiole junction (7-9th): around 2 mm, SMG/cartilage are disappearing. Between 2 and 4. - Multiome</t>
  </si>
  <si>
    <t>D438-LLL-A2B</t>
  </si>
  <si>
    <t>7.LLL bronchi-bronchiole junction (7-9th): around 2 mm, SMG/cartilage are disappearing. Between 2 and 4. - MPLEx</t>
  </si>
  <si>
    <t>D438-LLL-A2C</t>
  </si>
  <si>
    <t>7.LLL bronchi-bronchiole junction (7-9th): around 2 mm, SMG/cartilage are disappearing. Between 2 and 4. - MERFISH</t>
  </si>
  <si>
    <t>D438-LLL-A2D</t>
  </si>
  <si>
    <t>7.LLL bronchi-bronchiole junction (7-9th): around 2 mm, SMG/cartilage are disappearing. Between 2 and 4. - FFPE</t>
  </si>
  <si>
    <t>D438-LLL-A3A</t>
  </si>
  <si>
    <t>8.LLL bronchioles (more distal than 12th): &lt; 1 mm, no SMG/cartilage, potentially contain TB and RB, use microdissection. - Multiome</t>
  </si>
  <si>
    <t>D438-LLL-A3B</t>
  </si>
  <si>
    <t>8.LLL bronchioles (more distal than 12th): &lt; 1 mm, no SMG/cartilage, potentially contain TB and RB, use microdissection. - MPLEx</t>
  </si>
  <si>
    <t>D438-LLL-A3C</t>
  </si>
  <si>
    <t>8.LLL bronchioles (more distal than 12th): &lt; 1 mm, no SMG/cartilage, potentially contain TB and RB, use microdissection. - MERFISH</t>
  </si>
  <si>
    <t>D438-LLL-A3D</t>
  </si>
  <si>
    <t>8.LLL bronchioles (more distal than 12th): &lt; 1 mm, no SMG/cartilage, potentially contain TB and RB, use microdissection. - FFPE</t>
  </si>
  <si>
    <t>D438-LLL-A4A</t>
  </si>
  <si>
    <t>9.LLL alveoli with superior pleura potentially containing terminal/respiratory bronchioles - Multiome</t>
  </si>
  <si>
    <t>D438-LLL-A4B</t>
  </si>
  <si>
    <t>9.LLL alveoli with superior pleura potentially containing terminal/respiratory bronchioles - MPLEx</t>
  </si>
  <si>
    <t>D438-LLL-A4C</t>
  </si>
  <si>
    <t>9.LLL alveoli with superior pleura potentially containing terminal/respiratory bronchioles - MERFISH</t>
  </si>
  <si>
    <t>D438-LLL-A4D</t>
  </si>
  <si>
    <t>9.LLL alveoli with superior pleura potentially containing terminal/respiratory bronchioles - FFPE</t>
  </si>
  <si>
    <t>D438-LLL-B1A</t>
  </si>
  <si>
    <t>D438-LLL-B1B</t>
  </si>
  <si>
    <t>D438-LLL-B1C</t>
  </si>
  <si>
    <t>D438-LLL-B1D</t>
  </si>
  <si>
    <t>D438-LLL-B2A</t>
  </si>
  <si>
    <t>D438-LLL-B2B</t>
  </si>
  <si>
    <t>D438-LLL-B2C</t>
  </si>
  <si>
    <t>D438-LLL-B2D</t>
  </si>
  <si>
    <t>D438-LLL-B3A</t>
  </si>
  <si>
    <t>D438-LLL-B3B</t>
  </si>
  <si>
    <t>D438-LLL-B3C</t>
  </si>
  <si>
    <t>D438-LLL-B3D</t>
  </si>
  <si>
    <t>D438-LLL-B4A</t>
  </si>
  <si>
    <t>D438-LLL-B4B</t>
  </si>
  <si>
    <t>D438-LLL-B4C</t>
  </si>
  <si>
    <t>D438-LLL-B4D</t>
  </si>
  <si>
    <t>D438-LUL-A1A</t>
  </si>
  <si>
    <t>2.LUL segmental bronchi (3rd) or 4th bronchi (B1+2): &gt;2 mm - Multiome</t>
  </si>
  <si>
    <t>D438-LUL-A1B</t>
  </si>
  <si>
    <t>2.LUL segmental bronchi (3rd) or 4th bronchi (B1+2): &gt;2 mm - MPLEx</t>
  </si>
  <si>
    <t>D438-LUL-A1C</t>
  </si>
  <si>
    <t>2.LUL segmental bronchi (3rd) or 4th bronchi (B1+2): &gt;2 mm - MERFISH</t>
  </si>
  <si>
    <t>D438-LUL-A1D</t>
  </si>
  <si>
    <t>2.LUL segmental bronchi (3rd) or 4th bronchi (B1+2): &gt;2 mm - FFPE</t>
  </si>
  <si>
    <t>D438-LUL-A2A</t>
  </si>
  <si>
    <t>3.LUL bronchi-bronchiole junction (7-9th): around 2 mm, SMG/cartilage are disappearing. Between 2 and 4. - Multiome</t>
  </si>
  <si>
    <t>D438-LUL-A2B</t>
  </si>
  <si>
    <t>3.LUL bronchi-bronchiole junction (7-9th): around 2 mm, SMG/cartilage are disappearing. Between 2 and 4. - MPLEx</t>
  </si>
  <si>
    <t>D438-LUL-A2C</t>
  </si>
  <si>
    <t>3.LUL bronchi-bronchiole junction (7-9th): around 2 mm, SMG/cartilage are disappearing. Between 2 and 4. - MERFISH</t>
  </si>
  <si>
    <t>D438-LUL-A2D</t>
  </si>
  <si>
    <t>3.LUL bronchi-bronchiole junction (7-9th): around 2 mm, SMG/cartilage are disappearing. Between 2 and 4. - FFPE</t>
  </si>
  <si>
    <t>D438-LUL-A3A</t>
  </si>
  <si>
    <t>4.LUL bronchioles (more distal than 12th): &lt; 1 mm, no SMG/cartilage, potentially contain TB and RB, use microdissection. - Multiome</t>
  </si>
  <si>
    <t>D438-LUL-A3B</t>
  </si>
  <si>
    <t>4.LUL bronchioles (more distal than 12th): &lt; 1 mm, no SMG/cartilage, potentially contain TB and RB, use microdissection. - MPLEx</t>
  </si>
  <si>
    <t>D438-LUL-A3C</t>
  </si>
  <si>
    <t>4.LUL bronchioles (more distal than 12th): &lt; 1 mm, no SMG/cartilage, potentially contain TB and RB, use microdissection. - MERFISH</t>
  </si>
  <si>
    <t>D438-LUL-A3D</t>
  </si>
  <si>
    <t>4.LUL bronchioles (more distal than 12th): &lt; 1 mm, no SMG/cartilage, potentially contain TB and RB, use microdissection. - FFPE</t>
  </si>
  <si>
    <t>D438-LUL-A4A</t>
  </si>
  <si>
    <t>5.LUL alveoli with superior pleura potentially containing terminal/respiratory bronchioles - Multiome</t>
  </si>
  <si>
    <t>D438-LUL-A4B</t>
  </si>
  <si>
    <t>5.LUL alveoli with superior pleura potentially containing terminal/respiratory bronchioles - MPLEx</t>
  </si>
  <si>
    <t>D438-LUL-A4C</t>
  </si>
  <si>
    <t>5.LUL alveoli with superior pleura potentially containing terminal/respiratory bronchioles - MERFISH</t>
  </si>
  <si>
    <t>D438-LUL-A4D</t>
  </si>
  <si>
    <t>5.LUL alveoli with superior pleura potentially containing terminal/respiratory bronchioles - FFPE</t>
  </si>
  <si>
    <t>D438-LUL-B1A</t>
  </si>
  <si>
    <t>D438-LUL-B1B</t>
  </si>
  <si>
    <t>D438-LUL-B1C</t>
  </si>
  <si>
    <t>D438-LUL-B1D</t>
  </si>
  <si>
    <t>D438-LUL-B2A</t>
  </si>
  <si>
    <t>D438-LUL-B2B</t>
  </si>
  <si>
    <t>D438-LUL-B2C</t>
  </si>
  <si>
    <t>D438-LUL-B2D</t>
  </si>
  <si>
    <t>D438-LUL-B3A</t>
  </si>
  <si>
    <t>D438-LUL-B3B</t>
  </si>
  <si>
    <t>D438-LUL-B3C</t>
  </si>
  <si>
    <t>D438-LUL-B3D</t>
  </si>
  <si>
    <t>D438-LUL-B4A</t>
  </si>
  <si>
    <t>D438-LUL-B4B</t>
  </si>
  <si>
    <t>D438-LUL-B4C</t>
  </si>
  <si>
    <t>D438-LUL-B4D</t>
  </si>
  <si>
    <t>D438-RL</t>
  </si>
  <si>
    <t>D438-RLL-14A7</t>
  </si>
  <si>
    <t>FFPE block from right lower lobe of Donor 438 lung</t>
  </si>
  <si>
    <t>D438-RLL-14B2</t>
  </si>
  <si>
    <t>D438-RLL-14D2</t>
  </si>
  <si>
    <t>D438-RLL-16B4</t>
  </si>
  <si>
    <t>FFPE block from lower lobe of Donor 438's right lung</t>
  </si>
  <si>
    <t>D438-RUL-7A3</t>
  </si>
  <si>
    <t>FFPE block from right upper lobe of Donor 438 lung</t>
  </si>
  <si>
    <t>D438-RUL-7B4</t>
  </si>
  <si>
    <t xml:space="preserve">FFPE block from right upper lobe of Donor 438 lung </t>
  </si>
  <si>
    <t>D438-RUL-7B5</t>
  </si>
  <si>
    <t>D460</t>
  </si>
  <si>
    <t>D460-BRL</t>
  </si>
  <si>
    <t>D460-BRL-A1A</t>
  </si>
  <si>
    <t>1.Extrapulmonary bronchi: Primary bronchus - Snap Frozen (Intended for Multiome)</t>
  </si>
  <si>
    <t>D460-BRL-A1B</t>
  </si>
  <si>
    <t>1.Extrapulmonary bronchi: Primary bronchus - Snap Frozen (intended for MPLEX)</t>
  </si>
  <si>
    <t>D460-BRL-A1C</t>
  </si>
  <si>
    <t>1.Extrapulmonary bronchi: Primary bronchus - Fresh Frozen embedded in OCT</t>
  </si>
  <si>
    <t>D460-BRL-A1D</t>
  </si>
  <si>
    <t>1.Extrapulmonary bronchi: Primary bronchus - Formalin for FFPE</t>
  </si>
  <si>
    <t>D460-BRL-B1A</t>
  </si>
  <si>
    <t>D460-BRL-B1B</t>
  </si>
  <si>
    <t>D460-BRL-B1C</t>
  </si>
  <si>
    <t>D460-BRL-B1D</t>
  </si>
  <si>
    <t>D460-LL</t>
  </si>
  <si>
    <t>D460-LLL-A6A</t>
  </si>
  <si>
    <t>6.LLL segmental bronchi (3rd) or 4th bronchi (B1+2): &gt;2 mm - Snap Frozen (Intended for Multiome)</t>
  </si>
  <si>
    <t>D460-LLL-A6B</t>
  </si>
  <si>
    <t>6.LLL segmental bronchi (3rd) or 4th bronchi (B1+2): &gt;2 mm - Snap Frozen (intended for MPLEX)</t>
  </si>
  <si>
    <t>D460-LLL-A6C</t>
  </si>
  <si>
    <t>6.LLL segmental bronchi (3rd) or 4th bronchi (B1+2): &gt;2 mm - Fresh Frozen embedded in OCT</t>
  </si>
  <si>
    <t>D460-LLL-A6D</t>
  </si>
  <si>
    <t>6.LLL segmental bronchi (3rd) or 4th bronchi (B1+2): &gt;2 mm - Formalin for FFPE</t>
  </si>
  <si>
    <t>D460-LLL-A7A</t>
  </si>
  <si>
    <t>7.LLL bronchi-bronchiole junction (7-9th): around 2 mm, SMG/cartilage are disappearing. Between 2 and 4. - Snap Frozen (Intended for Multiome)</t>
  </si>
  <si>
    <t>D460-LLL-A7B</t>
  </si>
  <si>
    <t>7.LLL bronchi-bronchiole junction (7-9th): around 2 mm, SMG/cartilage are disappearing. Between 2 and 4. - Snap Frozen (intended for MPLEX)</t>
  </si>
  <si>
    <t>D460-LLL-A7C</t>
  </si>
  <si>
    <t>7.LLL bronchi-bronchiole junction (7-9th): around 2 mm, SMG/cartilage are disappearing. Between 2 and 4. - Fresh Frozen embedded in OCT</t>
  </si>
  <si>
    <t>D460-LLL-A7D</t>
  </si>
  <si>
    <t>7.LLL bronchi-bronchiole junction (7-9th): around 2 mm, SMG/cartilage are disappearing. Between 2 and 4. - Formalin for FFPE</t>
  </si>
  <si>
    <t>D460-LLL-A8A</t>
  </si>
  <si>
    <t>8.LLL bronchioles (more distal than 12th): &lt; 1 mm, no SMG/cartilage, potentially contain TB and RB, use microdissection. - Snap Frozen (Intended for Multiome)</t>
  </si>
  <si>
    <t>D460-LLL-A8B</t>
  </si>
  <si>
    <t>8.LLL bronchioles (more distal than 12th): &lt; 1 mm, no SMG/cartilage, potentially contain TB and RB, use microdissection. - Snap Frozen (intended for MPLEX)</t>
  </si>
  <si>
    <t>D460-LLL-A8C</t>
  </si>
  <si>
    <t>8.LLL bronchioles (more distal than 12th): &lt; 1 mm, no SMG/cartilage, potentially contain TB and RB, use microdissection. - Fresh Frozen embedded in OCT</t>
  </si>
  <si>
    <t>D460-LLL-A8D</t>
  </si>
  <si>
    <t>8.LLL bronchioles (more distal than 12th): &lt; 1 mm, no SMG/cartilage, potentially contain TB and RB, use microdissection. - Formalin for FFPE</t>
  </si>
  <si>
    <t>D460-LLL-A9A</t>
  </si>
  <si>
    <t>9.LLL alveoli with superior pleura potentially containing terminal/respiratory bronchioles - Snap Frozen (Intended for Multiome)</t>
  </si>
  <si>
    <t>D460-LLL-A9B</t>
  </si>
  <si>
    <t>9.LLL alveoli with superior pleura potentially containing terminal/respiratory bronchioles - Snap Frozen (intended for MPLEX)</t>
  </si>
  <si>
    <t>D460-LLL-A9C</t>
  </si>
  <si>
    <t>9.LLL alveoli with superior pleura potentially containing terminal/respiratory bronchioles - Fresh Frozen embedded in OCT</t>
  </si>
  <si>
    <t>D460-LLL-A9D</t>
  </si>
  <si>
    <t>9.LLL alveoli with superior pleura potentially containing terminal/respiratory bronchioles - Formalin for FFPE</t>
  </si>
  <si>
    <t>D460-LLL-B6A</t>
  </si>
  <si>
    <t>D460-LLL-B6B</t>
  </si>
  <si>
    <t>D460-LLL-B6C</t>
  </si>
  <si>
    <t>D460-LLL-B6D</t>
  </si>
  <si>
    <t>D460-LLL-B7A</t>
  </si>
  <si>
    <t>D460-LLL-B7B</t>
  </si>
  <si>
    <t>D460-LLL-B7C</t>
  </si>
  <si>
    <t>D460-LLL-B7D</t>
  </si>
  <si>
    <t>D460-LLL-B8A</t>
  </si>
  <si>
    <t>D460-LLL-B8B</t>
  </si>
  <si>
    <t>D460-LLL-B8C</t>
  </si>
  <si>
    <t>D460-LLL-B8D</t>
  </si>
  <si>
    <t>D460-LLL-B9A</t>
  </si>
  <si>
    <t>D460-LLL-B9B</t>
  </si>
  <si>
    <t>D460-LLL-B9C</t>
  </si>
  <si>
    <t>D460-LLL-B9D</t>
  </si>
  <si>
    <t>D460-LUL-A2A</t>
  </si>
  <si>
    <t>2.LUL segmental bronchi (3rd) or 4th bronchi (B1+2): &gt;2 mm - Snap Frozen (Intended for Multiome)</t>
  </si>
  <si>
    <t>D460-LUL-A2B</t>
  </si>
  <si>
    <t>2.LUL segmental bronchi (3rd) or 4th bronchi (B1+2): &gt;2 mm - Snap Frozen (intended for MPLEX)</t>
  </si>
  <si>
    <t>D460-LUL-A2C</t>
  </si>
  <si>
    <t>2.LUL segmental bronchi (3rd) or 4th bronchi (B1+2): &gt;2 mm - Fresh Frozen embedded in OCT</t>
  </si>
  <si>
    <t>D460-LUL-A2D</t>
  </si>
  <si>
    <t>2.LUL segmental bronchi (3rd) or 4th bronchi (B1+2): &gt;2 mm - Formalin for FFPE</t>
  </si>
  <si>
    <t>D460-LUL-A3A</t>
  </si>
  <si>
    <t>3.LUL bronchi-bronchiole junction (7-9th): around 2 mm, SMG/cartilage are disappearing. Between 2 and 4. - Snap Frozen (Intended for Multiome)</t>
  </si>
  <si>
    <t>D460-LUL-A3B</t>
  </si>
  <si>
    <t>3.LUL bronchi-bronchiole junction (7-9th): around 2 mm, SMG/cartilage are disappearing. Between 2 and 4. - Snap Frozen (intended for MPLEX)</t>
  </si>
  <si>
    <t>D460-LUL-A3C</t>
  </si>
  <si>
    <t>3.LUL bronchi-bronchiole junction (7-9th): around 2 mm, SMG/cartilage are disappearing. Between 2 and 4. - Fresh Frozen embedded in OCT</t>
  </si>
  <si>
    <t>D460-LUL-A3D</t>
  </si>
  <si>
    <t>3.LUL bronchi-bronchiole junction (7-9th): around 2 mm, SMG/cartilage are disappearing. Between 2 and 4. - Formalin for FFPE</t>
  </si>
  <si>
    <t>D460-LUL-A4A</t>
  </si>
  <si>
    <t>4.LUL bronchioles (more distal than 12th): &lt; 1 mm, no SMG/cartilage, potentially contain TB and RB, use microdissection. - Snap Frozen (Intended for Multiome)</t>
  </si>
  <si>
    <t>D460-LUL-A4B</t>
  </si>
  <si>
    <t>4.LUL bronchioles (more distal than 12th): &lt; 1 mm, no SMG/cartilage, potentially contain TB and RB, use microdissection. - Snap Frozen (intended for MPLEX)</t>
  </si>
  <si>
    <t>D460-LUL-A4C</t>
  </si>
  <si>
    <t>4.LUL bronchioles (more distal than 12th): &lt; 1 mm, no SMG/cartilage, potentially contain TB and RB, use microdissection. - Fresh Frozen embedded in OCT</t>
  </si>
  <si>
    <t>D460-LUL-A4D</t>
  </si>
  <si>
    <t>4.LUL bronchioles (more distal than 12th): &lt; 1 mm, no SMG/cartilage, potentially contain TB and RB, use microdissection. - Formalin for FFPE</t>
  </si>
  <si>
    <t>D460-LUL-A5A</t>
  </si>
  <si>
    <t>5.LUL alveoli with superior pleura potentially containing terminal/respiratory bronchioles - Snap Frozen (Intended for Multiome)</t>
  </si>
  <si>
    <t>D460-LUL-A5B</t>
  </si>
  <si>
    <t>5.LUL alveoli with superior pleura potentially containing terminal/respiratory bronchioles - Snap Frozen (intended for MPLEX)</t>
  </si>
  <si>
    <t>D460-LUL-A5C</t>
  </si>
  <si>
    <t>5.LUL alveoli with superior pleura potentially containing terminal/respiratory bronchioles - Fresh Frozen embedded in OCT</t>
  </si>
  <si>
    <t>D460-LUL-A5D</t>
  </si>
  <si>
    <t>5.LUL alveoli with superior pleura potentially containing terminal/respiratory bronchioles - Formalin for FFPE</t>
  </si>
  <si>
    <t>D460-LUL-B2A</t>
  </si>
  <si>
    <t>D460-LUL-B2B</t>
  </si>
  <si>
    <t>D460-LUL-B2C</t>
  </si>
  <si>
    <t>D460-LUL-B2D</t>
  </si>
  <si>
    <t>D460-LUL-B3A</t>
  </si>
  <si>
    <t>D460-LUL-B3B</t>
  </si>
  <si>
    <t>D460-LUL-B3C</t>
  </si>
  <si>
    <t>D460-LUL-B3D</t>
  </si>
  <si>
    <t>D460-LUL-B4A</t>
  </si>
  <si>
    <t>D460-LUL-B4B</t>
  </si>
  <si>
    <t>D460-LUL-B4C</t>
  </si>
  <si>
    <t>D460-LUL-B4D</t>
  </si>
  <si>
    <t>D460-LUL-B5A</t>
  </si>
  <si>
    <t>D460-LUL-B5B</t>
  </si>
  <si>
    <t>D460-LUL-B5C</t>
  </si>
  <si>
    <t>D460-LUL-B5D</t>
  </si>
  <si>
    <t>D460-RL</t>
  </si>
  <si>
    <t>D460-RLL-16A6</t>
  </si>
  <si>
    <t>FFPE block from right lower lobe of Donor 460 lung</t>
  </si>
  <si>
    <t>D460-RLL-16B2</t>
  </si>
  <si>
    <t>D460-RLL-16C3</t>
  </si>
  <si>
    <t xml:space="preserve">FFPE block from right lower lobe of Donor 460 lung </t>
  </si>
  <si>
    <t>D460-RLL-16D1</t>
  </si>
  <si>
    <t>D460-RUL-9A5</t>
  </si>
  <si>
    <t>FFPE block from right upper lobe of Donor 460 lung</t>
  </si>
  <si>
    <t>D460-RUL-9A6</t>
  </si>
  <si>
    <t>D460-RUL-9B2</t>
  </si>
  <si>
    <t>D460-RUL-9B3</t>
  </si>
  <si>
    <t>D460-VPA</t>
  </si>
  <si>
    <t>D460-VPA-A1A</t>
  </si>
  <si>
    <t>Extrapulmonary artery - Snap Frozen (Intended for Multiome)</t>
  </si>
  <si>
    <t>D460-VPA-A1B</t>
  </si>
  <si>
    <t>Extrapulmonary artery - Snap Frozen (intended for MPLEX)</t>
  </si>
  <si>
    <t>D460-VPA-A1C</t>
  </si>
  <si>
    <t>Extrapulmonary artery - Fresh Frozen embedded in OCT</t>
  </si>
  <si>
    <t>D460-VPA-A1D</t>
  </si>
  <si>
    <t>Extrapulmonary artery - Formalin for FFPE</t>
  </si>
  <si>
    <t>D460-VPA-B1A</t>
  </si>
  <si>
    <t>D460-VPA-B1B</t>
  </si>
  <si>
    <t>D460-VPA-B1C</t>
  </si>
  <si>
    <t>D460-VPA-B1D</t>
  </si>
  <si>
    <t>D478</t>
  </si>
  <si>
    <t>D478-BRL</t>
  </si>
  <si>
    <t>D478-BRL-A1A</t>
  </si>
  <si>
    <t>1.Extrapulmonary bronchi: Primary bronchus - Snap Frozen (Multiome)</t>
  </si>
  <si>
    <t>https://dx.doi.org/10.17504/protocols.io.j8nlk91jdv5r/v1</t>
  </si>
  <si>
    <t>D478-BRL-A1B</t>
  </si>
  <si>
    <t>1.Extrapulmonary bronchi: Primary bronchus - Snap Frozen (MPLEx)</t>
  </si>
  <si>
    <t>D478-BRL-A1C</t>
  </si>
  <si>
    <t>1.Extrapulmonary bronchi: Primary bronchus - OCT</t>
  </si>
  <si>
    <t>D478-BRL-A1D</t>
  </si>
  <si>
    <t>D478-BRL-B1A</t>
  </si>
  <si>
    <t>D478-BRL-B1B</t>
  </si>
  <si>
    <t>D478-BRL-B1C</t>
  </si>
  <si>
    <t>D478-BRL-B1D</t>
  </si>
  <si>
    <t>D478-LL</t>
  </si>
  <si>
    <t>D478-LLL-A6A</t>
  </si>
  <si>
    <t>6.LLL segmental bronchi (3rd) or 4th bronchi (B1+2): &gt;2 mm - Snap Frozen (Multiome)</t>
  </si>
  <si>
    <t>D478-LLL-A6B</t>
  </si>
  <si>
    <t>6.LLL segmental bronchi (3rd) or 4th bronchi (B1+2): &gt;2 mm - Snap Frozen (MPLEx)</t>
  </si>
  <si>
    <t>D478-LLL-A6C</t>
  </si>
  <si>
    <t>6.LLL segmental bronchi (3rd) or 4th bronchi (B1+2): &gt;2 mm - OCT</t>
  </si>
  <si>
    <t>D478-LLL-A6D</t>
  </si>
  <si>
    <t>D478-LLL-A7A</t>
  </si>
  <si>
    <t>7.LLL bronchi-bronchiole junction (7-9th): around 2 mm, SMG/cartilage are disappearing. Between 2 and 4. - Snap Frozen (Multiome)</t>
  </si>
  <si>
    <t>D478-LLL-A7B</t>
  </si>
  <si>
    <t>7.LLL bronchi-bronchiole junction (7-9th): around 2 mm, SMG/cartilage are disappearing. Between 2 and 4. - Snap Frozen (MPLEx)</t>
  </si>
  <si>
    <t>D478-LLL-A7C</t>
  </si>
  <si>
    <t>7.LLL bronchi-bronchiole junction (7-9th): around 2 mm, SMG/cartilage are disappearing. Between 2 and 4. - OCT</t>
  </si>
  <si>
    <t>D478-LLL-A7D</t>
  </si>
  <si>
    <t>D478-LLL-A8A</t>
  </si>
  <si>
    <t>8.LLL bronchioles (more distal than 12th): &lt; 1 mm, no SMG/cartilage, potentially contain TB and RB, use microdissection. - Snap Frozen (Multiome)</t>
  </si>
  <si>
    <t>D478-LLL-A8B</t>
  </si>
  <si>
    <t>8.LLL bronchioles (more distal than 12th): &lt; 1 mm, no SMG/cartilage, potentially contain TB and RB, use microdissection. - Snap Frozen (MPLEx)</t>
  </si>
  <si>
    <t>D478-LLL-A8C</t>
  </si>
  <si>
    <t>8.LLL bronchioles (more distal than 12th): &lt; 1 mm, no SMG/cartilage, potentially contain TB and RB, use microdissection. - OCT</t>
  </si>
  <si>
    <t>D478-LLL-A8D</t>
  </si>
  <si>
    <t>D478-LLL-A9A</t>
  </si>
  <si>
    <t>9.LLL alveoli with superior pleura potentially containing terminal/respiratory bronchioles - Snap Frozen (Multiome)</t>
  </si>
  <si>
    <t>D478-LLL-A9B</t>
  </si>
  <si>
    <t>9.LLL alveoli with superior pleura potentially containing terminal/respiratory bronchioles - Snap Frozen (MPLEx)</t>
  </si>
  <si>
    <t>D478-LLL-A9C</t>
  </si>
  <si>
    <t>9.LLL alveoli with superior pleura potentially containing terminal/respiratory bronchioles - OCT</t>
  </si>
  <si>
    <t>D478-LLL-A9D</t>
  </si>
  <si>
    <t>D478-LLL-B6A</t>
  </si>
  <si>
    <t>D478-LLL-B6B</t>
  </si>
  <si>
    <t>D478-LLL-B6C</t>
  </si>
  <si>
    <t>D478-LLL-B6D</t>
  </si>
  <si>
    <t>D478-LLL-B7A</t>
  </si>
  <si>
    <t>D478-LLL-B7B</t>
  </si>
  <si>
    <t>D478-LLL-B7C</t>
  </si>
  <si>
    <t>D478-LLL-B7D</t>
  </si>
  <si>
    <t>D478-LLL-B8A</t>
  </si>
  <si>
    <t>D478-LLL-B8B</t>
  </si>
  <si>
    <t>D478-LLL-B8C</t>
  </si>
  <si>
    <t>D478-LLL-B8D</t>
  </si>
  <si>
    <t>D478-LLL-B9A</t>
  </si>
  <si>
    <t>D478-LLL-B9B</t>
  </si>
  <si>
    <t>D478-LLL-B9C</t>
  </si>
  <si>
    <t>D478-LLL-B9D</t>
  </si>
  <si>
    <t>D478-LUL-A2A</t>
  </si>
  <si>
    <t>2.LUL segmental bronchi (3rd) or 4th bronchi (B1+2): &gt;2 mm - Snap Frozen (Multiome)</t>
  </si>
  <si>
    <t>D478-LUL-A2B</t>
  </si>
  <si>
    <t>2.LUL segmental bronchi (3rd) or 4th bronchi (B1+2): &gt;2 mm - Snap Frozen (MPLEx)</t>
  </si>
  <si>
    <t>D478-LUL-A2C</t>
  </si>
  <si>
    <t>2.LUL segmental bronchi (3rd) or 4th bronchi (B1+2): &gt;2 mm - OCT</t>
  </si>
  <si>
    <t>D478-LUL-A2D</t>
  </si>
  <si>
    <t>D478-LUL-A3A</t>
  </si>
  <si>
    <t>3.LUL bronchi-bronchiole junction (7-9th): around 2 mm, SMG/cartilage are disappearing. Between 2 and 4. - Snap Frozen (Multiome)</t>
  </si>
  <si>
    <t>D478-LUL-A3B</t>
  </si>
  <si>
    <t>3.LUL bronchi-bronchiole junction (7-9th): around 2 mm, SMG/cartilage are disappearing. Between 2 and 4. - Snap Frozen (MPLEx)</t>
  </si>
  <si>
    <t>D478-LUL-A3C</t>
  </si>
  <si>
    <t>3.LUL bronchi-bronchiole junction (7-9th): around 2 mm, SMG/cartilage are disappearing. Between 2 and 4. - OCT</t>
  </si>
  <si>
    <t>D478-LUL-A3D</t>
  </si>
  <si>
    <t>D478-LUL-A4A</t>
  </si>
  <si>
    <t>4.LUL bronchioles (more distal than 12th): &lt; 1 mm, no SMG/cartilage, potentially contain TB and RB, use microdissection. -  Snap Frozen (Multiome)</t>
  </si>
  <si>
    <t>D478-LUL-A4B</t>
  </si>
  <si>
    <t>4.LUL bronchioles (more distal than 12th): &lt; 1 mm, no SMG/cartilage, potentially contain TB and RB, use microdissection. - Snap Frozen (MPLEx)</t>
  </si>
  <si>
    <t>D478-LUL-A4C</t>
  </si>
  <si>
    <t>4.LUL bronchioles (more distal than 12th): &lt; 1 mm, no SMG/cartilage, potentially contain TB and RB, use microdissection. - OCT</t>
  </si>
  <si>
    <t>D478-LUL-A4D</t>
  </si>
  <si>
    <t>4.LUL bronchioles (more distal than 12th): &lt; 1 mm, no SMG/cartilage, potentially contain TB and RB, use microdissection. -  FFPE</t>
  </si>
  <si>
    <t>D478-LUL-A5A</t>
  </si>
  <si>
    <t>5.LUL alveoli with superior pleura potentially containing terminal/respiratory bronchioles - Snap Frozen (Multiome)</t>
  </si>
  <si>
    <t>D478-LUL-A5B</t>
  </si>
  <si>
    <t>5.LUL alveoli with superior pleura potentially containing terminal/respiratory bronchioles -  Snap Frozen (MPLEx)</t>
  </si>
  <si>
    <t>D478-LUL-A5C</t>
  </si>
  <si>
    <t>5.LUL alveoli with superior pleura potentially containing terminal/respiratory bronchioles - OCT</t>
  </si>
  <si>
    <t>D478-LUL-A5D</t>
  </si>
  <si>
    <t>D478-LUL-B2A</t>
  </si>
  <si>
    <t>D478-LUL-B2B</t>
  </si>
  <si>
    <t>D478-LUL-B2C</t>
  </si>
  <si>
    <t>D478-LUL-B2D</t>
  </si>
  <si>
    <t>2.LUL segmental bronchi (3rd) or 4th bronchi (B1+2): &gt;2 mm  - FFPE</t>
  </si>
  <si>
    <t>D478-LUL-B3A</t>
  </si>
  <si>
    <t>D478-LUL-B3B</t>
  </si>
  <si>
    <t>D478-LUL-B3C</t>
  </si>
  <si>
    <t>D478-LUL-B3D</t>
  </si>
  <si>
    <t>D478-LUL-B4A</t>
  </si>
  <si>
    <t>D478-LUL-B4B</t>
  </si>
  <si>
    <t>D478-LUL-B4C</t>
  </si>
  <si>
    <t>D478-LUL-B4D</t>
  </si>
  <si>
    <t>D478-LUL-B5A</t>
  </si>
  <si>
    <t>D478-LUL-B5B</t>
  </si>
  <si>
    <t>D478-LUL-B5C</t>
  </si>
  <si>
    <t>D478-LUL-B5D</t>
  </si>
  <si>
    <t>Tonsil_11</t>
  </si>
  <si>
    <t>NA</t>
  </si>
  <si>
    <t>Tonsil-11</t>
  </si>
  <si>
    <t>Tonsil_11_5</t>
  </si>
  <si>
    <t>tonsil FFPE block from 11 year old black male</t>
  </si>
  <si>
    <t>As of March 20, 2026 GP</t>
  </si>
  <si>
    <t>Base Model Size per sex and lobe based on maximum number of slices (each ~0.75cm thick) obtained.</t>
  </si>
  <si>
    <t>Need to provide Sex and Block ID (e.g. D403-RUL-4A3) and Maximum # of Slices obtained from this particular lobe</t>
  </si>
  <si>
    <t>Block ID contains Donor, Lobe, and Slice/Strip/Block coordinates</t>
  </si>
  <si>
    <t>Model size can also be chosen based on measurement of greatest width of the lobe in cm.</t>
  </si>
  <si>
    <t>Female</t>
  </si>
  <si>
    <t>Model to use</t>
  </si>
  <si>
    <t>iF Max Slice # is</t>
  </si>
  <si>
    <t>Width of lobe (cm)</t>
  </si>
  <si>
    <t>RUL</t>
  </si>
  <si>
    <t>&lt;5</t>
  </si>
  <si>
    <t>RML</t>
  </si>
  <si>
    <t>&lt;3</t>
  </si>
  <si>
    <t>&gt;16</t>
  </si>
  <si>
    <t>&gt;13</t>
  </si>
  <si>
    <t>RLL</t>
  </si>
  <si>
    <t>&lt;8</t>
  </si>
  <si>
    <t>LUL</t>
  </si>
  <si>
    <t>&lt;10</t>
  </si>
  <si>
    <t>Sorted by Model Size --&gt;</t>
  </si>
  <si>
    <t>LLL</t>
  </si>
  <si>
    <t>&gt;10</t>
  </si>
  <si>
    <t>&gt;15</t>
  </si>
  <si>
    <t>&gt;12</t>
  </si>
  <si>
    <t>15-20</t>
  </si>
  <si>
    <t>&gt;20</t>
  </si>
  <si>
    <t>&gt;14</t>
  </si>
  <si>
    <t>&gt;11</t>
  </si>
  <si>
    <t>Male</t>
  </si>
  <si>
    <t>&lt;11</t>
  </si>
  <si>
    <t>16-21</t>
  </si>
  <si>
    <t>&gt;21</t>
  </si>
  <si>
    <t>Based on BRINDL Inventory Data</t>
  </si>
  <si>
    <t>FEMALE</t>
  </si>
  <si>
    <t>Model 1</t>
  </si>
  <si>
    <t>Model 2</t>
  </si>
  <si>
    <t>Model 3</t>
  </si>
  <si>
    <t>BottomThird_Slices</t>
  </si>
  <si>
    <t>BottomThird_Strips</t>
  </si>
  <si>
    <t>BottomThird_Blocks</t>
  </si>
  <si>
    <t>TopThird_Slices</t>
  </si>
  <si>
    <t>TopThird_Strips</t>
  </si>
  <si>
    <t>TopThird_Blocks</t>
  </si>
  <si>
    <t>Max_Slices</t>
  </si>
  <si>
    <t>Max_Strips</t>
  </si>
  <si>
    <t>Max_Blocks</t>
  </si>
  <si>
    <t>PrimaryType</t>
  </si>
  <si>
    <t>Slice</t>
  </si>
  <si>
    <t>Strip</t>
  </si>
  <si>
    <t>MALE</t>
  </si>
  <si>
    <t>bottom third</t>
  </si>
  <si>
    <t>top third</t>
  </si>
  <si>
    <t>max</t>
  </si>
  <si>
    <t>D239-RML-BPS-3</t>
  </si>
  <si>
    <t>These will fit the model as we've created</t>
  </si>
  <si>
    <t>D016-RLL</t>
  </si>
  <si>
    <t>Right lower lobe embedded in FFPE</t>
  </si>
  <si>
    <t>D115-RLL</t>
  </si>
  <si>
    <t>Donor D115 right lung lower lobe</t>
  </si>
  <si>
    <t>D231-RLL</t>
  </si>
  <si>
    <t>Lower lobe of Donor 231's right lung</t>
  </si>
  <si>
    <t>https://dx.doi.org/10.17504/protocols.io.bjtnknme</t>
  </si>
  <si>
    <t>D239-RLL</t>
  </si>
  <si>
    <t>Right lower lobe of lung of Donor 239</t>
  </si>
  <si>
    <t>https://dx.doi.org/10.17504/protocols.io.biz7kf9n</t>
  </si>
  <si>
    <t>D239-RML</t>
  </si>
  <si>
    <t>dx.doi.org/10.17504/protocols.io.bjuxknxn</t>
  </si>
  <si>
    <t>D260-RLL</t>
  </si>
  <si>
    <t>Right lower lobe of lung from Donor 260</t>
  </si>
  <si>
    <t>D264-LLL</t>
  </si>
  <si>
    <t>Left lower lobe of lung from Donor 264</t>
  </si>
  <si>
    <t>D265-LLL</t>
  </si>
  <si>
    <t>Donor D265 left lung lower lobe</t>
  </si>
  <si>
    <t>D265-LUL</t>
  </si>
  <si>
    <t>Donor D265 left lung upper lobe</t>
  </si>
  <si>
    <t>D271-RLL</t>
  </si>
  <si>
    <t>Right lower lobe of lung from Donor 271</t>
  </si>
  <si>
    <t>D271-RML</t>
  </si>
  <si>
    <t>Right middle lobe of lung from Donor 271</t>
  </si>
  <si>
    <t>D273-RLL</t>
  </si>
  <si>
    <t>Right lower lobe of lung from Donor 273</t>
  </si>
  <si>
    <t>D292-RLL</t>
  </si>
  <si>
    <t>Right lower lobe of lung from Donor 292</t>
  </si>
  <si>
    <t>D341-RLL</t>
  </si>
  <si>
    <t>Right lower lobe of lung from Donor 341</t>
  </si>
  <si>
    <t>D341-RUL</t>
  </si>
  <si>
    <t>Right upper lobe of Donor 341 lung</t>
  </si>
  <si>
    <t>D342-RLL</t>
  </si>
  <si>
    <t>Lower lobe of Donor 342's right lung</t>
  </si>
  <si>
    <t>D346-RLL</t>
  </si>
  <si>
    <t>Right lower lobe of Donor 346's lung</t>
  </si>
  <si>
    <t>D346-RUL</t>
  </si>
  <si>
    <t>Right upper lobe of Donor 346 lung</t>
  </si>
  <si>
    <t>D403-RLL</t>
  </si>
  <si>
    <t>Donor D403 right lower lobe</t>
  </si>
  <si>
    <t>D438-LLL</t>
  </si>
  <si>
    <t>Left lower lobe of donor D438</t>
  </si>
  <si>
    <t>D438-LUL</t>
  </si>
  <si>
    <t>Left upper lobe of donor D438</t>
  </si>
  <si>
    <t>D438-RLL</t>
  </si>
  <si>
    <t xml:space="preserve"> Lower lobe of Donor 438's right lung</t>
  </si>
  <si>
    <t>D438-RUL</t>
  </si>
  <si>
    <t>Right upper lobe of Donor 438 lung</t>
  </si>
  <si>
    <t>D460-LLL</t>
  </si>
  <si>
    <t>Left lower lobe of donor D460</t>
  </si>
  <si>
    <t>D460-LUL</t>
  </si>
  <si>
    <t>Left upper lobe of donor D460</t>
  </si>
  <si>
    <t>D460-RLL</t>
  </si>
  <si>
    <t>Right lower lobe of Donor 460 lung</t>
  </si>
  <si>
    <t>D460-RUL</t>
  </si>
  <si>
    <t>Right upper lobe of Donor 460 lung</t>
  </si>
  <si>
    <t>D478-LLL</t>
  </si>
  <si>
    <t>55 year old, Male, Left lower lobe</t>
  </si>
  <si>
    <t>D478-LUL</t>
  </si>
  <si>
    <t>55 year old, Male, Left upper lobe</t>
  </si>
  <si>
    <t>D016-RLL-11</t>
  </si>
  <si>
    <t>lung slice from right lower lobe embedded in FFPE</t>
  </si>
  <si>
    <t>D231-RLL-13</t>
  </si>
  <si>
    <t>Whole lung slice from right lower lobe of Donor 231</t>
  </si>
  <si>
    <t>D231-RLL-17</t>
  </si>
  <si>
    <t>D231-RLL-9</t>
  </si>
  <si>
    <t>D239-RLL-11</t>
  </si>
  <si>
    <t>Whole lung slice from right lower lobe of Donor 239</t>
  </si>
  <si>
    <t>D239-RLL-15</t>
  </si>
  <si>
    <t>D239-RLL-18</t>
  </si>
  <si>
    <t>D239-RLL-20</t>
  </si>
  <si>
    <t>D239-RLL-22</t>
  </si>
  <si>
    <t>D265-LLL-10</t>
  </si>
  <si>
    <t>slice from lower left lobe embedded in FFPE</t>
  </si>
  <si>
    <t>D341-RLL-13</t>
  </si>
  <si>
    <t>Whole lung slice from right lower lobe of Donor 341</t>
  </si>
  <si>
    <t>D341-RLL-14</t>
  </si>
  <si>
    <t>D341-RUL-7</t>
  </si>
  <si>
    <t>Whole lung slice from right upper lobe of Donor 341</t>
  </si>
  <si>
    <t>D346-RLL-15</t>
  </si>
  <si>
    <t>Whole lung slice from right lower lobe of Donor 346</t>
  </si>
  <si>
    <t>D346-RLL-16</t>
  </si>
  <si>
    <t>D346-RLL-17</t>
  </si>
  <si>
    <t>D346-RLL-18</t>
  </si>
  <si>
    <t>D346-RUL-8</t>
  </si>
  <si>
    <t>Whole lung slice from right upper lobe of Donor 346</t>
  </si>
  <si>
    <t>D438-RLL-14</t>
  </si>
  <si>
    <t>Whole lung slice from right lower lobe of Donor 438</t>
  </si>
  <si>
    <t>D438-RUL-7</t>
  </si>
  <si>
    <t>Whole lung slice from right upper lobe of Donor 438</t>
  </si>
  <si>
    <t>D460-RLL-16</t>
  </si>
  <si>
    <t>Whole lung slice from right lower lobe of Donor 460</t>
  </si>
  <si>
    <t>D460-RUL-9</t>
  </si>
  <si>
    <t>Whole lung slice from right upper lobe of Donor 460</t>
  </si>
  <si>
    <t>D438-BRL-A1</t>
  </si>
  <si>
    <t>1.Extrapulmonary bronchi: Primary bronchus - replicate 1</t>
  </si>
  <si>
    <t>D438-BRL-B1</t>
  </si>
  <si>
    <t>1.Extrapulmonary bronchi: Primary bronchus - replicate 2</t>
  </si>
  <si>
    <t>D438-LLL-A1</t>
  </si>
  <si>
    <t>6.LLL segmental bronchi (3rd) or 4th bronchi (B1+2): &gt;2 mm - replicate 1</t>
  </si>
  <si>
    <t>D438-LLL-A2</t>
  </si>
  <si>
    <t>7.LLL bronchi-bronchiole junction (7-9th): around 2 mm - replicate 1</t>
  </si>
  <si>
    <t>D438-LLL-A3</t>
  </si>
  <si>
    <t>8.LLL bronchioles (more distal than 12th): &lt; 1 mm - replicate 1</t>
  </si>
  <si>
    <t>D438-LLL-A4</t>
  </si>
  <si>
    <t>9.LLL alveoli with superior pleura potentially containing terminal/respiratory bronchioles - replicate 1</t>
  </si>
  <si>
    <t>D438-LLL-B1</t>
  </si>
  <si>
    <t>6.LLL segmental bronchi (3rd) or 4th bronchi (B1+2): &gt;2 mm - replicate 2</t>
  </si>
  <si>
    <t>D438-LLL-B2</t>
  </si>
  <si>
    <t>7.LLL bronchi-bronchiole junction (7-9th): around 2 mm - replicate 2</t>
  </si>
  <si>
    <t>D438-LLL-B3</t>
  </si>
  <si>
    <t>8.LLL bronchioles (more distal than 12th): &lt; 1 mm - replicate 2</t>
  </si>
  <si>
    <t>D438-LLL-B4</t>
  </si>
  <si>
    <t>9.LLL alveoli with superior pleura potentially containing terminal/respiratory bronchioles - replicate 2</t>
  </si>
  <si>
    <t>D438-LUL-A1</t>
  </si>
  <si>
    <t>2.LUL segmental bronchi (3rd) or 4th bronchi (B1+2): &gt;2 mm - replicate 1</t>
  </si>
  <si>
    <t>D438-LUL-A2</t>
  </si>
  <si>
    <t>3.LUL bronchi-bronchiole junction (7-9th): around 2 mm, SMG/cartilage are disappearing. - replicate 1</t>
  </si>
  <si>
    <t>D438-LUL-A3</t>
  </si>
  <si>
    <t>4.LUL bronchioles (more distal than 12th): &lt; 1 mm, no SMG/cartilage, potentially contain TB and RB - replicate 1</t>
  </si>
  <si>
    <t>D438-LUL-A4</t>
  </si>
  <si>
    <t>5.LUL alveoli with superior pleura potentially containing terminal/respiratory bronchioles - replicate 1</t>
  </si>
  <si>
    <t>D438-LUL-B1</t>
  </si>
  <si>
    <t>2.LUL segmental bronchi (3rd) or 4th bronchi (B1+2): &gt;2 mm - replicate 2</t>
  </si>
  <si>
    <t>D438-LUL-B2</t>
  </si>
  <si>
    <t>3.LUL bronchi-bronchiole junction (7-9th): around 2 mm, SMG/cartilage are disappearing. - replicate 2</t>
  </si>
  <si>
    <t>D438-LUL-B3</t>
  </si>
  <si>
    <t>4.LUL bronchioles (more distal than 12th): &lt; 1 mm, no SMG/cartilage, potentially contain TB and RB - replicate 2</t>
  </si>
  <si>
    <t>D438-LUL-B4</t>
  </si>
  <si>
    <t>5.LUL alveoli with superior pleura potentially containing terminal/respiratory bronchioles - replicate 2</t>
  </si>
  <si>
    <t>D460-BRL-A1</t>
  </si>
  <si>
    <t>D460-BRL-B1</t>
  </si>
  <si>
    <t>D460-LLL-A6</t>
  </si>
  <si>
    <t>6.LLL segmental bronchi (3rd) or 4th bronchi (B1+2): &gt;2 mm replicate 1</t>
  </si>
  <si>
    <t>D460-LLL-A7</t>
  </si>
  <si>
    <t>7.LLL bronchi-bronchiole junction (7-9th): around 2 mm, SMG/cartilage are disappearing. Between 2 and 4. - replicate 1</t>
  </si>
  <si>
    <t>D460-LLL-A8</t>
  </si>
  <si>
    <t>8.LLL bronchioles (more distal than 12th): &lt; 1 mm, no SMG/cartilage, potentially contain TB and RB, use microdissection. - replicate 1</t>
  </si>
  <si>
    <t>D460-LLL-A9</t>
  </si>
  <si>
    <t>D460-LLL-B6</t>
  </si>
  <si>
    <t>6.LLL segmental bronchi (3rd) or 4th bronchi (B1+2): &gt;2 mm replicate 2</t>
  </si>
  <si>
    <t>D460-LLL-B7</t>
  </si>
  <si>
    <t>7.LLL bronchi-bronchiole junction (7-9th): around 2 mm, SMG/cartilage are disappearing. Between 2 and 4. - replicate 2</t>
  </si>
  <si>
    <t>D460-LLL-B8</t>
  </si>
  <si>
    <t>8.LLL bronchioles (more distal than 12th): &lt; 1 mm, no SMG/cartilage, potentially contain TB and RB, use microdissection. - replicate 2</t>
  </si>
  <si>
    <t>D460-LLL-B9</t>
  </si>
  <si>
    <t>D460-LUL-A2</t>
  </si>
  <si>
    <t>D460-LUL-A3</t>
  </si>
  <si>
    <t>3.LUL bronchi-bronchiole junction (7-9th): around 2 mm, SMG/cartilage are disappearing. Between 2 and 4. - replicate 1</t>
  </si>
  <si>
    <t>D460-LUL-A4</t>
  </si>
  <si>
    <t>4.LUL bronchioles (more distal than 12th): &lt; 1 mm, no SMG/cartilage, potentially contain TB and RB, use microdissection. - replicate 1</t>
  </si>
  <si>
    <t>D460-LUL-A5</t>
  </si>
  <si>
    <t>D460-LUL-B2</t>
  </si>
  <si>
    <t>D460-LUL-B3</t>
  </si>
  <si>
    <t>3.LUL bronchi-bronchiole junction (7-9th): around 2 mm, SMG/cartilage are disappearing. Between 2 and 4. - replicate 2</t>
  </si>
  <si>
    <t>D460-LUL-B4</t>
  </si>
  <si>
    <t>4.LUL bronchioles (more distal than 12th): &lt; 1 mm, no SMG/cartilage, potentially contain TB and RB, use microdissection. - replicate 2</t>
  </si>
  <si>
    <t>D460-LUL-B5</t>
  </si>
  <si>
    <t>D460-VPA-A1</t>
  </si>
  <si>
    <t>Extrapulmonary artery - replicate 1</t>
  </si>
  <si>
    <t>D460-VPA-B1</t>
  </si>
  <si>
    <t>Extrapulmonary artery - replicate 2</t>
  </si>
  <si>
    <t>D478-BRL-A1</t>
  </si>
  <si>
    <t>D478-BRL-B1</t>
  </si>
  <si>
    <t>D478-LLL-A6</t>
  </si>
  <si>
    <t>D478-LLL-A7</t>
  </si>
  <si>
    <t>D478-LLL-A8</t>
  </si>
  <si>
    <t>D478-LLL-A9</t>
  </si>
  <si>
    <t>D478-LLL-B6</t>
  </si>
  <si>
    <t>D478-LLL-B7</t>
  </si>
  <si>
    <t>D478-LLL-B8</t>
  </si>
  <si>
    <t>D478-LLL-B9</t>
  </si>
  <si>
    <t>D478-LUL-A2</t>
  </si>
  <si>
    <t>D478-LUL-A3</t>
  </si>
  <si>
    <t>D478-LUL-A4</t>
  </si>
  <si>
    <t>D478-LUL-A5</t>
  </si>
  <si>
    <t>D478-LUL-B2</t>
  </si>
  <si>
    <t>D478-LUL-B3</t>
  </si>
  <si>
    <t>D478-LUL-B4</t>
  </si>
  <si>
    <t>D478-LUL-B5</t>
  </si>
  <si>
    <t>D231-BRR-2-HM-TMA-8-14</t>
  </si>
  <si>
    <t>FFPE core from Donor 231  for tissue micro array</t>
  </si>
  <si>
    <t>https://dx.doi.org/10.17504/protocols.io.yxmvmmd46v3p/v1</t>
  </si>
  <si>
    <t>D231-RLL-13A5-HM-TMA-5-3</t>
  </si>
  <si>
    <t>D231-RLL-13B4-HM-TMA-6-6</t>
  </si>
  <si>
    <t>D231-RLL-13C2-HM-TMA-7-7</t>
  </si>
  <si>
    <t>D231-RLL-13D1-HM-TMA-5-14</t>
  </si>
  <si>
    <t>D231-RLL-17A5-HM-TMA-7-13</t>
  </si>
  <si>
    <t>D231-RLL-17B4-HM-TMA-6-5</t>
  </si>
  <si>
    <t>D231-RLL-17B4-HM-TMA-8-12</t>
  </si>
  <si>
    <t>D231-RLL-9A5-HM-TMA-8-3</t>
  </si>
  <si>
    <t>D231-RLL-9B3-HM-TMA-6-12</t>
  </si>
  <si>
    <t>D239-BRR-2-HM-TMA-6-14</t>
  </si>
  <si>
    <t>FFPE core from Donor 239  for tissue micro array</t>
  </si>
  <si>
    <t>D239-RLL-11A4-HM-TMA-8-15</t>
  </si>
  <si>
    <t>D239-RLL-11B3-HM-TMA-7-10</t>
  </si>
  <si>
    <t>D239-RLL-11B3-HM-TMA-8-9</t>
  </si>
  <si>
    <t>D239-RLL-15C2-HM-TMA-7-1</t>
  </si>
  <si>
    <t>D239-RLL-18D1-HM-TMA-5-10</t>
  </si>
  <si>
    <t>D239-RLL-20A6-HM-TMA-7-14</t>
  </si>
  <si>
    <t>D239-RLL-20C3-HM-TMA-6-7</t>
  </si>
  <si>
    <t>D239-RLL-22A4-HM-TMA-5-4</t>
  </si>
  <si>
    <t>D239-RLL-22B3-HM-TMA-6-3</t>
  </si>
  <si>
    <t>D341-BRR-2-HM-TMA-5-15</t>
  </si>
  <si>
    <t>FFPE core from Donor 341  for tissue micro array</t>
  </si>
  <si>
    <t>D341-RLL-13D1-HM-TMA-8-4</t>
  </si>
  <si>
    <t>FFPE core from Donor 341 for tissue micro array</t>
  </si>
  <si>
    <t>D341-RLL-14A4-HM-TMA-6-1</t>
  </si>
  <si>
    <t>D341-RLL-14B3-HM-TMA-5-6</t>
  </si>
  <si>
    <t>D341-RLL-14B3-HM-TMA-8-8</t>
  </si>
  <si>
    <t>D341-RLL-14D3-HM-TMA-7-11</t>
  </si>
  <si>
    <t>D341-RUL-7A4-HM-TMA-6-9</t>
  </si>
  <si>
    <t>D341-RUL-7B5-HM-TMA-7-5</t>
  </si>
  <si>
    <t>D341-RUL-7C2-HM-TMA-5-2</t>
  </si>
  <si>
    <t>D341-RUL-7C2-HM-TMA-5-8</t>
  </si>
  <si>
    <t>D346-BRR-2-HM-TMA-6-10</t>
  </si>
  <si>
    <t>FFPE core from Donor 346  for tissue micro array</t>
  </si>
  <si>
    <t>D346-RLL-16C2-HM-TMA-7-15</t>
  </si>
  <si>
    <t>D346-RLL-17B5-HM-TMA-5-12</t>
  </si>
  <si>
    <t>D346-RLL-17D3-HM-TMA-6-2</t>
  </si>
  <si>
    <t>D346-RLL-17D3-HM-TMA-8-2</t>
  </si>
  <si>
    <t>D346-RLL-18A6-HM-TMA-8-6</t>
  </si>
  <si>
    <t>D346-RUL-8B1-HM-TMA-6-13</t>
  </si>
  <si>
    <t>D346-RUL-8C1-HM-TMA-7-2</t>
  </si>
  <si>
    <t>D346-RUL-8C4-HM-TMA-5-9</t>
  </si>
  <si>
    <t>D346-RUL-8D3-HM-TMA-7-8</t>
  </si>
  <si>
    <t>D438-BRL-1-HM-TMA-8-5</t>
  </si>
  <si>
    <t>FFPE core from Donor 438  for tissue micro array</t>
  </si>
  <si>
    <t>D438-RLL-14A7-HM-TMA-7-9</t>
  </si>
  <si>
    <t>D438-RLL-14B2-HM-TMA-5-1</t>
  </si>
  <si>
    <t>FFPE core from Donor 438 for tissue micro array</t>
  </si>
  <si>
    <t>D438-RLL-14D2-HM-TMA-8-7</t>
  </si>
  <si>
    <t>D438-RUL-7A3-HM-TMA-5-13</t>
  </si>
  <si>
    <t>D438-RUL-7A3-HM-TMA-7-12</t>
  </si>
  <si>
    <t>D438-RUL-7A3-HM-TMA-7-3</t>
  </si>
  <si>
    <t>D438-RUL-7A3-HM-TMA-8-11</t>
  </si>
  <si>
    <t>D438-RUL-7B4-HM-TMA-6-8</t>
  </si>
  <si>
    <t>D438-RUL-7B5-HM-TMA-6-15</t>
  </si>
  <si>
    <t>D460-BRL-A1D-HM-TMA-7-4</t>
  </si>
  <si>
    <t>FFPE core from Donor 460  for tissue micro array</t>
  </si>
  <si>
    <t>D460-RLL-16A6-HM-TMA-5-11</t>
  </si>
  <si>
    <t>D460-RLL-16B2-HM-TMA-5-5</t>
  </si>
  <si>
    <t>D460-RLL-16B2-HM-TMA-8-10</t>
  </si>
  <si>
    <t>D460-RLL-16C3-HM-TMA-6-4</t>
  </si>
  <si>
    <t>D460-RLL-16D1-HM-TMA-6-11</t>
  </si>
  <si>
    <t>D460-RUL-9A5-HM-TMA-7-6</t>
  </si>
  <si>
    <t>FFPE core from Donor 460 for tissue micro array</t>
  </si>
  <si>
    <t>D460-RUL-9A6-HM-TMA-5-7</t>
  </si>
  <si>
    <t>D460-RUL-9B2-HM-TMA-8-1</t>
  </si>
  <si>
    <t>D460-RUL-9B3-HM-TMA-8-13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</si>
</sst>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\ hh:mm:ss"/>
    <numFmt numFmtId="165" formatCode="m-d"/>
  </numFmts>
  <fonts count="15">
    <font>
      <sz val="12.0"/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u/>
      <sz val="11.0"/>
      <color theme="10"/>
      <name val="Calibri"/>
    </font>
    <font>
      <color theme="1"/>
      <name val="Arial"/>
    </font>
    <font>
      <color theme="1"/>
      <name val="Aptos Narrow"/>
      <scheme val="minor"/>
    </font>
    <font>
      <sz val="12.0"/>
      <color theme="1"/>
      <name val="Aptos Narrow"/>
    </font>
    <font>
      <u/>
      <sz val="11.0"/>
      <color theme="10"/>
      <name val="Calibri"/>
    </font>
    <font>
      <u/>
      <sz val="11.0"/>
      <color theme="10"/>
      <name val="Calibri"/>
    </font>
    <font>
      <color rgb="FFFF0000"/>
      <name val="Arial"/>
    </font>
    <font>
      <u/>
      <sz val="11.0"/>
      <color theme="10"/>
      <name val="Calibri"/>
    </font>
    <font>
      <sz val="11.0"/>
      <color rgb="FF000000"/>
      <name val="Calibri"/>
    </font>
    <font>
      <sz val="12.0"/>
      <color rgb="FF000000"/>
      <name val="Arial"/>
    </font>
    <font>
      <sz val="12.0"/>
      <color rgb="FF000000"/>
      <name val="&quot;Aptos Narrow&quot;"/>
    </font>
    <font>
      <b/>
      <sz val="11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0D0D0"/>
        <bgColor rgb="FFD0D0D0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DBE9F7"/>
        <bgColor rgb="FFDBE9F7"/>
      </patternFill>
    </fill>
    <fill>
      <patternFill patternType="solid">
        <fgColor rgb="FF61CBF3"/>
        <bgColor rgb="FF61CBF3"/>
      </patternFill>
    </fill>
    <fill>
      <patternFill patternType="solid">
        <fgColor rgb="FFC0E6F5"/>
        <bgColor rgb="FFC0E6F5"/>
      </patternFill>
    </fill>
    <fill>
      <patternFill patternType="solid">
        <fgColor rgb="FFCAEDFB"/>
        <bgColor rgb="FFCAEDFB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2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readingOrder="0" vertical="top"/>
    </xf>
    <xf borderId="0" fillId="0" fontId="3" numFmtId="0" xfId="0" applyFont="1"/>
    <xf borderId="0" fillId="0" fontId="4" numFmtId="0" xfId="0" applyAlignment="1" applyFont="1">
      <alignment horizontal="center" readingOrder="0"/>
    </xf>
    <xf borderId="0" fillId="0" fontId="5" numFmtId="0" xfId="0" applyFont="1"/>
    <xf borderId="0" fillId="0" fontId="5" numFmtId="0" xfId="0" applyAlignment="1" applyFont="1">
      <alignment horizontal="center"/>
    </xf>
    <xf borderId="0" fillId="0" fontId="6" numFmtId="164" xfId="0" applyFont="1" applyNumberFormat="1"/>
    <xf borderId="0" fillId="0" fontId="4" numFmtId="0" xfId="0" applyAlignment="1" applyFont="1">
      <alignment readingOrder="0"/>
    </xf>
    <xf borderId="2" fillId="3" fontId="7" numFmtId="0" xfId="0" applyBorder="1" applyFill="1" applyFont="1"/>
    <xf borderId="2" fillId="3" fontId="6" numFmtId="0" xfId="0" applyAlignment="1" applyBorder="1" applyFont="1">
      <alignment horizontal="center"/>
    </xf>
    <xf borderId="2" fillId="3" fontId="6" numFmtId="0" xfId="0" applyBorder="1" applyFont="1"/>
    <xf borderId="2" fillId="3" fontId="6" numFmtId="164" xfId="0" applyBorder="1" applyFont="1" applyNumberFormat="1"/>
    <xf borderId="0" fillId="4" fontId="8" numFmtId="0" xfId="0" applyFill="1" applyFont="1"/>
    <xf borderId="0" fillId="4" fontId="5" numFmtId="0" xfId="0" applyAlignment="1" applyFont="1">
      <alignment horizontal="center"/>
    </xf>
    <xf borderId="0" fillId="4" fontId="5" numFmtId="0" xfId="0" applyFont="1"/>
    <xf borderId="0" fillId="4" fontId="6" numFmtId="164" xfId="0" applyFont="1" applyNumberFormat="1"/>
    <xf borderId="0" fillId="0" fontId="9" numFmtId="0" xfId="0" applyAlignment="1" applyFont="1">
      <alignment readingOrder="0"/>
    </xf>
    <xf borderId="0" fillId="5" fontId="10" numFmtId="0" xfId="0" applyFill="1" applyFont="1"/>
    <xf borderId="0" fillId="5" fontId="5" numFmtId="0" xfId="0" applyAlignment="1" applyFont="1">
      <alignment horizontal="center"/>
    </xf>
    <xf borderId="0" fillId="5" fontId="5" numFmtId="0" xfId="0" applyFont="1"/>
    <xf borderId="0" fillId="5" fontId="6" numFmtId="164" xfId="0" applyFont="1" applyNumberFormat="1"/>
    <xf borderId="2" fillId="6" fontId="6" numFmtId="0" xfId="0" applyBorder="1" applyFill="1" applyFont="1"/>
    <xf borderId="2" fillId="3" fontId="6" numFmtId="0" xfId="0" applyAlignment="1" applyBorder="1" applyFont="1">
      <alignment shrinkToFit="0" wrapText="1"/>
    </xf>
    <xf borderId="0" fillId="2" fontId="4" numFmtId="0" xfId="0" applyAlignment="1" applyFont="1">
      <alignment readingOrder="0"/>
    </xf>
    <xf borderId="0" fillId="2" fontId="5" numFmtId="0" xfId="0" applyFont="1"/>
    <xf borderId="0" fillId="2" fontId="5" numFmtId="0" xfId="0" applyAlignment="1" applyFont="1">
      <alignment horizontal="center"/>
    </xf>
    <xf borderId="0" fillId="0" fontId="11" numFmtId="0" xfId="0" applyAlignment="1" applyFont="1">
      <alignment horizontal="center" readingOrder="0" shrinkToFit="0" vertical="bottom" wrapText="0"/>
    </xf>
    <xf borderId="0" fillId="0" fontId="11" numFmtId="0" xfId="0" applyAlignment="1" applyFont="1">
      <alignment horizontal="left" readingOrder="0" shrinkToFit="0" vertical="bottom" wrapText="0"/>
    </xf>
    <xf borderId="0" fillId="2" fontId="11" numFmtId="0" xfId="0" applyAlignment="1" applyFont="1">
      <alignment horizontal="center" readingOrder="0" shrinkToFit="0" vertical="bottom" wrapText="0"/>
    </xf>
    <xf borderId="0" fillId="2" fontId="4" numFmtId="0" xfId="0" applyAlignment="1" applyFont="1">
      <alignment horizontal="center" readingOrder="0"/>
    </xf>
    <xf borderId="1" fillId="2" fontId="11" numFmtId="0" xfId="0" applyAlignment="1" applyBorder="1" applyFont="1">
      <alignment horizontal="center" readingOrder="0" vertical="bottom"/>
    </xf>
    <xf borderId="1" fillId="2" fontId="12" numFmtId="0" xfId="0" applyAlignment="1" applyBorder="1" applyFont="1">
      <alignment horizontal="center" readingOrder="0" vertical="bottom"/>
    </xf>
    <xf borderId="0" fillId="0" fontId="11" numFmtId="165" xfId="0" applyAlignment="1" applyFont="1" applyNumberFormat="1">
      <alignment horizontal="center" readingOrder="0" shrinkToFit="0" vertical="bottom" wrapText="0"/>
    </xf>
    <xf borderId="1" fillId="7" fontId="11" numFmtId="0" xfId="0" applyAlignment="1" applyBorder="1" applyFill="1" applyFont="1">
      <alignment horizontal="center" readingOrder="0" shrinkToFit="0" vertical="bottom" wrapText="0"/>
    </xf>
    <xf borderId="1" fillId="7" fontId="11" numFmtId="165" xfId="0" applyAlignment="1" applyBorder="1" applyFont="1" applyNumberFormat="1">
      <alignment horizontal="center" readingOrder="0" shrinkToFit="0" vertical="bottom" wrapText="0"/>
    </xf>
    <xf borderId="1" fillId="7" fontId="12" numFmtId="0" xfId="0" applyAlignment="1" applyBorder="1" applyFont="1">
      <alignment horizontal="center" readingOrder="0" shrinkToFit="0" vertical="bottom" wrapText="0"/>
    </xf>
    <xf borderId="0" fillId="0" fontId="4" numFmtId="165" xfId="0" applyAlignment="1" applyFont="1" applyNumberFormat="1">
      <alignment horizontal="center" readingOrder="0"/>
    </xf>
    <xf borderId="1" fillId="8" fontId="11" numFmtId="0" xfId="0" applyAlignment="1" applyBorder="1" applyFill="1" applyFont="1">
      <alignment horizontal="center" readingOrder="0" shrinkToFit="0" vertical="bottom" wrapText="0"/>
    </xf>
    <xf borderId="1" fillId="8" fontId="11" numFmtId="165" xfId="0" applyAlignment="1" applyBorder="1" applyFont="1" applyNumberFormat="1">
      <alignment horizontal="center" readingOrder="0" shrinkToFit="0" vertical="bottom" wrapText="0"/>
    </xf>
    <xf borderId="1" fillId="8" fontId="12" numFmtId="165" xfId="0" applyAlignment="1" applyBorder="1" applyFont="1" applyNumberFormat="1">
      <alignment horizontal="center" readingOrder="0" shrinkToFit="0" vertical="bottom" wrapText="0"/>
    </xf>
    <xf borderId="1" fillId="9" fontId="11" numFmtId="0" xfId="0" applyAlignment="1" applyBorder="1" applyFill="1" applyFont="1">
      <alignment horizontal="center" readingOrder="0" shrinkToFit="0" vertical="bottom" wrapText="0"/>
    </xf>
    <xf borderId="1" fillId="9" fontId="12" numFmtId="0" xfId="0" applyAlignment="1" applyBorder="1" applyFont="1">
      <alignment horizontal="center" readingOrder="0" shrinkToFit="0" vertical="bottom" wrapText="0"/>
    </xf>
    <xf borderId="0" fillId="0" fontId="11" numFmtId="0" xfId="0" applyAlignment="1" applyFont="1">
      <alignment horizontal="center" shrinkToFit="0" vertical="bottom" wrapText="0"/>
    </xf>
    <xf borderId="1" fillId="0" fontId="11" numFmtId="0" xfId="0" applyAlignment="1" applyBorder="1" applyFont="1">
      <alignment horizontal="center" shrinkToFit="0" vertical="bottom" wrapText="0"/>
    </xf>
    <xf borderId="1" fillId="0" fontId="13" numFmtId="0" xfId="0" applyAlignment="1" applyBorder="1" applyFont="1">
      <alignment horizontal="center" shrinkToFit="0" vertical="bottom" wrapText="0"/>
    </xf>
    <xf borderId="0" fillId="0" fontId="13" numFmtId="0" xfId="0" applyAlignment="1" applyFont="1">
      <alignment shrinkToFit="0" vertical="bottom" wrapText="0"/>
    </xf>
    <xf borderId="0" fillId="0" fontId="14" numFmtId="0" xfId="0" applyAlignment="1" applyFont="1">
      <alignment horizontal="center" readingOrder="0" shrinkToFit="0" wrapText="0"/>
    </xf>
    <xf borderId="0" fillId="0" fontId="14" numFmtId="0" xfId="0" applyAlignment="1" applyFont="1">
      <alignment horizontal="center" shrinkToFit="0" wrapText="0"/>
    </xf>
    <xf borderId="0" fillId="0" fontId="14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11" numFmtId="0" xfId="0" applyAlignment="1" applyFont="1">
      <alignment horizontal="center" readingOrder="0" shrinkToFit="0" wrapText="0"/>
    </xf>
    <xf borderId="0" fillId="0" fontId="11" numFmtId="0" xfId="0" applyAlignment="1" applyFont="1">
      <alignment horizontal="center" shrinkToFit="0" wrapText="0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customschemas.google.com/relationships/workbookmetadata" Target="metadata"/><Relationship Id="rId10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x.doi.org/10.17504/protocols.io.kxygxejwdv8j/v3" TargetMode="External"/><Relationship Id="rId190" Type="http://schemas.openxmlformats.org/officeDocument/2006/relationships/hyperlink" Target="https://dx.doi.org/10.17504/protocols.io.kxygxejwdv8j/v3" TargetMode="External"/><Relationship Id="rId42" Type="http://schemas.openxmlformats.org/officeDocument/2006/relationships/hyperlink" Target="https://dx.doi.org/10.17504/protocols.io.kxygxejwdv8j/v3" TargetMode="External"/><Relationship Id="rId41" Type="http://schemas.openxmlformats.org/officeDocument/2006/relationships/hyperlink" Target="https://dx.doi.org/10.17504/protocols.io.kxygxejwdv8j/v3" TargetMode="External"/><Relationship Id="rId44" Type="http://schemas.openxmlformats.org/officeDocument/2006/relationships/hyperlink" Target="https://dx.doi.org/10.17504/protocols.io.kxygxejwdv8j/v3" TargetMode="External"/><Relationship Id="rId194" Type="http://schemas.openxmlformats.org/officeDocument/2006/relationships/hyperlink" Target="https://dx.doi.org/10.17504/protocols.io.kxygxejwdv8j/v3" TargetMode="External"/><Relationship Id="rId43" Type="http://schemas.openxmlformats.org/officeDocument/2006/relationships/hyperlink" Target="https://dx.doi.org/10.17504/protocols.io.kxygxejwdv8j/v2" TargetMode="External"/><Relationship Id="rId193" Type="http://schemas.openxmlformats.org/officeDocument/2006/relationships/hyperlink" Target="https://dx.doi.org/10.17504/protocols.io.kxygxejwdv8j/v3" TargetMode="External"/><Relationship Id="rId46" Type="http://schemas.openxmlformats.org/officeDocument/2006/relationships/hyperlink" Target="https://dx.doi.org/10.17504/protocols.io.kxygxejwdv8j/v3" TargetMode="External"/><Relationship Id="rId192" Type="http://schemas.openxmlformats.org/officeDocument/2006/relationships/hyperlink" Target="https://dx.doi.org/10.17504/protocols.io.kxygxejwdv8j/v3" TargetMode="External"/><Relationship Id="rId45" Type="http://schemas.openxmlformats.org/officeDocument/2006/relationships/hyperlink" Target="https://dx.doi.org/10.17504/protocols.io.kxygxejwdv8j/v3" TargetMode="External"/><Relationship Id="rId191" Type="http://schemas.openxmlformats.org/officeDocument/2006/relationships/hyperlink" Target="https://dx.doi.org/10.17504/protocols.io.kxygxejwdv8j/v3" TargetMode="External"/><Relationship Id="rId48" Type="http://schemas.openxmlformats.org/officeDocument/2006/relationships/hyperlink" Target="https://dx.doi.org/10.17504/protocols.io.kxygxejwdv8j/v3" TargetMode="External"/><Relationship Id="rId187" Type="http://schemas.openxmlformats.org/officeDocument/2006/relationships/hyperlink" Target="https://dx.doi.org/10.17504/protocols.io.kxygxejwdv8j/v3" TargetMode="External"/><Relationship Id="rId47" Type="http://schemas.openxmlformats.org/officeDocument/2006/relationships/hyperlink" Target="https://dx.doi.org/10.17504/protocols.io.kxygxejwdv8j/v3" TargetMode="External"/><Relationship Id="rId186" Type="http://schemas.openxmlformats.org/officeDocument/2006/relationships/hyperlink" Target="https://dx.doi.org/10.17504/protocols.io.kxygxejwdv8j/v3" TargetMode="External"/><Relationship Id="rId185" Type="http://schemas.openxmlformats.org/officeDocument/2006/relationships/hyperlink" Target="https://dx.doi.org/10.17504/protocols.io.kxygxejwdv8j/v3" TargetMode="External"/><Relationship Id="rId49" Type="http://schemas.openxmlformats.org/officeDocument/2006/relationships/hyperlink" Target="https://dx.doi.org/10.17504/protocols.io.kxygxejwdv8j/v3" TargetMode="External"/><Relationship Id="rId184" Type="http://schemas.openxmlformats.org/officeDocument/2006/relationships/hyperlink" Target="https://dx.doi.org/10.17504/protocols.io.kxygxejwdv8j/v3" TargetMode="External"/><Relationship Id="rId189" Type="http://schemas.openxmlformats.org/officeDocument/2006/relationships/hyperlink" Target="https://dx.doi.org/10.17504/protocols.io.kxygxejwdv8j/v3" TargetMode="External"/><Relationship Id="rId188" Type="http://schemas.openxmlformats.org/officeDocument/2006/relationships/hyperlink" Target="https://dx.doi.org/10.17504/protocols.io.kxygxejwdv8j/v3" TargetMode="External"/><Relationship Id="rId31" Type="http://schemas.openxmlformats.org/officeDocument/2006/relationships/hyperlink" Target="https://dx.doi.org/10.17504/protocols.io.kxygxejwdv8j/v3" TargetMode="External"/><Relationship Id="rId30" Type="http://schemas.openxmlformats.org/officeDocument/2006/relationships/hyperlink" Target="https://dx.doi.org/10.17504/protocols.io.kxygxejwdv8j/v3" TargetMode="External"/><Relationship Id="rId33" Type="http://schemas.openxmlformats.org/officeDocument/2006/relationships/hyperlink" Target="https://dx.doi.org/10.17504/protocols.io.kxygxejwdv8j/v3" TargetMode="External"/><Relationship Id="rId183" Type="http://schemas.openxmlformats.org/officeDocument/2006/relationships/hyperlink" Target="https://dx.doi.org/10.17504/protocols.io.kxygxejwdv8j/v3" TargetMode="External"/><Relationship Id="rId32" Type="http://schemas.openxmlformats.org/officeDocument/2006/relationships/hyperlink" Target="https://dx.doi.org/10.17504/protocols.io.kxygxejwdv8j/v3" TargetMode="External"/><Relationship Id="rId182" Type="http://schemas.openxmlformats.org/officeDocument/2006/relationships/hyperlink" Target="https://dx.doi.org/10.17504/protocols.io.kxygxejwdv8j/v3" TargetMode="External"/><Relationship Id="rId35" Type="http://schemas.openxmlformats.org/officeDocument/2006/relationships/hyperlink" Target="https://dx.doi.org/10.17504/protocols.io.kxygxejwdv8j/v3" TargetMode="External"/><Relationship Id="rId181" Type="http://schemas.openxmlformats.org/officeDocument/2006/relationships/hyperlink" Target="https://dx.doi.org/10.17504/protocols.io.kxygxejwdv8j/v3" TargetMode="External"/><Relationship Id="rId34" Type="http://schemas.openxmlformats.org/officeDocument/2006/relationships/hyperlink" Target="https://dx.doi.org/10.17504/protocols.io.kxygxejwdv8j/v3" TargetMode="External"/><Relationship Id="rId180" Type="http://schemas.openxmlformats.org/officeDocument/2006/relationships/hyperlink" Target="https://dx.doi.org/10.17504/protocols.io.kxygxejwdv8j/v3" TargetMode="External"/><Relationship Id="rId37" Type="http://schemas.openxmlformats.org/officeDocument/2006/relationships/hyperlink" Target="https://dx.doi.org/10.17504/protocols.io.kxygxejwdv8j/v3" TargetMode="External"/><Relationship Id="rId176" Type="http://schemas.openxmlformats.org/officeDocument/2006/relationships/hyperlink" Target="https://dx.doi.org/10.17504/protocols.io.kxygxejwdv8j/v3" TargetMode="External"/><Relationship Id="rId297" Type="http://schemas.openxmlformats.org/officeDocument/2006/relationships/hyperlink" Target="https://dx.doi.org/10.17504/protocols.io.kxygxejwdv8j/v3" TargetMode="External"/><Relationship Id="rId36" Type="http://schemas.openxmlformats.org/officeDocument/2006/relationships/hyperlink" Target="https://dx.doi.org/10.17504/protocols.io.kxygxejwdv8j/v3" TargetMode="External"/><Relationship Id="rId175" Type="http://schemas.openxmlformats.org/officeDocument/2006/relationships/hyperlink" Target="https://dx.doi.org/10.17504/protocols.io.kxygxejwdv8j/v3" TargetMode="External"/><Relationship Id="rId296" Type="http://schemas.openxmlformats.org/officeDocument/2006/relationships/hyperlink" Target="https://dx.doi.org/10.17504/protocols.io.j8nlk91jdv5r/v1" TargetMode="External"/><Relationship Id="rId39" Type="http://schemas.openxmlformats.org/officeDocument/2006/relationships/hyperlink" Target="https://dx.doi.org/10.17504/protocols.io.kxygxejwdv8j/v3" TargetMode="External"/><Relationship Id="rId174" Type="http://schemas.openxmlformats.org/officeDocument/2006/relationships/hyperlink" Target="https://dx.doi.org/10.17504/protocols.io.kxygxejwdv8j/v3" TargetMode="External"/><Relationship Id="rId295" Type="http://schemas.openxmlformats.org/officeDocument/2006/relationships/hyperlink" Target="https://dx.doi.org/10.17504/protocols.io.j8nlk91jdv5r/v1" TargetMode="External"/><Relationship Id="rId38" Type="http://schemas.openxmlformats.org/officeDocument/2006/relationships/hyperlink" Target="https://dx.doi.org/10.17504/protocols.io.kxygxejwdv8j/v3" TargetMode="External"/><Relationship Id="rId173" Type="http://schemas.openxmlformats.org/officeDocument/2006/relationships/hyperlink" Target="https://dx.doi.org/10.17504/protocols.io.kxygxejwdv8j/v3" TargetMode="External"/><Relationship Id="rId294" Type="http://schemas.openxmlformats.org/officeDocument/2006/relationships/hyperlink" Target="https://dx.doi.org/10.17504/protocols.io.j8nlk91jdv5r/v1" TargetMode="External"/><Relationship Id="rId179" Type="http://schemas.openxmlformats.org/officeDocument/2006/relationships/hyperlink" Target="https://dx.doi.org/10.17504/protocols.io.kxygxejwdv8j/v3" TargetMode="External"/><Relationship Id="rId178" Type="http://schemas.openxmlformats.org/officeDocument/2006/relationships/hyperlink" Target="https://dx.doi.org/10.17504/protocols.io.kxygxejwdv8j/v3" TargetMode="External"/><Relationship Id="rId177" Type="http://schemas.openxmlformats.org/officeDocument/2006/relationships/hyperlink" Target="https://dx.doi.org/10.17504/protocols.io.kxygxejwdv8j/v3" TargetMode="External"/><Relationship Id="rId298" Type="http://schemas.openxmlformats.org/officeDocument/2006/relationships/drawing" Target="../drawings/drawing1.xml"/><Relationship Id="rId20" Type="http://schemas.openxmlformats.org/officeDocument/2006/relationships/hyperlink" Target="https://dx.doi.org/10.17504/protocols.io.kxygxejwdv8j/v3" TargetMode="External"/><Relationship Id="rId22" Type="http://schemas.openxmlformats.org/officeDocument/2006/relationships/hyperlink" Target="https://dx.doi.org/10.17504/protocols.io.kxygxejwdv8j/v3" TargetMode="External"/><Relationship Id="rId21" Type="http://schemas.openxmlformats.org/officeDocument/2006/relationships/hyperlink" Target="https://dx.doi.org/10.17504/protocols.io.kxygxejwdv8j/v3" TargetMode="External"/><Relationship Id="rId24" Type="http://schemas.openxmlformats.org/officeDocument/2006/relationships/hyperlink" Target="https://dx.doi.org/10.17504/protocols.io.kxygxejwdv8j/v3" TargetMode="External"/><Relationship Id="rId23" Type="http://schemas.openxmlformats.org/officeDocument/2006/relationships/hyperlink" Target="https://dx.doi.org/10.17504/protocols.io.kxygxejwdv8j/v3" TargetMode="External"/><Relationship Id="rId26" Type="http://schemas.openxmlformats.org/officeDocument/2006/relationships/hyperlink" Target="https://dx.doi.org/10.17504/protocols.io.kxygxejwdv8j/v2" TargetMode="External"/><Relationship Id="rId25" Type="http://schemas.openxmlformats.org/officeDocument/2006/relationships/hyperlink" Target="https://dx.doi.org/10.17504/protocols.io.kxygxejwdv8j/v2" TargetMode="External"/><Relationship Id="rId28" Type="http://schemas.openxmlformats.org/officeDocument/2006/relationships/hyperlink" Target="https://dx.doi.org/10.17504/protocols.io.kxygxejwdv8j/v3" TargetMode="External"/><Relationship Id="rId27" Type="http://schemas.openxmlformats.org/officeDocument/2006/relationships/hyperlink" Target="https://dx.doi.org/10.17504/protocols.io.rm7vz84k2vx1/v2" TargetMode="External"/><Relationship Id="rId29" Type="http://schemas.openxmlformats.org/officeDocument/2006/relationships/hyperlink" Target="https://dx.doi.org/10.17504/protocols.io.kxygxejwdv8j/v3" TargetMode="External"/><Relationship Id="rId11" Type="http://schemas.openxmlformats.org/officeDocument/2006/relationships/hyperlink" Target="https://dx.doi.org/10.17504/protocols.io.kxygxejwdv8j/v3" TargetMode="External"/><Relationship Id="rId10" Type="http://schemas.openxmlformats.org/officeDocument/2006/relationships/hyperlink" Target="https://dx.doi.org/10.17504/protocols.io.kxygxejwdv8j/v3" TargetMode="External"/><Relationship Id="rId13" Type="http://schemas.openxmlformats.org/officeDocument/2006/relationships/hyperlink" Target="https://dx.doi.org/10.17504/protocols.io.kxygxejwdv8j/v3" TargetMode="External"/><Relationship Id="rId12" Type="http://schemas.openxmlformats.org/officeDocument/2006/relationships/hyperlink" Target="https://dx.doi.org/10.17504/protocols.io.kxygxejwdv8j/v3" TargetMode="External"/><Relationship Id="rId15" Type="http://schemas.openxmlformats.org/officeDocument/2006/relationships/hyperlink" Target="https://dx.doi.org/10.17504/protocols.io.kxygxejwdv8j/v3" TargetMode="External"/><Relationship Id="rId198" Type="http://schemas.openxmlformats.org/officeDocument/2006/relationships/hyperlink" Target="https://dx.doi.org/10.17504/protocols.io.kxygxejwdv8j/v3" TargetMode="External"/><Relationship Id="rId14" Type="http://schemas.openxmlformats.org/officeDocument/2006/relationships/hyperlink" Target="https://dx.doi.org/10.17504/protocols.io.n2bvj395plk5/v1" TargetMode="External"/><Relationship Id="rId197" Type="http://schemas.openxmlformats.org/officeDocument/2006/relationships/hyperlink" Target="https://dx.doi.org/10.17504/protocols.io.kxygxejwdv8j/v3" TargetMode="External"/><Relationship Id="rId17" Type="http://schemas.openxmlformats.org/officeDocument/2006/relationships/hyperlink" Target="https://dx.doi.org/10.17504/protocols.io.kxygxejwdv8j/v3" TargetMode="External"/><Relationship Id="rId196" Type="http://schemas.openxmlformats.org/officeDocument/2006/relationships/hyperlink" Target="https://dx.doi.org/10.17504/protocols.io.kxygxejwdv8j/v3" TargetMode="External"/><Relationship Id="rId16" Type="http://schemas.openxmlformats.org/officeDocument/2006/relationships/hyperlink" Target="https://dx.doi.org/10.17504/protocols.io.kxygxejwdv8j/v3" TargetMode="External"/><Relationship Id="rId195" Type="http://schemas.openxmlformats.org/officeDocument/2006/relationships/hyperlink" Target="https://dx.doi.org/10.17504/protocols.io.kxygxejwdv8j/v3" TargetMode="External"/><Relationship Id="rId19" Type="http://schemas.openxmlformats.org/officeDocument/2006/relationships/hyperlink" Target="https://dx.doi.org/10.17504/protocols.io.kxygxejwdv8j/v3" TargetMode="External"/><Relationship Id="rId18" Type="http://schemas.openxmlformats.org/officeDocument/2006/relationships/hyperlink" Target="https://dx.doi.org/10.17504/protocols.io.kxygxejwdv8j/v3" TargetMode="External"/><Relationship Id="rId199" Type="http://schemas.openxmlformats.org/officeDocument/2006/relationships/hyperlink" Target="https://dx.doi.org/10.17504/protocols.io.kxygxejwdv8j/v3" TargetMode="External"/><Relationship Id="rId84" Type="http://schemas.openxmlformats.org/officeDocument/2006/relationships/hyperlink" Target="https://dx.doi.org/10.17504/protocols.io.n2bvj395plk5/v1" TargetMode="External"/><Relationship Id="rId83" Type="http://schemas.openxmlformats.org/officeDocument/2006/relationships/hyperlink" Target="https://dx.doi.org/10.17504/protocols.io.n2bvj395plk5/v1" TargetMode="External"/><Relationship Id="rId86" Type="http://schemas.openxmlformats.org/officeDocument/2006/relationships/hyperlink" Target="https://dx.doi.org/10.17504/protocols.io.n2bvj395plk5/v1" TargetMode="External"/><Relationship Id="rId85" Type="http://schemas.openxmlformats.org/officeDocument/2006/relationships/hyperlink" Target="https://dx.doi.org/10.17504/protocols.io.n2bvj395plk5/v1" TargetMode="External"/><Relationship Id="rId88" Type="http://schemas.openxmlformats.org/officeDocument/2006/relationships/hyperlink" Target="https://dx.doi.org/10.17504/protocols.io.n2bvj395plk5/v1" TargetMode="External"/><Relationship Id="rId150" Type="http://schemas.openxmlformats.org/officeDocument/2006/relationships/hyperlink" Target="https://dx.doi.org/10.17504/protocols.io.kxygxejwdv8j/v3" TargetMode="External"/><Relationship Id="rId271" Type="http://schemas.openxmlformats.org/officeDocument/2006/relationships/hyperlink" Target="https://dx.doi.org/10.17504/protocols.io.j8nlk91jdv5r/v1" TargetMode="External"/><Relationship Id="rId87" Type="http://schemas.openxmlformats.org/officeDocument/2006/relationships/hyperlink" Target="https://dx.doi.org/10.17504/protocols.io.n2bvj395plk5/v1" TargetMode="External"/><Relationship Id="rId270" Type="http://schemas.openxmlformats.org/officeDocument/2006/relationships/hyperlink" Target="https://dx.doi.org/10.17504/protocols.io.j8nlk91jdv5r/v1" TargetMode="External"/><Relationship Id="rId89" Type="http://schemas.openxmlformats.org/officeDocument/2006/relationships/hyperlink" Target="https://dx.doi.org/10.17504/protocols.io.n2bvj395plk5/v1" TargetMode="External"/><Relationship Id="rId80" Type="http://schemas.openxmlformats.org/officeDocument/2006/relationships/hyperlink" Target="https://dx.doi.org/10.17504/protocols.io.n2bvj395plk5/v1" TargetMode="External"/><Relationship Id="rId82" Type="http://schemas.openxmlformats.org/officeDocument/2006/relationships/hyperlink" Target="https://dx.doi.org/10.17504/protocols.io.n2bvj395plk5/v1" TargetMode="External"/><Relationship Id="rId81" Type="http://schemas.openxmlformats.org/officeDocument/2006/relationships/hyperlink" Target="https://dx.doi.org/10.17504/protocols.io.n2bvj395plk5/v1" TargetMode="External"/><Relationship Id="rId1" Type="http://schemas.openxmlformats.org/officeDocument/2006/relationships/hyperlink" Target="https://dx.doi.org/10.17504/protocols.io.kxygxejwdv8j/v3" TargetMode="External"/><Relationship Id="rId2" Type="http://schemas.openxmlformats.org/officeDocument/2006/relationships/hyperlink" Target="https://dx.doi.org/10.17504/protocols.io.bjttknnn" TargetMode="External"/><Relationship Id="rId3" Type="http://schemas.openxmlformats.org/officeDocument/2006/relationships/hyperlink" Target="https://dx.doi.org/10.17504/protocols.io.kxygxejwdv8j/v3" TargetMode="External"/><Relationship Id="rId149" Type="http://schemas.openxmlformats.org/officeDocument/2006/relationships/hyperlink" Target="https://dx.doi.org/10.17504/protocols.io.kxygxejwdv8j/v3" TargetMode="External"/><Relationship Id="rId4" Type="http://schemas.openxmlformats.org/officeDocument/2006/relationships/hyperlink" Target="https://dx.doi.org/10.17504/protocols.io.kxygxejwdv8j/v3" TargetMode="External"/><Relationship Id="rId148" Type="http://schemas.openxmlformats.org/officeDocument/2006/relationships/hyperlink" Target="https://dx.doi.org/10.17504/protocols.io.kxygxejwdv8j/v3" TargetMode="External"/><Relationship Id="rId269" Type="http://schemas.openxmlformats.org/officeDocument/2006/relationships/hyperlink" Target="https://dx.doi.org/10.17504/protocols.io.j8nlk91jdv5r/v1" TargetMode="External"/><Relationship Id="rId9" Type="http://schemas.openxmlformats.org/officeDocument/2006/relationships/hyperlink" Target="https://dx.doi.org/10.17504/protocols.io.kxygxejwdv8j/v3" TargetMode="External"/><Relationship Id="rId143" Type="http://schemas.openxmlformats.org/officeDocument/2006/relationships/hyperlink" Target="https://dx.doi.org/10.17504/protocols.io.kxygxejwdv8j/v3" TargetMode="External"/><Relationship Id="rId264" Type="http://schemas.openxmlformats.org/officeDocument/2006/relationships/hyperlink" Target="https://dx.doi.org/10.17504/protocols.io.j8nlk91jdv5r/v1" TargetMode="External"/><Relationship Id="rId142" Type="http://schemas.openxmlformats.org/officeDocument/2006/relationships/hyperlink" Target="https://dx.doi.org/10.17504/protocols.io.kxygxejwdv8j/v3" TargetMode="External"/><Relationship Id="rId263" Type="http://schemas.openxmlformats.org/officeDocument/2006/relationships/hyperlink" Target="https://dx.doi.org/10.17504/protocols.io.j8nlk91jdv5r/v1" TargetMode="External"/><Relationship Id="rId141" Type="http://schemas.openxmlformats.org/officeDocument/2006/relationships/hyperlink" Target="https://dx.doi.org/10.17504/protocols.io.kxygxejwdv8j/v3" TargetMode="External"/><Relationship Id="rId262" Type="http://schemas.openxmlformats.org/officeDocument/2006/relationships/hyperlink" Target="https://dx.doi.org/10.17504/protocols.io.j8nlk91jdv5r/v1" TargetMode="External"/><Relationship Id="rId140" Type="http://schemas.openxmlformats.org/officeDocument/2006/relationships/hyperlink" Target="https://dx.doi.org/10.17504/protocols.io.kxygxejwdv8j/v3" TargetMode="External"/><Relationship Id="rId261" Type="http://schemas.openxmlformats.org/officeDocument/2006/relationships/hyperlink" Target="https://dx.doi.org/10.17504/protocols.io.j8nlk91jdv5r/v1" TargetMode="External"/><Relationship Id="rId5" Type="http://schemas.openxmlformats.org/officeDocument/2006/relationships/hyperlink" Target="https://dx.doi.org/10.17504/protocols.io.kxygxejwdv8j/v3" TargetMode="External"/><Relationship Id="rId147" Type="http://schemas.openxmlformats.org/officeDocument/2006/relationships/hyperlink" Target="https://dx.doi.org/10.17504/protocols.io.kxygxejwdv8j/v3" TargetMode="External"/><Relationship Id="rId268" Type="http://schemas.openxmlformats.org/officeDocument/2006/relationships/hyperlink" Target="https://dx.doi.org/10.17504/protocols.io.j8nlk91jdv5r/v1" TargetMode="External"/><Relationship Id="rId6" Type="http://schemas.openxmlformats.org/officeDocument/2006/relationships/hyperlink" Target="https://dx.doi.org/10.17504/protocols.io.kxygxejwdv8j/v3" TargetMode="External"/><Relationship Id="rId146" Type="http://schemas.openxmlformats.org/officeDocument/2006/relationships/hyperlink" Target="https://dx.doi.org/10.17504/protocols.io.kxygxejwdv8j/v3" TargetMode="External"/><Relationship Id="rId267" Type="http://schemas.openxmlformats.org/officeDocument/2006/relationships/hyperlink" Target="https://dx.doi.org/10.17504/protocols.io.j8nlk91jdv5r/v1" TargetMode="External"/><Relationship Id="rId7" Type="http://schemas.openxmlformats.org/officeDocument/2006/relationships/hyperlink" Target="https://dx.doi.org/10.17504/protocols.io.kxygxejwdv8j/v3" TargetMode="External"/><Relationship Id="rId145" Type="http://schemas.openxmlformats.org/officeDocument/2006/relationships/hyperlink" Target="https://dx.doi.org/10.17504/protocols.io.kxygxejwdv8j/v3" TargetMode="External"/><Relationship Id="rId266" Type="http://schemas.openxmlformats.org/officeDocument/2006/relationships/hyperlink" Target="https://dx.doi.org/10.17504/protocols.io.j8nlk91jdv5r/v1" TargetMode="External"/><Relationship Id="rId8" Type="http://schemas.openxmlformats.org/officeDocument/2006/relationships/hyperlink" Target="https://dx.doi.org/10.17504/protocols.io.kxygxejwdv8j/v3" TargetMode="External"/><Relationship Id="rId144" Type="http://schemas.openxmlformats.org/officeDocument/2006/relationships/hyperlink" Target="https://dx.doi.org/10.17504/protocols.io.kxygxejwdv8j/v3" TargetMode="External"/><Relationship Id="rId265" Type="http://schemas.openxmlformats.org/officeDocument/2006/relationships/hyperlink" Target="https://dx.doi.org/10.17504/protocols.io.j8nlk91jdv5r/v1" TargetMode="External"/><Relationship Id="rId73" Type="http://schemas.openxmlformats.org/officeDocument/2006/relationships/hyperlink" Target="https://dx.doi.org/10.17504/protocols.io.n2bvj395plk5/v1" TargetMode="External"/><Relationship Id="rId72" Type="http://schemas.openxmlformats.org/officeDocument/2006/relationships/hyperlink" Target="https://dx.doi.org/10.17504/protocols.io.n2bvj395plk5/v1" TargetMode="External"/><Relationship Id="rId75" Type="http://schemas.openxmlformats.org/officeDocument/2006/relationships/hyperlink" Target="https://dx.doi.org/10.17504/protocols.io.n2bvj395plk5/v1" TargetMode="External"/><Relationship Id="rId74" Type="http://schemas.openxmlformats.org/officeDocument/2006/relationships/hyperlink" Target="https://dx.doi.org/10.17504/protocols.io.n2bvj395plk5/v1" TargetMode="External"/><Relationship Id="rId77" Type="http://schemas.openxmlformats.org/officeDocument/2006/relationships/hyperlink" Target="https://dx.doi.org/10.17504/protocols.io.n2bvj395plk5/v1" TargetMode="External"/><Relationship Id="rId260" Type="http://schemas.openxmlformats.org/officeDocument/2006/relationships/hyperlink" Target="https://dx.doi.org/10.17504/protocols.io.j8nlk91jdv5r/v1" TargetMode="External"/><Relationship Id="rId76" Type="http://schemas.openxmlformats.org/officeDocument/2006/relationships/hyperlink" Target="https://dx.doi.org/10.17504/protocols.io.n2bvj395plk5/v1" TargetMode="External"/><Relationship Id="rId79" Type="http://schemas.openxmlformats.org/officeDocument/2006/relationships/hyperlink" Target="https://dx.doi.org/10.17504/protocols.io.n2bvj395plk5/v1" TargetMode="External"/><Relationship Id="rId78" Type="http://schemas.openxmlformats.org/officeDocument/2006/relationships/hyperlink" Target="https://dx.doi.org/10.17504/protocols.io.n2bvj395plk5/v1" TargetMode="External"/><Relationship Id="rId71" Type="http://schemas.openxmlformats.org/officeDocument/2006/relationships/hyperlink" Target="https://dx.doi.org/10.17504/protocols.io.n2bvj395plk5/v1" TargetMode="External"/><Relationship Id="rId70" Type="http://schemas.openxmlformats.org/officeDocument/2006/relationships/hyperlink" Target="https://dx.doi.org/10.17504/protocols.io.n2bvj395plk5/v1" TargetMode="External"/><Relationship Id="rId139" Type="http://schemas.openxmlformats.org/officeDocument/2006/relationships/hyperlink" Target="https://dx.doi.org/10.17504/protocols.io.kxygxejwdv8j/v3" TargetMode="External"/><Relationship Id="rId138" Type="http://schemas.openxmlformats.org/officeDocument/2006/relationships/hyperlink" Target="https://dx.doi.org/10.17504/protocols.io.kxygxejwdv8j/v3" TargetMode="External"/><Relationship Id="rId259" Type="http://schemas.openxmlformats.org/officeDocument/2006/relationships/hyperlink" Target="https://dx.doi.org/10.17504/protocols.io.j8nlk91jdv5r/v1" TargetMode="External"/><Relationship Id="rId137" Type="http://schemas.openxmlformats.org/officeDocument/2006/relationships/hyperlink" Target="https://dx.doi.org/10.17504/protocols.io.kxygxejwdv8j/v3" TargetMode="External"/><Relationship Id="rId258" Type="http://schemas.openxmlformats.org/officeDocument/2006/relationships/hyperlink" Target="https://dx.doi.org/10.17504/protocols.io.j8nlk91jdv5r/v1" TargetMode="External"/><Relationship Id="rId132" Type="http://schemas.openxmlformats.org/officeDocument/2006/relationships/hyperlink" Target="https://dx.doi.org/10.17504/protocols.io.kxygxejwdv8j/v3" TargetMode="External"/><Relationship Id="rId253" Type="http://schemas.openxmlformats.org/officeDocument/2006/relationships/hyperlink" Target="https://dx.doi.org/10.17504/protocols.io.j8nlk91jdv5r/v1" TargetMode="External"/><Relationship Id="rId131" Type="http://schemas.openxmlformats.org/officeDocument/2006/relationships/hyperlink" Target="https://dx.doi.org/10.17504/protocols.io.kxygxejwdv8j/v3" TargetMode="External"/><Relationship Id="rId252" Type="http://schemas.openxmlformats.org/officeDocument/2006/relationships/hyperlink" Target="https://dx.doi.org/10.17504/protocols.io.j8nlk91jdv5r/v1" TargetMode="External"/><Relationship Id="rId130" Type="http://schemas.openxmlformats.org/officeDocument/2006/relationships/hyperlink" Target="https://dx.doi.org/10.17504/protocols.io.kxygxejwdv8j/v3" TargetMode="External"/><Relationship Id="rId251" Type="http://schemas.openxmlformats.org/officeDocument/2006/relationships/hyperlink" Target="https://dx.doi.org/10.17504/protocols.io.j8nlk91jdv5r/v1" TargetMode="External"/><Relationship Id="rId250" Type="http://schemas.openxmlformats.org/officeDocument/2006/relationships/hyperlink" Target="https://dx.doi.org/10.17504/protocols.io.j8nlk91jdv5r/v1" TargetMode="External"/><Relationship Id="rId136" Type="http://schemas.openxmlformats.org/officeDocument/2006/relationships/hyperlink" Target="https://dx.doi.org/10.17504/protocols.io.kxygxejwdv8j/v3" TargetMode="External"/><Relationship Id="rId257" Type="http://schemas.openxmlformats.org/officeDocument/2006/relationships/hyperlink" Target="https://dx.doi.org/10.17504/protocols.io.j8nlk91jdv5r/v1" TargetMode="External"/><Relationship Id="rId135" Type="http://schemas.openxmlformats.org/officeDocument/2006/relationships/hyperlink" Target="https://dx.doi.org/10.17504/protocols.io.kxygxejwdv8j/v3" TargetMode="External"/><Relationship Id="rId256" Type="http://schemas.openxmlformats.org/officeDocument/2006/relationships/hyperlink" Target="https://dx.doi.org/10.17504/protocols.io.j8nlk91jdv5r/v1" TargetMode="External"/><Relationship Id="rId134" Type="http://schemas.openxmlformats.org/officeDocument/2006/relationships/hyperlink" Target="https://dx.doi.org/10.17504/protocols.io.kxygxejwdv8j/v3" TargetMode="External"/><Relationship Id="rId255" Type="http://schemas.openxmlformats.org/officeDocument/2006/relationships/hyperlink" Target="https://dx.doi.org/10.17504/protocols.io.j8nlk91jdv5r/v1" TargetMode="External"/><Relationship Id="rId133" Type="http://schemas.openxmlformats.org/officeDocument/2006/relationships/hyperlink" Target="https://dx.doi.org/10.17504/protocols.io.n2bvj395plk5/v1" TargetMode="External"/><Relationship Id="rId254" Type="http://schemas.openxmlformats.org/officeDocument/2006/relationships/hyperlink" Target="https://dx.doi.org/10.17504/protocols.io.j8nlk91jdv5r/v1" TargetMode="External"/><Relationship Id="rId62" Type="http://schemas.openxmlformats.org/officeDocument/2006/relationships/hyperlink" Target="https://dx.doi.org/10.17504/protocols.io.n2bvj395plk5/v1" TargetMode="External"/><Relationship Id="rId61" Type="http://schemas.openxmlformats.org/officeDocument/2006/relationships/hyperlink" Target="https://dx.doi.org/10.17504/protocols.io.n2bvj395plk5/v1" TargetMode="External"/><Relationship Id="rId64" Type="http://schemas.openxmlformats.org/officeDocument/2006/relationships/hyperlink" Target="https://dx.doi.org/10.17504/protocols.io.n2bvj395plk5/v1" TargetMode="External"/><Relationship Id="rId63" Type="http://schemas.openxmlformats.org/officeDocument/2006/relationships/hyperlink" Target="https://dx.doi.org/10.17504/protocols.io.n2bvj395plk5/v1" TargetMode="External"/><Relationship Id="rId66" Type="http://schemas.openxmlformats.org/officeDocument/2006/relationships/hyperlink" Target="https://dx.doi.org/10.17504/protocols.io.n2bvj395plk5/v1" TargetMode="External"/><Relationship Id="rId172" Type="http://schemas.openxmlformats.org/officeDocument/2006/relationships/hyperlink" Target="https://dx.doi.org/10.17504/protocols.io.kxygxejwdv8j/v3" TargetMode="External"/><Relationship Id="rId293" Type="http://schemas.openxmlformats.org/officeDocument/2006/relationships/hyperlink" Target="https://dx.doi.org/10.17504/protocols.io.j8nlk91jdv5r/v1" TargetMode="External"/><Relationship Id="rId65" Type="http://schemas.openxmlformats.org/officeDocument/2006/relationships/hyperlink" Target="https://dx.doi.org/10.17504/protocols.io.n2bvj395plk5/v1" TargetMode="External"/><Relationship Id="rId171" Type="http://schemas.openxmlformats.org/officeDocument/2006/relationships/hyperlink" Target="https://dx.doi.org/10.17504/protocols.io.kxygxejwdv8j/v3" TargetMode="External"/><Relationship Id="rId292" Type="http://schemas.openxmlformats.org/officeDocument/2006/relationships/hyperlink" Target="https://dx.doi.org/10.17504/protocols.io.j8nlk91jdv5r/v1" TargetMode="External"/><Relationship Id="rId68" Type="http://schemas.openxmlformats.org/officeDocument/2006/relationships/hyperlink" Target="https://dx.doi.org/10.17504/protocols.io.n2bvj395plk5/v1" TargetMode="External"/><Relationship Id="rId170" Type="http://schemas.openxmlformats.org/officeDocument/2006/relationships/hyperlink" Target="https://dx.doi.org/10.17504/protocols.io.kxygxejwdv8j/v3" TargetMode="External"/><Relationship Id="rId291" Type="http://schemas.openxmlformats.org/officeDocument/2006/relationships/hyperlink" Target="https://dx.doi.org/10.17504/protocols.io.j8nlk91jdv5r/v1" TargetMode="External"/><Relationship Id="rId67" Type="http://schemas.openxmlformats.org/officeDocument/2006/relationships/hyperlink" Target="https://dx.doi.org/10.17504/protocols.io.n2bvj395plk5/v1" TargetMode="External"/><Relationship Id="rId290" Type="http://schemas.openxmlformats.org/officeDocument/2006/relationships/hyperlink" Target="https://dx.doi.org/10.17504/protocols.io.j8nlk91jdv5r/v1" TargetMode="External"/><Relationship Id="rId60" Type="http://schemas.openxmlformats.org/officeDocument/2006/relationships/hyperlink" Target="https://dx.doi.org/10.17504/protocols.io.n2bvj395plk5/v1" TargetMode="External"/><Relationship Id="rId165" Type="http://schemas.openxmlformats.org/officeDocument/2006/relationships/hyperlink" Target="https://dx.doi.org/10.17504/protocols.io.kxygxejwdv8j/v3" TargetMode="External"/><Relationship Id="rId286" Type="http://schemas.openxmlformats.org/officeDocument/2006/relationships/hyperlink" Target="https://dx.doi.org/10.17504/protocols.io.j8nlk91jdv5r/v1" TargetMode="External"/><Relationship Id="rId69" Type="http://schemas.openxmlformats.org/officeDocument/2006/relationships/hyperlink" Target="https://dx.doi.org/10.17504/protocols.io.n2bvj395plk5/v1" TargetMode="External"/><Relationship Id="rId164" Type="http://schemas.openxmlformats.org/officeDocument/2006/relationships/hyperlink" Target="https://dx.doi.org/10.17504/protocols.io.kxygxejwdv8j/v3" TargetMode="External"/><Relationship Id="rId285" Type="http://schemas.openxmlformats.org/officeDocument/2006/relationships/hyperlink" Target="https://dx.doi.org/10.17504/protocols.io.j8nlk91jdv5r/v1" TargetMode="External"/><Relationship Id="rId163" Type="http://schemas.openxmlformats.org/officeDocument/2006/relationships/hyperlink" Target="https://dx.doi.org/10.17504/protocols.io.kxygxejwdv8j/v3" TargetMode="External"/><Relationship Id="rId284" Type="http://schemas.openxmlformats.org/officeDocument/2006/relationships/hyperlink" Target="https://dx.doi.org/10.17504/protocols.io.j8nlk91jdv5r/v1" TargetMode="External"/><Relationship Id="rId162" Type="http://schemas.openxmlformats.org/officeDocument/2006/relationships/hyperlink" Target="https://dx.doi.org/10.17504/protocols.io.kxygxejwdv8j/v3" TargetMode="External"/><Relationship Id="rId283" Type="http://schemas.openxmlformats.org/officeDocument/2006/relationships/hyperlink" Target="https://dx.doi.org/10.17504/protocols.io.j8nlk91jdv5r/v1" TargetMode="External"/><Relationship Id="rId169" Type="http://schemas.openxmlformats.org/officeDocument/2006/relationships/hyperlink" Target="https://dx.doi.org/10.17504/protocols.io.kxygxejwdv8j/v3" TargetMode="External"/><Relationship Id="rId168" Type="http://schemas.openxmlformats.org/officeDocument/2006/relationships/hyperlink" Target="https://dx.doi.org/10.17504/protocols.io.kxygxejwdv8j/v3" TargetMode="External"/><Relationship Id="rId289" Type="http://schemas.openxmlformats.org/officeDocument/2006/relationships/hyperlink" Target="https://dx.doi.org/10.17504/protocols.io.j8nlk91jdv5r/v1" TargetMode="External"/><Relationship Id="rId167" Type="http://schemas.openxmlformats.org/officeDocument/2006/relationships/hyperlink" Target="https://dx.doi.org/10.17504/protocols.io.kxygxejwdv8j/v3" TargetMode="External"/><Relationship Id="rId288" Type="http://schemas.openxmlformats.org/officeDocument/2006/relationships/hyperlink" Target="https://dx.doi.org/10.17504/protocols.io.j8nlk91jdv5r/v1" TargetMode="External"/><Relationship Id="rId166" Type="http://schemas.openxmlformats.org/officeDocument/2006/relationships/hyperlink" Target="https://dx.doi.org/10.17504/protocols.io.kxygxejwdv8j/v3" TargetMode="External"/><Relationship Id="rId287" Type="http://schemas.openxmlformats.org/officeDocument/2006/relationships/hyperlink" Target="https://dx.doi.org/10.17504/protocols.io.j8nlk91jdv5r/v1" TargetMode="External"/><Relationship Id="rId51" Type="http://schemas.openxmlformats.org/officeDocument/2006/relationships/hyperlink" Target="https://dx.doi.org/10.17504/protocols.io.kxygxejwdv8j/v3" TargetMode="External"/><Relationship Id="rId50" Type="http://schemas.openxmlformats.org/officeDocument/2006/relationships/hyperlink" Target="https://dx.doi.org/10.17504/protocols.io.kxygxejwdv8j/v3" TargetMode="External"/><Relationship Id="rId53" Type="http://schemas.openxmlformats.org/officeDocument/2006/relationships/hyperlink" Target="https://dx.doi.org/10.17504/protocols.io.kxygxejwdv8j/v3" TargetMode="External"/><Relationship Id="rId52" Type="http://schemas.openxmlformats.org/officeDocument/2006/relationships/hyperlink" Target="https://dx.doi.org/10.17504/protocols.io.kxygxejwdv8j/v3" TargetMode="External"/><Relationship Id="rId55" Type="http://schemas.openxmlformats.org/officeDocument/2006/relationships/hyperlink" Target="https://dx.doi.org/10.17504/protocols.io.kxygxejwdv8j/v3" TargetMode="External"/><Relationship Id="rId161" Type="http://schemas.openxmlformats.org/officeDocument/2006/relationships/hyperlink" Target="https://dx.doi.org/10.17504/protocols.io.kxygxejwdv8j/v3" TargetMode="External"/><Relationship Id="rId282" Type="http://schemas.openxmlformats.org/officeDocument/2006/relationships/hyperlink" Target="https://dx.doi.org/10.17504/protocols.io.j8nlk91jdv5r/v1" TargetMode="External"/><Relationship Id="rId54" Type="http://schemas.openxmlformats.org/officeDocument/2006/relationships/hyperlink" Target="https://dx.doi.org/10.17504/protocols.io.kxygxejwdv8j/v3" TargetMode="External"/><Relationship Id="rId160" Type="http://schemas.openxmlformats.org/officeDocument/2006/relationships/hyperlink" Target="https://dx.doi.org/10.17504/protocols.io.kxygxejwdv8j/v3" TargetMode="External"/><Relationship Id="rId281" Type="http://schemas.openxmlformats.org/officeDocument/2006/relationships/hyperlink" Target="https://dx.doi.org/10.17504/protocols.io.j8nlk91jdv5r/v1" TargetMode="External"/><Relationship Id="rId57" Type="http://schemas.openxmlformats.org/officeDocument/2006/relationships/hyperlink" Target="https://dx.doi.org/10.17504/protocols.io.kxygxejwdv8j/v3" TargetMode="External"/><Relationship Id="rId280" Type="http://schemas.openxmlformats.org/officeDocument/2006/relationships/hyperlink" Target="https://dx.doi.org/10.17504/protocols.io.j8nlk91jdv5r/v1" TargetMode="External"/><Relationship Id="rId56" Type="http://schemas.openxmlformats.org/officeDocument/2006/relationships/hyperlink" Target="https://dx.doi.org/10.17504/protocols.io.kxygxejwdv8j/v2" TargetMode="External"/><Relationship Id="rId159" Type="http://schemas.openxmlformats.org/officeDocument/2006/relationships/hyperlink" Target="https://dx.doi.org/10.17504/protocols.io.kxygxejwdv8j/v3" TargetMode="External"/><Relationship Id="rId59" Type="http://schemas.openxmlformats.org/officeDocument/2006/relationships/hyperlink" Target="https://dx.doi.org/10.17504/protocols.io.n2bvj395plk5/v1" TargetMode="External"/><Relationship Id="rId154" Type="http://schemas.openxmlformats.org/officeDocument/2006/relationships/hyperlink" Target="https://dx.doi.org/10.17504/protocols.io.kxygxejwdv8j/v3" TargetMode="External"/><Relationship Id="rId275" Type="http://schemas.openxmlformats.org/officeDocument/2006/relationships/hyperlink" Target="https://dx.doi.org/10.17504/protocols.io.j8nlk91jdv5r/v1" TargetMode="External"/><Relationship Id="rId58" Type="http://schemas.openxmlformats.org/officeDocument/2006/relationships/hyperlink" Target="https://dx.doi.org/10.17504/protocols.io.n2bvj395plk5/v1" TargetMode="External"/><Relationship Id="rId153" Type="http://schemas.openxmlformats.org/officeDocument/2006/relationships/hyperlink" Target="https://dx.doi.org/10.17504/protocols.io.kxygxejwdv8j/v3" TargetMode="External"/><Relationship Id="rId274" Type="http://schemas.openxmlformats.org/officeDocument/2006/relationships/hyperlink" Target="https://dx.doi.org/10.17504/protocols.io.j8nlk91jdv5r/v1" TargetMode="External"/><Relationship Id="rId152" Type="http://schemas.openxmlformats.org/officeDocument/2006/relationships/hyperlink" Target="https://dx.doi.org/10.17504/protocols.io.kxygxejwdv8j/v3" TargetMode="External"/><Relationship Id="rId273" Type="http://schemas.openxmlformats.org/officeDocument/2006/relationships/hyperlink" Target="https://dx.doi.org/10.17504/protocols.io.j8nlk91jdv5r/v1" TargetMode="External"/><Relationship Id="rId151" Type="http://schemas.openxmlformats.org/officeDocument/2006/relationships/hyperlink" Target="https://dx.doi.org/10.17504/protocols.io.kxygxejwdv8j/v3" TargetMode="External"/><Relationship Id="rId272" Type="http://schemas.openxmlformats.org/officeDocument/2006/relationships/hyperlink" Target="https://dx.doi.org/10.17504/protocols.io.j8nlk91jdv5r/v1" TargetMode="External"/><Relationship Id="rId158" Type="http://schemas.openxmlformats.org/officeDocument/2006/relationships/hyperlink" Target="https://dx.doi.org/10.17504/protocols.io.kxygxejwdv8j/v3" TargetMode="External"/><Relationship Id="rId279" Type="http://schemas.openxmlformats.org/officeDocument/2006/relationships/hyperlink" Target="https://dx.doi.org/10.17504/protocols.io.j8nlk91jdv5r/v1" TargetMode="External"/><Relationship Id="rId157" Type="http://schemas.openxmlformats.org/officeDocument/2006/relationships/hyperlink" Target="https://dx.doi.org/10.17504/protocols.io.kxygxejwdv8j/v3" TargetMode="External"/><Relationship Id="rId278" Type="http://schemas.openxmlformats.org/officeDocument/2006/relationships/hyperlink" Target="https://dx.doi.org/10.17504/protocols.io.j8nlk91jdv5r/v1" TargetMode="External"/><Relationship Id="rId156" Type="http://schemas.openxmlformats.org/officeDocument/2006/relationships/hyperlink" Target="https://dx.doi.org/10.17504/protocols.io.kxygxejwdv8j/v3" TargetMode="External"/><Relationship Id="rId277" Type="http://schemas.openxmlformats.org/officeDocument/2006/relationships/hyperlink" Target="https://dx.doi.org/10.17504/protocols.io.j8nlk91jdv5r/v1" TargetMode="External"/><Relationship Id="rId155" Type="http://schemas.openxmlformats.org/officeDocument/2006/relationships/hyperlink" Target="https://dx.doi.org/10.17504/protocols.io.kxygxejwdv8j/v3" TargetMode="External"/><Relationship Id="rId276" Type="http://schemas.openxmlformats.org/officeDocument/2006/relationships/hyperlink" Target="https://dx.doi.org/10.17504/protocols.io.j8nlk91jdv5r/v1" TargetMode="External"/><Relationship Id="rId107" Type="http://schemas.openxmlformats.org/officeDocument/2006/relationships/hyperlink" Target="https://dx.doi.org/10.17504/protocols.io.n2bvj395plk5/v1" TargetMode="External"/><Relationship Id="rId228" Type="http://schemas.openxmlformats.org/officeDocument/2006/relationships/hyperlink" Target="https://dx.doi.org/10.17504/protocols.io.j8nlk91jdv5r/v1" TargetMode="External"/><Relationship Id="rId106" Type="http://schemas.openxmlformats.org/officeDocument/2006/relationships/hyperlink" Target="https://dx.doi.org/10.17504/protocols.io.n2bvj395plk5/v1" TargetMode="External"/><Relationship Id="rId227" Type="http://schemas.openxmlformats.org/officeDocument/2006/relationships/hyperlink" Target="https://dx.doi.org/10.17504/protocols.io.j8nlk91jdv5r/v1" TargetMode="External"/><Relationship Id="rId105" Type="http://schemas.openxmlformats.org/officeDocument/2006/relationships/hyperlink" Target="https://dx.doi.org/10.17504/protocols.io.n2bvj395plk5/v1" TargetMode="External"/><Relationship Id="rId226" Type="http://schemas.openxmlformats.org/officeDocument/2006/relationships/hyperlink" Target="https://dx.doi.org/10.17504/protocols.io.j8nlk91jdv5r/v1" TargetMode="External"/><Relationship Id="rId104" Type="http://schemas.openxmlformats.org/officeDocument/2006/relationships/hyperlink" Target="https://dx.doi.org/10.17504/protocols.io.n2bvj395plk5/v1" TargetMode="External"/><Relationship Id="rId225" Type="http://schemas.openxmlformats.org/officeDocument/2006/relationships/hyperlink" Target="https://dx.doi.org/10.17504/protocols.io.j8nlk91jdv5r/v1" TargetMode="External"/><Relationship Id="rId109" Type="http://schemas.openxmlformats.org/officeDocument/2006/relationships/hyperlink" Target="https://dx.doi.org/10.17504/protocols.io.n2bvj395plk5/v1" TargetMode="External"/><Relationship Id="rId108" Type="http://schemas.openxmlformats.org/officeDocument/2006/relationships/hyperlink" Target="https://dx.doi.org/10.17504/protocols.io.n2bvj395plk5/v1" TargetMode="External"/><Relationship Id="rId229" Type="http://schemas.openxmlformats.org/officeDocument/2006/relationships/hyperlink" Target="https://dx.doi.org/10.17504/protocols.io.j8nlk91jdv5r/v1" TargetMode="External"/><Relationship Id="rId220" Type="http://schemas.openxmlformats.org/officeDocument/2006/relationships/hyperlink" Target="https://dx.doi.org/10.17504/protocols.io.kxygxejwdv8j/v3" TargetMode="External"/><Relationship Id="rId103" Type="http://schemas.openxmlformats.org/officeDocument/2006/relationships/hyperlink" Target="https://dx.doi.org/10.17504/protocols.io.n2bvj395plk5/v1" TargetMode="External"/><Relationship Id="rId224" Type="http://schemas.openxmlformats.org/officeDocument/2006/relationships/hyperlink" Target="https://dx.doi.org/10.17504/protocols.io.kxygxejwdv8j/v3" TargetMode="External"/><Relationship Id="rId102" Type="http://schemas.openxmlformats.org/officeDocument/2006/relationships/hyperlink" Target="https://dx.doi.org/10.17504/protocols.io.n2bvj395plk5/v1" TargetMode="External"/><Relationship Id="rId223" Type="http://schemas.openxmlformats.org/officeDocument/2006/relationships/hyperlink" Target="https://dx.doi.org/10.17504/protocols.io.kxygxejwdv8j/v3" TargetMode="External"/><Relationship Id="rId101" Type="http://schemas.openxmlformats.org/officeDocument/2006/relationships/hyperlink" Target="https://dx.doi.org/10.17504/protocols.io.n2bvj395plk5/v1" TargetMode="External"/><Relationship Id="rId222" Type="http://schemas.openxmlformats.org/officeDocument/2006/relationships/hyperlink" Target="https://dx.doi.org/10.17504/protocols.io.kxygxejwdv8j/v3" TargetMode="External"/><Relationship Id="rId100" Type="http://schemas.openxmlformats.org/officeDocument/2006/relationships/hyperlink" Target="https://dx.doi.org/10.17504/protocols.io.n2bvj395plk5/v1" TargetMode="External"/><Relationship Id="rId221" Type="http://schemas.openxmlformats.org/officeDocument/2006/relationships/hyperlink" Target="https://dx.doi.org/10.17504/protocols.io.kxygxejwdv8j/v3" TargetMode="External"/><Relationship Id="rId217" Type="http://schemas.openxmlformats.org/officeDocument/2006/relationships/hyperlink" Target="https://dx.doi.org/10.17504/protocols.io.kxygxejwdv8j/v3" TargetMode="External"/><Relationship Id="rId216" Type="http://schemas.openxmlformats.org/officeDocument/2006/relationships/hyperlink" Target="https://dx.doi.org/10.17504/protocols.io.kxygxejwdv8j/v3" TargetMode="External"/><Relationship Id="rId215" Type="http://schemas.openxmlformats.org/officeDocument/2006/relationships/hyperlink" Target="https://dx.doi.org/10.17504/protocols.io.kxygxejwdv8j/v3" TargetMode="External"/><Relationship Id="rId214" Type="http://schemas.openxmlformats.org/officeDocument/2006/relationships/hyperlink" Target="https://dx.doi.org/10.17504/protocols.io.kxygxejwdv8j/v3" TargetMode="External"/><Relationship Id="rId219" Type="http://schemas.openxmlformats.org/officeDocument/2006/relationships/hyperlink" Target="https://dx.doi.org/10.17504/protocols.io.kxygxejwdv8j/v3" TargetMode="External"/><Relationship Id="rId218" Type="http://schemas.openxmlformats.org/officeDocument/2006/relationships/hyperlink" Target="https://dx.doi.org/10.17504/protocols.io.kxygxejwdv8j/v3" TargetMode="External"/><Relationship Id="rId213" Type="http://schemas.openxmlformats.org/officeDocument/2006/relationships/hyperlink" Target="https://dx.doi.org/10.17504/protocols.io.kxygxejwdv8j/v3" TargetMode="External"/><Relationship Id="rId212" Type="http://schemas.openxmlformats.org/officeDocument/2006/relationships/hyperlink" Target="https://dx.doi.org/10.17504/protocols.io.kxygxejwdv8j/v3" TargetMode="External"/><Relationship Id="rId211" Type="http://schemas.openxmlformats.org/officeDocument/2006/relationships/hyperlink" Target="https://dx.doi.org/10.17504/protocols.io.kxygxejwdv8j/v3" TargetMode="External"/><Relationship Id="rId210" Type="http://schemas.openxmlformats.org/officeDocument/2006/relationships/hyperlink" Target="https://dx.doi.org/10.17504/protocols.io.kxygxejwdv8j/v3" TargetMode="External"/><Relationship Id="rId129" Type="http://schemas.openxmlformats.org/officeDocument/2006/relationships/hyperlink" Target="https://dx.doi.org/10.17504/protocols.io.n2bvj395plk5/v1" TargetMode="External"/><Relationship Id="rId128" Type="http://schemas.openxmlformats.org/officeDocument/2006/relationships/hyperlink" Target="https://dx.doi.org/10.17504/protocols.io.n2bvj395plk5/v1" TargetMode="External"/><Relationship Id="rId249" Type="http://schemas.openxmlformats.org/officeDocument/2006/relationships/hyperlink" Target="https://dx.doi.org/10.17504/protocols.io.j8nlk91jdv5r/v1" TargetMode="External"/><Relationship Id="rId127" Type="http://schemas.openxmlformats.org/officeDocument/2006/relationships/hyperlink" Target="https://dx.doi.org/10.17504/protocols.io.n2bvj395plk5/v1" TargetMode="External"/><Relationship Id="rId248" Type="http://schemas.openxmlformats.org/officeDocument/2006/relationships/hyperlink" Target="https://dx.doi.org/10.17504/protocols.io.j8nlk91jdv5r/v1" TargetMode="External"/><Relationship Id="rId126" Type="http://schemas.openxmlformats.org/officeDocument/2006/relationships/hyperlink" Target="https://dx.doi.org/10.17504/protocols.io.n2bvj395plk5/v1" TargetMode="External"/><Relationship Id="rId247" Type="http://schemas.openxmlformats.org/officeDocument/2006/relationships/hyperlink" Target="https://dx.doi.org/10.17504/protocols.io.j8nlk91jdv5r/v1" TargetMode="External"/><Relationship Id="rId121" Type="http://schemas.openxmlformats.org/officeDocument/2006/relationships/hyperlink" Target="https://dx.doi.org/10.17504/protocols.io.n2bvj395plk5/v1" TargetMode="External"/><Relationship Id="rId242" Type="http://schemas.openxmlformats.org/officeDocument/2006/relationships/hyperlink" Target="https://dx.doi.org/10.17504/protocols.io.j8nlk91jdv5r/v1" TargetMode="External"/><Relationship Id="rId120" Type="http://schemas.openxmlformats.org/officeDocument/2006/relationships/hyperlink" Target="https://dx.doi.org/10.17504/protocols.io.n2bvj395plk5/v1" TargetMode="External"/><Relationship Id="rId241" Type="http://schemas.openxmlformats.org/officeDocument/2006/relationships/hyperlink" Target="https://dx.doi.org/10.17504/protocols.io.j8nlk91jdv5r/v1" TargetMode="External"/><Relationship Id="rId240" Type="http://schemas.openxmlformats.org/officeDocument/2006/relationships/hyperlink" Target="https://dx.doi.org/10.17504/protocols.io.j8nlk91jdv5r/v1" TargetMode="External"/><Relationship Id="rId125" Type="http://schemas.openxmlformats.org/officeDocument/2006/relationships/hyperlink" Target="https://dx.doi.org/10.17504/protocols.io.n2bvj395plk5/v1" TargetMode="External"/><Relationship Id="rId246" Type="http://schemas.openxmlformats.org/officeDocument/2006/relationships/hyperlink" Target="https://dx.doi.org/10.17504/protocols.io.j8nlk91jdv5r/v1" TargetMode="External"/><Relationship Id="rId124" Type="http://schemas.openxmlformats.org/officeDocument/2006/relationships/hyperlink" Target="https://dx.doi.org/10.17504/protocols.io.n2bvj395plk5/v1" TargetMode="External"/><Relationship Id="rId245" Type="http://schemas.openxmlformats.org/officeDocument/2006/relationships/hyperlink" Target="https://dx.doi.org/10.17504/protocols.io.j8nlk91jdv5r/v1" TargetMode="External"/><Relationship Id="rId123" Type="http://schemas.openxmlformats.org/officeDocument/2006/relationships/hyperlink" Target="https://dx.doi.org/10.17504/protocols.io.n2bvj395plk5/v1" TargetMode="External"/><Relationship Id="rId244" Type="http://schemas.openxmlformats.org/officeDocument/2006/relationships/hyperlink" Target="https://dx.doi.org/10.17504/protocols.io.j8nlk91jdv5r/v1" TargetMode="External"/><Relationship Id="rId122" Type="http://schemas.openxmlformats.org/officeDocument/2006/relationships/hyperlink" Target="https://dx.doi.org/10.17504/protocols.io.n2bvj395plk5/v1" TargetMode="External"/><Relationship Id="rId243" Type="http://schemas.openxmlformats.org/officeDocument/2006/relationships/hyperlink" Target="https://dx.doi.org/10.17504/protocols.io.j8nlk91jdv5r/v1" TargetMode="External"/><Relationship Id="rId95" Type="http://schemas.openxmlformats.org/officeDocument/2006/relationships/hyperlink" Target="https://dx.doi.org/10.17504/protocols.io.n2bvj395plk5/v1" TargetMode="External"/><Relationship Id="rId94" Type="http://schemas.openxmlformats.org/officeDocument/2006/relationships/hyperlink" Target="https://dx.doi.org/10.17504/protocols.io.n2bvj395plk5/v1" TargetMode="External"/><Relationship Id="rId97" Type="http://schemas.openxmlformats.org/officeDocument/2006/relationships/hyperlink" Target="https://dx.doi.org/10.17504/protocols.io.n2bvj395plk5/v1" TargetMode="External"/><Relationship Id="rId96" Type="http://schemas.openxmlformats.org/officeDocument/2006/relationships/hyperlink" Target="https://dx.doi.org/10.17504/protocols.io.n2bvj395plk5/v1" TargetMode="External"/><Relationship Id="rId99" Type="http://schemas.openxmlformats.org/officeDocument/2006/relationships/hyperlink" Target="https://dx.doi.org/10.17504/protocols.io.n2bvj395plk5/v1" TargetMode="External"/><Relationship Id="rId98" Type="http://schemas.openxmlformats.org/officeDocument/2006/relationships/hyperlink" Target="https://dx.doi.org/10.17504/protocols.io.n2bvj395plk5/v1" TargetMode="External"/><Relationship Id="rId91" Type="http://schemas.openxmlformats.org/officeDocument/2006/relationships/hyperlink" Target="https://dx.doi.org/10.17504/protocols.io.n2bvj395plk5/v1" TargetMode="External"/><Relationship Id="rId90" Type="http://schemas.openxmlformats.org/officeDocument/2006/relationships/hyperlink" Target="https://dx.doi.org/10.17504/protocols.io.n2bvj395plk5/v1" TargetMode="External"/><Relationship Id="rId93" Type="http://schemas.openxmlformats.org/officeDocument/2006/relationships/hyperlink" Target="https://dx.doi.org/10.17504/protocols.io.n2bvj395plk5/v1" TargetMode="External"/><Relationship Id="rId92" Type="http://schemas.openxmlformats.org/officeDocument/2006/relationships/hyperlink" Target="https://dx.doi.org/10.17504/protocols.io.n2bvj395plk5/v1" TargetMode="External"/><Relationship Id="rId118" Type="http://schemas.openxmlformats.org/officeDocument/2006/relationships/hyperlink" Target="https://dx.doi.org/10.17504/protocols.io.n2bvj395plk5/v1" TargetMode="External"/><Relationship Id="rId239" Type="http://schemas.openxmlformats.org/officeDocument/2006/relationships/hyperlink" Target="https://dx.doi.org/10.17504/protocols.io.j8nlk91jdv5r/v1" TargetMode="External"/><Relationship Id="rId117" Type="http://schemas.openxmlformats.org/officeDocument/2006/relationships/hyperlink" Target="https://dx.doi.org/10.17504/protocols.io.n2bvj395plk5/v1" TargetMode="External"/><Relationship Id="rId238" Type="http://schemas.openxmlformats.org/officeDocument/2006/relationships/hyperlink" Target="https://dx.doi.org/10.17504/protocols.io.j8nlk91jdv5r/v1" TargetMode="External"/><Relationship Id="rId116" Type="http://schemas.openxmlformats.org/officeDocument/2006/relationships/hyperlink" Target="https://dx.doi.org/10.17504/protocols.io.n2bvj395plk5/v1" TargetMode="External"/><Relationship Id="rId237" Type="http://schemas.openxmlformats.org/officeDocument/2006/relationships/hyperlink" Target="https://dx.doi.org/10.17504/protocols.io.j8nlk91jdv5r/v1" TargetMode="External"/><Relationship Id="rId115" Type="http://schemas.openxmlformats.org/officeDocument/2006/relationships/hyperlink" Target="https://dx.doi.org/10.17504/protocols.io.n2bvj395plk5/v1" TargetMode="External"/><Relationship Id="rId236" Type="http://schemas.openxmlformats.org/officeDocument/2006/relationships/hyperlink" Target="https://dx.doi.org/10.17504/protocols.io.j8nlk91jdv5r/v1" TargetMode="External"/><Relationship Id="rId119" Type="http://schemas.openxmlformats.org/officeDocument/2006/relationships/hyperlink" Target="https://dx.doi.org/10.17504/protocols.io.n2bvj395plk5/v1" TargetMode="External"/><Relationship Id="rId110" Type="http://schemas.openxmlformats.org/officeDocument/2006/relationships/hyperlink" Target="https://dx.doi.org/10.17504/protocols.io.n2bvj395plk5/v1" TargetMode="External"/><Relationship Id="rId231" Type="http://schemas.openxmlformats.org/officeDocument/2006/relationships/hyperlink" Target="https://dx.doi.org/10.17504/protocols.io.j8nlk91jdv5r/v1" TargetMode="External"/><Relationship Id="rId230" Type="http://schemas.openxmlformats.org/officeDocument/2006/relationships/hyperlink" Target="https://dx.doi.org/10.17504/protocols.io.j8nlk91jdv5r/v1" TargetMode="External"/><Relationship Id="rId114" Type="http://schemas.openxmlformats.org/officeDocument/2006/relationships/hyperlink" Target="https://dx.doi.org/10.17504/protocols.io.n2bvj395plk5/v1" TargetMode="External"/><Relationship Id="rId235" Type="http://schemas.openxmlformats.org/officeDocument/2006/relationships/hyperlink" Target="https://dx.doi.org/10.17504/protocols.io.j8nlk91jdv5r/v1" TargetMode="External"/><Relationship Id="rId113" Type="http://schemas.openxmlformats.org/officeDocument/2006/relationships/hyperlink" Target="https://dx.doi.org/10.17504/protocols.io.n2bvj395plk5/v1" TargetMode="External"/><Relationship Id="rId234" Type="http://schemas.openxmlformats.org/officeDocument/2006/relationships/hyperlink" Target="https://dx.doi.org/10.17504/protocols.io.j8nlk91jdv5r/v1" TargetMode="External"/><Relationship Id="rId112" Type="http://schemas.openxmlformats.org/officeDocument/2006/relationships/hyperlink" Target="https://dx.doi.org/10.17504/protocols.io.n2bvj395plk5/v1" TargetMode="External"/><Relationship Id="rId233" Type="http://schemas.openxmlformats.org/officeDocument/2006/relationships/hyperlink" Target="https://dx.doi.org/10.17504/protocols.io.j8nlk91jdv5r/v1" TargetMode="External"/><Relationship Id="rId111" Type="http://schemas.openxmlformats.org/officeDocument/2006/relationships/hyperlink" Target="https://dx.doi.org/10.17504/protocols.io.n2bvj395plk5/v1" TargetMode="External"/><Relationship Id="rId232" Type="http://schemas.openxmlformats.org/officeDocument/2006/relationships/hyperlink" Target="https://dx.doi.org/10.17504/protocols.io.j8nlk91jdv5r/v1" TargetMode="External"/><Relationship Id="rId206" Type="http://schemas.openxmlformats.org/officeDocument/2006/relationships/hyperlink" Target="https://dx.doi.org/10.17504/protocols.io.kxygxejwdv8j/v3" TargetMode="External"/><Relationship Id="rId205" Type="http://schemas.openxmlformats.org/officeDocument/2006/relationships/hyperlink" Target="https://dx.doi.org/10.17504/protocols.io.kxygxejwdv8j/v3" TargetMode="External"/><Relationship Id="rId204" Type="http://schemas.openxmlformats.org/officeDocument/2006/relationships/hyperlink" Target="https://dx.doi.org/10.17504/protocols.io.kxygxejwdv8j/v3" TargetMode="External"/><Relationship Id="rId203" Type="http://schemas.openxmlformats.org/officeDocument/2006/relationships/hyperlink" Target="https://dx.doi.org/10.17504/protocols.io.kxygxejwdv8j/v3" TargetMode="External"/><Relationship Id="rId209" Type="http://schemas.openxmlformats.org/officeDocument/2006/relationships/hyperlink" Target="https://dx.doi.org/10.17504/protocols.io.kxygxejwdv8j/v3" TargetMode="External"/><Relationship Id="rId208" Type="http://schemas.openxmlformats.org/officeDocument/2006/relationships/hyperlink" Target="https://dx.doi.org/10.17504/protocols.io.kxygxejwdv8j/v3" TargetMode="External"/><Relationship Id="rId207" Type="http://schemas.openxmlformats.org/officeDocument/2006/relationships/hyperlink" Target="https://dx.doi.org/10.17504/protocols.io.kxygxejwdv8j/v3" TargetMode="External"/><Relationship Id="rId202" Type="http://schemas.openxmlformats.org/officeDocument/2006/relationships/hyperlink" Target="https://dx.doi.org/10.17504/protocols.io.kxygxejwdv8j/v3" TargetMode="External"/><Relationship Id="rId201" Type="http://schemas.openxmlformats.org/officeDocument/2006/relationships/hyperlink" Target="https://dx.doi.org/10.17504/protocols.io.kxygxejwdv8j/v3" TargetMode="External"/><Relationship Id="rId200" Type="http://schemas.openxmlformats.org/officeDocument/2006/relationships/hyperlink" Target="https://dx.doi.org/10.17504/protocols.io.kxygxejwdv8j/v3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x.doi.org/10.17504/protocols.io.kxygxejwdv8j/v3" TargetMode="External"/><Relationship Id="rId190" Type="http://schemas.openxmlformats.org/officeDocument/2006/relationships/hyperlink" Target="https://dx.doi.org/10.17504/protocols.io.kxygxejwdv8j/v3" TargetMode="External"/><Relationship Id="rId42" Type="http://schemas.openxmlformats.org/officeDocument/2006/relationships/hyperlink" Target="https://dx.doi.org/10.17504/protocols.io.kxygxejwdv8j/v3" TargetMode="External"/><Relationship Id="rId41" Type="http://schemas.openxmlformats.org/officeDocument/2006/relationships/hyperlink" Target="https://dx.doi.org/10.17504/protocols.io.kxygxejwdv8j/v3" TargetMode="External"/><Relationship Id="rId44" Type="http://schemas.openxmlformats.org/officeDocument/2006/relationships/hyperlink" Target="https://dx.doi.org/10.17504/protocols.io.kxygxejwdv8j/v3" TargetMode="External"/><Relationship Id="rId194" Type="http://schemas.openxmlformats.org/officeDocument/2006/relationships/hyperlink" Target="https://dx.doi.org/10.17504/protocols.io.kxygxejwdv8j/v3" TargetMode="External"/><Relationship Id="rId43" Type="http://schemas.openxmlformats.org/officeDocument/2006/relationships/hyperlink" Target="https://dx.doi.org/10.17504/protocols.io.kxygxejwdv8j/v2" TargetMode="External"/><Relationship Id="rId193" Type="http://schemas.openxmlformats.org/officeDocument/2006/relationships/hyperlink" Target="https://dx.doi.org/10.17504/protocols.io.kxygxejwdv8j/v3" TargetMode="External"/><Relationship Id="rId46" Type="http://schemas.openxmlformats.org/officeDocument/2006/relationships/hyperlink" Target="https://dx.doi.org/10.17504/protocols.io.kxygxejwdv8j/v3" TargetMode="External"/><Relationship Id="rId192" Type="http://schemas.openxmlformats.org/officeDocument/2006/relationships/hyperlink" Target="https://dx.doi.org/10.17504/protocols.io.kxygxejwdv8j/v3" TargetMode="External"/><Relationship Id="rId45" Type="http://schemas.openxmlformats.org/officeDocument/2006/relationships/hyperlink" Target="https://dx.doi.org/10.17504/protocols.io.kxygxejwdv8j/v3" TargetMode="External"/><Relationship Id="rId191" Type="http://schemas.openxmlformats.org/officeDocument/2006/relationships/hyperlink" Target="https://dx.doi.org/10.17504/protocols.io.kxygxejwdv8j/v3" TargetMode="External"/><Relationship Id="rId48" Type="http://schemas.openxmlformats.org/officeDocument/2006/relationships/hyperlink" Target="https://dx.doi.org/10.17504/protocols.io.kxygxejwdv8j/v3" TargetMode="External"/><Relationship Id="rId187" Type="http://schemas.openxmlformats.org/officeDocument/2006/relationships/hyperlink" Target="https://dx.doi.org/10.17504/protocols.io.kxygxejwdv8j/v3" TargetMode="External"/><Relationship Id="rId47" Type="http://schemas.openxmlformats.org/officeDocument/2006/relationships/hyperlink" Target="https://dx.doi.org/10.17504/protocols.io.kxygxejwdv8j/v3" TargetMode="External"/><Relationship Id="rId186" Type="http://schemas.openxmlformats.org/officeDocument/2006/relationships/hyperlink" Target="https://dx.doi.org/10.17504/protocols.io.kxygxejwdv8j/v3" TargetMode="External"/><Relationship Id="rId185" Type="http://schemas.openxmlformats.org/officeDocument/2006/relationships/hyperlink" Target="https://dx.doi.org/10.17504/protocols.io.kxygxejwdv8j/v3" TargetMode="External"/><Relationship Id="rId49" Type="http://schemas.openxmlformats.org/officeDocument/2006/relationships/hyperlink" Target="https://dx.doi.org/10.17504/protocols.io.kxygxejwdv8j/v3" TargetMode="External"/><Relationship Id="rId184" Type="http://schemas.openxmlformats.org/officeDocument/2006/relationships/hyperlink" Target="https://dx.doi.org/10.17504/protocols.io.kxygxejwdv8j/v3" TargetMode="External"/><Relationship Id="rId189" Type="http://schemas.openxmlformats.org/officeDocument/2006/relationships/hyperlink" Target="https://dx.doi.org/10.17504/protocols.io.kxygxejwdv8j/v3" TargetMode="External"/><Relationship Id="rId188" Type="http://schemas.openxmlformats.org/officeDocument/2006/relationships/hyperlink" Target="https://dx.doi.org/10.17504/protocols.io.kxygxejwdv8j/v3" TargetMode="External"/><Relationship Id="rId31" Type="http://schemas.openxmlformats.org/officeDocument/2006/relationships/hyperlink" Target="https://dx.doi.org/10.17504/protocols.io.kxygxejwdv8j/v3" TargetMode="External"/><Relationship Id="rId30" Type="http://schemas.openxmlformats.org/officeDocument/2006/relationships/hyperlink" Target="https://dx.doi.org/10.17504/protocols.io.kxygxejwdv8j/v3" TargetMode="External"/><Relationship Id="rId33" Type="http://schemas.openxmlformats.org/officeDocument/2006/relationships/hyperlink" Target="https://dx.doi.org/10.17504/protocols.io.kxygxejwdv8j/v3" TargetMode="External"/><Relationship Id="rId183" Type="http://schemas.openxmlformats.org/officeDocument/2006/relationships/hyperlink" Target="https://dx.doi.org/10.17504/protocols.io.kxygxejwdv8j/v3" TargetMode="External"/><Relationship Id="rId32" Type="http://schemas.openxmlformats.org/officeDocument/2006/relationships/hyperlink" Target="https://dx.doi.org/10.17504/protocols.io.kxygxejwdv8j/v3" TargetMode="External"/><Relationship Id="rId182" Type="http://schemas.openxmlformats.org/officeDocument/2006/relationships/hyperlink" Target="https://dx.doi.org/10.17504/protocols.io.kxygxejwdv8j/v3" TargetMode="External"/><Relationship Id="rId35" Type="http://schemas.openxmlformats.org/officeDocument/2006/relationships/hyperlink" Target="https://dx.doi.org/10.17504/protocols.io.kxygxejwdv8j/v3" TargetMode="External"/><Relationship Id="rId181" Type="http://schemas.openxmlformats.org/officeDocument/2006/relationships/hyperlink" Target="https://dx.doi.org/10.17504/protocols.io.kxygxejwdv8j/v3" TargetMode="External"/><Relationship Id="rId34" Type="http://schemas.openxmlformats.org/officeDocument/2006/relationships/hyperlink" Target="https://dx.doi.org/10.17504/protocols.io.kxygxejwdv8j/v3" TargetMode="External"/><Relationship Id="rId180" Type="http://schemas.openxmlformats.org/officeDocument/2006/relationships/hyperlink" Target="https://dx.doi.org/10.17504/protocols.io.kxygxejwdv8j/v3" TargetMode="External"/><Relationship Id="rId37" Type="http://schemas.openxmlformats.org/officeDocument/2006/relationships/hyperlink" Target="https://dx.doi.org/10.17504/protocols.io.kxygxejwdv8j/v3" TargetMode="External"/><Relationship Id="rId176" Type="http://schemas.openxmlformats.org/officeDocument/2006/relationships/hyperlink" Target="https://dx.doi.org/10.17504/protocols.io.kxygxejwdv8j/v3" TargetMode="External"/><Relationship Id="rId297" Type="http://schemas.openxmlformats.org/officeDocument/2006/relationships/hyperlink" Target="https://dx.doi.org/10.17504/protocols.io.kxygxejwdv8j/v3" TargetMode="External"/><Relationship Id="rId36" Type="http://schemas.openxmlformats.org/officeDocument/2006/relationships/hyperlink" Target="https://dx.doi.org/10.17504/protocols.io.kxygxejwdv8j/v3" TargetMode="External"/><Relationship Id="rId175" Type="http://schemas.openxmlformats.org/officeDocument/2006/relationships/hyperlink" Target="https://dx.doi.org/10.17504/protocols.io.kxygxejwdv8j/v3" TargetMode="External"/><Relationship Id="rId296" Type="http://schemas.openxmlformats.org/officeDocument/2006/relationships/hyperlink" Target="https://dx.doi.org/10.17504/protocols.io.j8nlk91jdv5r/v1" TargetMode="External"/><Relationship Id="rId39" Type="http://schemas.openxmlformats.org/officeDocument/2006/relationships/hyperlink" Target="https://dx.doi.org/10.17504/protocols.io.kxygxejwdv8j/v3" TargetMode="External"/><Relationship Id="rId174" Type="http://schemas.openxmlformats.org/officeDocument/2006/relationships/hyperlink" Target="https://dx.doi.org/10.17504/protocols.io.kxygxejwdv8j/v3" TargetMode="External"/><Relationship Id="rId295" Type="http://schemas.openxmlformats.org/officeDocument/2006/relationships/hyperlink" Target="https://dx.doi.org/10.17504/protocols.io.j8nlk91jdv5r/v1" TargetMode="External"/><Relationship Id="rId38" Type="http://schemas.openxmlformats.org/officeDocument/2006/relationships/hyperlink" Target="https://dx.doi.org/10.17504/protocols.io.kxygxejwdv8j/v3" TargetMode="External"/><Relationship Id="rId173" Type="http://schemas.openxmlformats.org/officeDocument/2006/relationships/hyperlink" Target="https://dx.doi.org/10.17504/protocols.io.kxygxejwdv8j/v3" TargetMode="External"/><Relationship Id="rId294" Type="http://schemas.openxmlformats.org/officeDocument/2006/relationships/hyperlink" Target="https://dx.doi.org/10.17504/protocols.io.j8nlk91jdv5r/v1" TargetMode="External"/><Relationship Id="rId179" Type="http://schemas.openxmlformats.org/officeDocument/2006/relationships/hyperlink" Target="https://dx.doi.org/10.17504/protocols.io.kxygxejwdv8j/v3" TargetMode="External"/><Relationship Id="rId178" Type="http://schemas.openxmlformats.org/officeDocument/2006/relationships/hyperlink" Target="https://dx.doi.org/10.17504/protocols.io.kxygxejwdv8j/v3" TargetMode="External"/><Relationship Id="rId177" Type="http://schemas.openxmlformats.org/officeDocument/2006/relationships/hyperlink" Target="https://dx.doi.org/10.17504/protocols.io.kxygxejwdv8j/v3" TargetMode="External"/><Relationship Id="rId298" Type="http://schemas.openxmlformats.org/officeDocument/2006/relationships/drawing" Target="../drawings/drawing3.xml"/><Relationship Id="rId20" Type="http://schemas.openxmlformats.org/officeDocument/2006/relationships/hyperlink" Target="https://dx.doi.org/10.17504/protocols.io.kxygxejwdv8j/v3" TargetMode="External"/><Relationship Id="rId22" Type="http://schemas.openxmlformats.org/officeDocument/2006/relationships/hyperlink" Target="https://dx.doi.org/10.17504/protocols.io.kxygxejwdv8j/v3" TargetMode="External"/><Relationship Id="rId21" Type="http://schemas.openxmlformats.org/officeDocument/2006/relationships/hyperlink" Target="https://dx.doi.org/10.17504/protocols.io.kxygxejwdv8j/v3" TargetMode="External"/><Relationship Id="rId24" Type="http://schemas.openxmlformats.org/officeDocument/2006/relationships/hyperlink" Target="https://dx.doi.org/10.17504/protocols.io.kxygxejwdv8j/v3" TargetMode="External"/><Relationship Id="rId23" Type="http://schemas.openxmlformats.org/officeDocument/2006/relationships/hyperlink" Target="https://dx.doi.org/10.17504/protocols.io.kxygxejwdv8j/v3" TargetMode="External"/><Relationship Id="rId26" Type="http://schemas.openxmlformats.org/officeDocument/2006/relationships/hyperlink" Target="https://dx.doi.org/10.17504/protocols.io.kxygxejwdv8j/v2" TargetMode="External"/><Relationship Id="rId25" Type="http://schemas.openxmlformats.org/officeDocument/2006/relationships/hyperlink" Target="https://dx.doi.org/10.17504/protocols.io.kxygxejwdv8j/v2" TargetMode="External"/><Relationship Id="rId28" Type="http://schemas.openxmlformats.org/officeDocument/2006/relationships/hyperlink" Target="https://dx.doi.org/10.17504/protocols.io.kxygxejwdv8j/v3" TargetMode="External"/><Relationship Id="rId27" Type="http://schemas.openxmlformats.org/officeDocument/2006/relationships/hyperlink" Target="https://dx.doi.org/10.17504/protocols.io.rm7vz84k2vx1/v2" TargetMode="External"/><Relationship Id="rId29" Type="http://schemas.openxmlformats.org/officeDocument/2006/relationships/hyperlink" Target="https://dx.doi.org/10.17504/protocols.io.kxygxejwdv8j/v3" TargetMode="External"/><Relationship Id="rId11" Type="http://schemas.openxmlformats.org/officeDocument/2006/relationships/hyperlink" Target="https://dx.doi.org/10.17504/protocols.io.kxygxejwdv8j/v3" TargetMode="External"/><Relationship Id="rId10" Type="http://schemas.openxmlformats.org/officeDocument/2006/relationships/hyperlink" Target="https://dx.doi.org/10.17504/protocols.io.kxygxejwdv8j/v3" TargetMode="External"/><Relationship Id="rId13" Type="http://schemas.openxmlformats.org/officeDocument/2006/relationships/hyperlink" Target="https://dx.doi.org/10.17504/protocols.io.kxygxejwdv8j/v3" TargetMode="External"/><Relationship Id="rId12" Type="http://schemas.openxmlformats.org/officeDocument/2006/relationships/hyperlink" Target="https://dx.doi.org/10.17504/protocols.io.kxygxejwdv8j/v3" TargetMode="External"/><Relationship Id="rId15" Type="http://schemas.openxmlformats.org/officeDocument/2006/relationships/hyperlink" Target="https://dx.doi.org/10.17504/protocols.io.kxygxejwdv8j/v3" TargetMode="External"/><Relationship Id="rId198" Type="http://schemas.openxmlformats.org/officeDocument/2006/relationships/hyperlink" Target="https://dx.doi.org/10.17504/protocols.io.kxygxejwdv8j/v3" TargetMode="External"/><Relationship Id="rId14" Type="http://schemas.openxmlformats.org/officeDocument/2006/relationships/hyperlink" Target="https://dx.doi.org/10.17504/protocols.io.n2bvj395plk5/v1" TargetMode="External"/><Relationship Id="rId197" Type="http://schemas.openxmlformats.org/officeDocument/2006/relationships/hyperlink" Target="https://dx.doi.org/10.17504/protocols.io.kxygxejwdv8j/v3" TargetMode="External"/><Relationship Id="rId17" Type="http://schemas.openxmlformats.org/officeDocument/2006/relationships/hyperlink" Target="https://dx.doi.org/10.17504/protocols.io.kxygxejwdv8j/v3" TargetMode="External"/><Relationship Id="rId196" Type="http://schemas.openxmlformats.org/officeDocument/2006/relationships/hyperlink" Target="https://dx.doi.org/10.17504/protocols.io.kxygxejwdv8j/v3" TargetMode="External"/><Relationship Id="rId16" Type="http://schemas.openxmlformats.org/officeDocument/2006/relationships/hyperlink" Target="https://dx.doi.org/10.17504/protocols.io.kxygxejwdv8j/v3" TargetMode="External"/><Relationship Id="rId195" Type="http://schemas.openxmlformats.org/officeDocument/2006/relationships/hyperlink" Target="https://dx.doi.org/10.17504/protocols.io.kxygxejwdv8j/v3" TargetMode="External"/><Relationship Id="rId19" Type="http://schemas.openxmlformats.org/officeDocument/2006/relationships/hyperlink" Target="https://dx.doi.org/10.17504/protocols.io.kxygxejwdv8j/v3" TargetMode="External"/><Relationship Id="rId18" Type="http://schemas.openxmlformats.org/officeDocument/2006/relationships/hyperlink" Target="https://dx.doi.org/10.17504/protocols.io.kxygxejwdv8j/v3" TargetMode="External"/><Relationship Id="rId199" Type="http://schemas.openxmlformats.org/officeDocument/2006/relationships/hyperlink" Target="https://dx.doi.org/10.17504/protocols.io.kxygxejwdv8j/v3" TargetMode="External"/><Relationship Id="rId84" Type="http://schemas.openxmlformats.org/officeDocument/2006/relationships/hyperlink" Target="https://dx.doi.org/10.17504/protocols.io.n2bvj395plk5/v1" TargetMode="External"/><Relationship Id="rId83" Type="http://schemas.openxmlformats.org/officeDocument/2006/relationships/hyperlink" Target="https://dx.doi.org/10.17504/protocols.io.n2bvj395plk5/v1" TargetMode="External"/><Relationship Id="rId86" Type="http://schemas.openxmlformats.org/officeDocument/2006/relationships/hyperlink" Target="https://dx.doi.org/10.17504/protocols.io.n2bvj395plk5/v1" TargetMode="External"/><Relationship Id="rId85" Type="http://schemas.openxmlformats.org/officeDocument/2006/relationships/hyperlink" Target="https://dx.doi.org/10.17504/protocols.io.n2bvj395plk5/v1" TargetMode="External"/><Relationship Id="rId88" Type="http://schemas.openxmlformats.org/officeDocument/2006/relationships/hyperlink" Target="https://dx.doi.org/10.17504/protocols.io.n2bvj395plk5/v1" TargetMode="External"/><Relationship Id="rId150" Type="http://schemas.openxmlformats.org/officeDocument/2006/relationships/hyperlink" Target="https://dx.doi.org/10.17504/protocols.io.kxygxejwdv8j/v3" TargetMode="External"/><Relationship Id="rId271" Type="http://schemas.openxmlformats.org/officeDocument/2006/relationships/hyperlink" Target="https://dx.doi.org/10.17504/protocols.io.j8nlk91jdv5r/v1" TargetMode="External"/><Relationship Id="rId87" Type="http://schemas.openxmlformats.org/officeDocument/2006/relationships/hyperlink" Target="https://dx.doi.org/10.17504/protocols.io.n2bvj395plk5/v1" TargetMode="External"/><Relationship Id="rId270" Type="http://schemas.openxmlformats.org/officeDocument/2006/relationships/hyperlink" Target="https://dx.doi.org/10.17504/protocols.io.j8nlk91jdv5r/v1" TargetMode="External"/><Relationship Id="rId89" Type="http://schemas.openxmlformats.org/officeDocument/2006/relationships/hyperlink" Target="https://dx.doi.org/10.17504/protocols.io.n2bvj395plk5/v1" TargetMode="External"/><Relationship Id="rId80" Type="http://schemas.openxmlformats.org/officeDocument/2006/relationships/hyperlink" Target="https://dx.doi.org/10.17504/protocols.io.n2bvj395plk5/v1" TargetMode="External"/><Relationship Id="rId82" Type="http://schemas.openxmlformats.org/officeDocument/2006/relationships/hyperlink" Target="https://dx.doi.org/10.17504/protocols.io.n2bvj395plk5/v1" TargetMode="External"/><Relationship Id="rId81" Type="http://schemas.openxmlformats.org/officeDocument/2006/relationships/hyperlink" Target="https://dx.doi.org/10.17504/protocols.io.n2bvj395plk5/v1" TargetMode="External"/><Relationship Id="rId1" Type="http://schemas.openxmlformats.org/officeDocument/2006/relationships/hyperlink" Target="https://dx.doi.org/10.17504/protocols.io.kxygxejwdv8j/v3" TargetMode="External"/><Relationship Id="rId2" Type="http://schemas.openxmlformats.org/officeDocument/2006/relationships/hyperlink" Target="https://dx.doi.org/10.17504/protocols.io.bjttknnn" TargetMode="External"/><Relationship Id="rId3" Type="http://schemas.openxmlformats.org/officeDocument/2006/relationships/hyperlink" Target="https://dx.doi.org/10.17504/protocols.io.kxygxejwdv8j/v3" TargetMode="External"/><Relationship Id="rId149" Type="http://schemas.openxmlformats.org/officeDocument/2006/relationships/hyperlink" Target="https://dx.doi.org/10.17504/protocols.io.kxygxejwdv8j/v3" TargetMode="External"/><Relationship Id="rId4" Type="http://schemas.openxmlformats.org/officeDocument/2006/relationships/hyperlink" Target="https://dx.doi.org/10.17504/protocols.io.kxygxejwdv8j/v3" TargetMode="External"/><Relationship Id="rId148" Type="http://schemas.openxmlformats.org/officeDocument/2006/relationships/hyperlink" Target="https://dx.doi.org/10.17504/protocols.io.kxygxejwdv8j/v3" TargetMode="External"/><Relationship Id="rId269" Type="http://schemas.openxmlformats.org/officeDocument/2006/relationships/hyperlink" Target="https://dx.doi.org/10.17504/protocols.io.j8nlk91jdv5r/v1" TargetMode="External"/><Relationship Id="rId9" Type="http://schemas.openxmlformats.org/officeDocument/2006/relationships/hyperlink" Target="https://dx.doi.org/10.17504/protocols.io.kxygxejwdv8j/v3" TargetMode="External"/><Relationship Id="rId143" Type="http://schemas.openxmlformats.org/officeDocument/2006/relationships/hyperlink" Target="https://dx.doi.org/10.17504/protocols.io.kxygxejwdv8j/v3" TargetMode="External"/><Relationship Id="rId264" Type="http://schemas.openxmlformats.org/officeDocument/2006/relationships/hyperlink" Target="https://dx.doi.org/10.17504/protocols.io.j8nlk91jdv5r/v1" TargetMode="External"/><Relationship Id="rId142" Type="http://schemas.openxmlformats.org/officeDocument/2006/relationships/hyperlink" Target="https://dx.doi.org/10.17504/protocols.io.kxygxejwdv8j/v3" TargetMode="External"/><Relationship Id="rId263" Type="http://schemas.openxmlformats.org/officeDocument/2006/relationships/hyperlink" Target="https://dx.doi.org/10.17504/protocols.io.j8nlk91jdv5r/v1" TargetMode="External"/><Relationship Id="rId141" Type="http://schemas.openxmlformats.org/officeDocument/2006/relationships/hyperlink" Target="https://dx.doi.org/10.17504/protocols.io.kxygxejwdv8j/v3" TargetMode="External"/><Relationship Id="rId262" Type="http://schemas.openxmlformats.org/officeDocument/2006/relationships/hyperlink" Target="https://dx.doi.org/10.17504/protocols.io.j8nlk91jdv5r/v1" TargetMode="External"/><Relationship Id="rId140" Type="http://schemas.openxmlformats.org/officeDocument/2006/relationships/hyperlink" Target="https://dx.doi.org/10.17504/protocols.io.kxygxejwdv8j/v3" TargetMode="External"/><Relationship Id="rId261" Type="http://schemas.openxmlformats.org/officeDocument/2006/relationships/hyperlink" Target="https://dx.doi.org/10.17504/protocols.io.j8nlk91jdv5r/v1" TargetMode="External"/><Relationship Id="rId5" Type="http://schemas.openxmlformats.org/officeDocument/2006/relationships/hyperlink" Target="https://dx.doi.org/10.17504/protocols.io.kxygxejwdv8j/v3" TargetMode="External"/><Relationship Id="rId147" Type="http://schemas.openxmlformats.org/officeDocument/2006/relationships/hyperlink" Target="https://dx.doi.org/10.17504/protocols.io.kxygxejwdv8j/v3" TargetMode="External"/><Relationship Id="rId268" Type="http://schemas.openxmlformats.org/officeDocument/2006/relationships/hyperlink" Target="https://dx.doi.org/10.17504/protocols.io.j8nlk91jdv5r/v1" TargetMode="External"/><Relationship Id="rId6" Type="http://schemas.openxmlformats.org/officeDocument/2006/relationships/hyperlink" Target="https://dx.doi.org/10.17504/protocols.io.kxygxejwdv8j/v3" TargetMode="External"/><Relationship Id="rId146" Type="http://schemas.openxmlformats.org/officeDocument/2006/relationships/hyperlink" Target="https://dx.doi.org/10.17504/protocols.io.kxygxejwdv8j/v3" TargetMode="External"/><Relationship Id="rId267" Type="http://schemas.openxmlformats.org/officeDocument/2006/relationships/hyperlink" Target="https://dx.doi.org/10.17504/protocols.io.j8nlk91jdv5r/v1" TargetMode="External"/><Relationship Id="rId7" Type="http://schemas.openxmlformats.org/officeDocument/2006/relationships/hyperlink" Target="https://dx.doi.org/10.17504/protocols.io.kxygxejwdv8j/v3" TargetMode="External"/><Relationship Id="rId145" Type="http://schemas.openxmlformats.org/officeDocument/2006/relationships/hyperlink" Target="https://dx.doi.org/10.17504/protocols.io.kxygxejwdv8j/v3" TargetMode="External"/><Relationship Id="rId266" Type="http://schemas.openxmlformats.org/officeDocument/2006/relationships/hyperlink" Target="https://dx.doi.org/10.17504/protocols.io.j8nlk91jdv5r/v1" TargetMode="External"/><Relationship Id="rId8" Type="http://schemas.openxmlformats.org/officeDocument/2006/relationships/hyperlink" Target="https://dx.doi.org/10.17504/protocols.io.kxygxejwdv8j/v3" TargetMode="External"/><Relationship Id="rId144" Type="http://schemas.openxmlformats.org/officeDocument/2006/relationships/hyperlink" Target="https://dx.doi.org/10.17504/protocols.io.kxygxejwdv8j/v3" TargetMode="External"/><Relationship Id="rId265" Type="http://schemas.openxmlformats.org/officeDocument/2006/relationships/hyperlink" Target="https://dx.doi.org/10.17504/protocols.io.j8nlk91jdv5r/v1" TargetMode="External"/><Relationship Id="rId73" Type="http://schemas.openxmlformats.org/officeDocument/2006/relationships/hyperlink" Target="https://dx.doi.org/10.17504/protocols.io.n2bvj395plk5/v1" TargetMode="External"/><Relationship Id="rId72" Type="http://schemas.openxmlformats.org/officeDocument/2006/relationships/hyperlink" Target="https://dx.doi.org/10.17504/protocols.io.n2bvj395plk5/v1" TargetMode="External"/><Relationship Id="rId75" Type="http://schemas.openxmlformats.org/officeDocument/2006/relationships/hyperlink" Target="https://dx.doi.org/10.17504/protocols.io.n2bvj395plk5/v1" TargetMode="External"/><Relationship Id="rId74" Type="http://schemas.openxmlformats.org/officeDocument/2006/relationships/hyperlink" Target="https://dx.doi.org/10.17504/protocols.io.n2bvj395plk5/v1" TargetMode="External"/><Relationship Id="rId77" Type="http://schemas.openxmlformats.org/officeDocument/2006/relationships/hyperlink" Target="https://dx.doi.org/10.17504/protocols.io.n2bvj395plk5/v1" TargetMode="External"/><Relationship Id="rId260" Type="http://schemas.openxmlformats.org/officeDocument/2006/relationships/hyperlink" Target="https://dx.doi.org/10.17504/protocols.io.j8nlk91jdv5r/v1" TargetMode="External"/><Relationship Id="rId76" Type="http://schemas.openxmlformats.org/officeDocument/2006/relationships/hyperlink" Target="https://dx.doi.org/10.17504/protocols.io.n2bvj395plk5/v1" TargetMode="External"/><Relationship Id="rId79" Type="http://schemas.openxmlformats.org/officeDocument/2006/relationships/hyperlink" Target="https://dx.doi.org/10.17504/protocols.io.n2bvj395plk5/v1" TargetMode="External"/><Relationship Id="rId78" Type="http://schemas.openxmlformats.org/officeDocument/2006/relationships/hyperlink" Target="https://dx.doi.org/10.17504/protocols.io.n2bvj395plk5/v1" TargetMode="External"/><Relationship Id="rId71" Type="http://schemas.openxmlformats.org/officeDocument/2006/relationships/hyperlink" Target="https://dx.doi.org/10.17504/protocols.io.n2bvj395plk5/v1" TargetMode="External"/><Relationship Id="rId70" Type="http://schemas.openxmlformats.org/officeDocument/2006/relationships/hyperlink" Target="https://dx.doi.org/10.17504/protocols.io.n2bvj395plk5/v1" TargetMode="External"/><Relationship Id="rId139" Type="http://schemas.openxmlformats.org/officeDocument/2006/relationships/hyperlink" Target="https://dx.doi.org/10.17504/protocols.io.kxygxejwdv8j/v3" TargetMode="External"/><Relationship Id="rId138" Type="http://schemas.openxmlformats.org/officeDocument/2006/relationships/hyperlink" Target="https://dx.doi.org/10.17504/protocols.io.kxygxejwdv8j/v3" TargetMode="External"/><Relationship Id="rId259" Type="http://schemas.openxmlformats.org/officeDocument/2006/relationships/hyperlink" Target="https://dx.doi.org/10.17504/protocols.io.j8nlk91jdv5r/v1" TargetMode="External"/><Relationship Id="rId137" Type="http://schemas.openxmlformats.org/officeDocument/2006/relationships/hyperlink" Target="https://dx.doi.org/10.17504/protocols.io.kxygxejwdv8j/v3" TargetMode="External"/><Relationship Id="rId258" Type="http://schemas.openxmlformats.org/officeDocument/2006/relationships/hyperlink" Target="https://dx.doi.org/10.17504/protocols.io.j8nlk91jdv5r/v1" TargetMode="External"/><Relationship Id="rId132" Type="http://schemas.openxmlformats.org/officeDocument/2006/relationships/hyperlink" Target="https://dx.doi.org/10.17504/protocols.io.kxygxejwdv8j/v3" TargetMode="External"/><Relationship Id="rId253" Type="http://schemas.openxmlformats.org/officeDocument/2006/relationships/hyperlink" Target="https://dx.doi.org/10.17504/protocols.io.j8nlk91jdv5r/v1" TargetMode="External"/><Relationship Id="rId131" Type="http://schemas.openxmlformats.org/officeDocument/2006/relationships/hyperlink" Target="https://dx.doi.org/10.17504/protocols.io.kxygxejwdv8j/v3" TargetMode="External"/><Relationship Id="rId252" Type="http://schemas.openxmlformats.org/officeDocument/2006/relationships/hyperlink" Target="https://dx.doi.org/10.17504/protocols.io.j8nlk91jdv5r/v1" TargetMode="External"/><Relationship Id="rId130" Type="http://schemas.openxmlformats.org/officeDocument/2006/relationships/hyperlink" Target="https://dx.doi.org/10.17504/protocols.io.kxygxejwdv8j/v3" TargetMode="External"/><Relationship Id="rId251" Type="http://schemas.openxmlformats.org/officeDocument/2006/relationships/hyperlink" Target="https://dx.doi.org/10.17504/protocols.io.j8nlk91jdv5r/v1" TargetMode="External"/><Relationship Id="rId250" Type="http://schemas.openxmlformats.org/officeDocument/2006/relationships/hyperlink" Target="https://dx.doi.org/10.17504/protocols.io.j8nlk91jdv5r/v1" TargetMode="External"/><Relationship Id="rId136" Type="http://schemas.openxmlformats.org/officeDocument/2006/relationships/hyperlink" Target="https://dx.doi.org/10.17504/protocols.io.kxygxejwdv8j/v3" TargetMode="External"/><Relationship Id="rId257" Type="http://schemas.openxmlformats.org/officeDocument/2006/relationships/hyperlink" Target="https://dx.doi.org/10.17504/protocols.io.j8nlk91jdv5r/v1" TargetMode="External"/><Relationship Id="rId135" Type="http://schemas.openxmlformats.org/officeDocument/2006/relationships/hyperlink" Target="https://dx.doi.org/10.17504/protocols.io.kxygxejwdv8j/v3" TargetMode="External"/><Relationship Id="rId256" Type="http://schemas.openxmlformats.org/officeDocument/2006/relationships/hyperlink" Target="https://dx.doi.org/10.17504/protocols.io.j8nlk91jdv5r/v1" TargetMode="External"/><Relationship Id="rId134" Type="http://schemas.openxmlformats.org/officeDocument/2006/relationships/hyperlink" Target="https://dx.doi.org/10.17504/protocols.io.kxygxejwdv8j/v3" TargetMode="External"/><Relationship Id="rId255" Type="http://schemas.openxmlformats.org/officeDocument/2006/relationships/hyperlink" Target="https://dx.doi.org/10.17504/protocols.io.j8nlk91jdv5r/v1" TargetMode="External"/><Relationship Id="rId133" Type="http://schemas.openxmlformats.org/officeDocument/2006/relationships/hyperlink" Target="https://dx.doi.org/10.17504/protocols.io.n2bvj395plk5/v1" TargetMode="External"/><Relationship Id="rId254" Type="http://schemas.openxmlformats.org/officeDocument/2006/relationships/hyperlink" Target="https://dx.doi.org/10.17504/protocols.io.j8nlk91jdv5r/v1" TargetMode="External"/><Relationship Id="rId62" Type="http://schemas.openxmlformats.org/officeDocument/2006/relationships/hyperlink" Target="https://dx.doi.org/10.17504/protocols.io.n2bvj395plk5/v1" TargetMode="External"/><Relationship Id="rId61" Type="http://schemas.openxmlformats.org/officeDocument/2006/relationships/hyperlink" Target="https://dx.doi.org/10.17504/protocols.io.n2bvj395plk5/v1" TargetMode="External"/><Relationship Id="rId64" Type="http://schemas.openxmlformats.org/officeDocument/2006/relationships/hyperlink" Target="https://dx.doi.org/10.17504/protocols.io.n2bvj395plk5/v1" TargetMode="External"/><Relationship Id="rId63" Type="http://schemas.openxmlformats.org/officeDocument/2006/relationships/hyperlink" Target="https://dx.doi.org/10.17504/protocols.io.n2bvj395plk5/v1" TargetMode="External"/><Relationship Id="rId66" Type="http://schemas.openxmlformats.org/officeDocument/2006/relationships/hyperlink" Target="https://dx.doi.org/10.17504/protocols.io.n2bvj395plk5/v1" TargetMode="External"/><Relationship Id="rId172" Type="http://schemas.openxmlformats.org/officeDocument/2006/relationships/hyperlink" Target="https://dx.doi.org/10.17504/protocols.io.kxygxejwdv8j/v3" TargetMode="External"/><Relationship Id="rId293" Type="http://schemas.openxmlformats.org/officeDocument/2006/relationships/hyperlink" Target="https://dx.doi.org/10.17504/protocols.io.j8nlk91jdv5r/v1" TargetMode="External"/><Relationship Id="rId65" Type="http://schemas.openxmlformats.org/officeDocument/2006/relationships/hyperlink" Target="https://dx.doi.org/10.17504/protocols.io.n2bvj395plk5/v1" TargetMode="External"/><Relationship Id="rId171" Type="http://schemas.openxmlformats.org/officeDocument/2006/relationships/hyperlink" Target="https://dx.doi.org/10.17504/protocols.io.kxygxejwdv8j/v3" TargetMode="External"/><Relationship Id="rId292" Type="http://schemas.openxmlformats.org/officeDocument/2006/relationships/hyperlink" Target="https://dx.doi.org/10.17504/protocols.io.j8nlk91jdv5r/v1" TargetMode="External"/><Relationship Id="rId68" Type="http://schemas.openxmlformats.org/officeDocument/2006/relationships/hyperlink" Target="https://dx.doi.org/10.17504/protocols.io.n2bvj395plk5/v1" TargetMode="External"/><Relationship Id="rId170" Type="http://schemas.openxmlformats.org/officeDocument/2006/relationships/hyperlink" Target="https://dx.doi.org/10.17504/protocols.io.kxygxejwdv8j/v3" TargetMode="External"/><Relationship Id="rId291" Type="http://schemas.openxmlformats.org/officeDocument/2006/relationships/hyperlink" Target="https://dx.doi.org/10.17504/protocols.io.j8nlk91jdv5r/v1" TargetMode="External"/><Relationship Id="rId67" Type="http://schemas.openxmlformats.org/officeDocument/2006/relationships/hyperlink" Target="https://dx.doi.org/10.17504/protocols.io.n2bvj395plk5/v1" TargetMode="External"/><Relationship Id="rId290" Type="http://schemas.openxmlformats.org/officeDocument/2006/relationships/hyperlink" Target="https://dx.doi.org/10.17504/protocols.io.j8nlk91jdv5r/v1" TargetMode="External"/><Relationship Id="rId60" Type="http://schemas.openxmlformats.org/officeDocument/2006/relationships/hyperlink" Target="https://dx.doi.org/10.17504/protocols.io.n2bvj395plk5/v1" TargetMode="External"/><Relationship Id="rId165" Type="http://schemas.openxmlformats.org/officeDocument/2006/relationships/hyperlink" Target="https://dx.doi.org/10.17504/protocols.io.kxygxejwdv8j/v3" TargetMode="External"/><Relationship Id="rId286" Type="http://schemas.openxmlformats.org/officeDocument/2006/relationships/hyperlink" Target="https://dx.doi.org/10.17504/protocols.io.j8nlk91jdv5r/v1" TargetMode="External"/><Relationship Id="rId69" Type="http://schemas.openxmlformats.org/officeDocument/2006/relationships/hyperlink" Target="https://dx.doi.org/10.17504/protocols.io.n2bvj395plk5/v1" TargetMode="External"/><Relationship Id="rId164" Type="http://schemas.openxmlformats.org/officeDocument/2006/relationships/hyperlink" Target="https://dx.doi.org/10.17504/protocols.io.kxygxejwdv8j/v3" TargetMode="External"/><Relationship Id="rId285" Type="http://schemas.openxmlformats.org/officeDocument/2006/relationships/hyperlink" Target="https://dx.doi.org/10.17504/protocols.io.j8nlk91jdv5r/v1" TargetMode="External"/><Relationship Id="rId163" Type="http://schemas.openxmlformats.org/officeDocument/2006/relationships/hyperlink" Target="https://dx.doi.org/10.17504/protocols.io.kxygxejwdv8j/v3" TargetMode="External"/><Relationship Id="rId284" Type="http://schemas.openxmlformats.org/officeDocument/2006/relationships/hyperlink" Target="https://dx.doi.org/10.17504/protocols.io.j8nlk91jdv5r/v1" TargetMode="External"/><Relationship Id="rId162" Type="http://schemas.openxmlformats.org/officeDocument/2006/relationships/hyperlink" Target="https://dx.doi.org/10.17504/protocols.io.kxygxejwdv8j/v3" TargetMode="External"/><Relationship Id="rId283" Type="http://schemas.openxmlformats.org/officeDocument/2006/relationships/hyperlink" Target="https://dx.doi.org/10.17504/protocols.io.j8nlk91jdv5r/v1" TargetMode="External"/><Relationship Id="rId169" Type="http://schemas.openxmlformats.org/officeDocument/2006/relationships/hyperlink" Target="https://dx.doi.org/10.17504/protocols.io.kxygxejwdv8j/v3" TargetMode="External"/><Relationship Id="rId168" Type="http://schemas.openxmlformats.org/officeDocument/2006/relationships/hyperlink" Target="https://dx.doi.org/10.17504/protocols.io.kxygxejwdv8j/v3" TargetMode="External"/><Relationship Id="rId289" Type="http://schemas.openxmlformats.org/officeDocument/2006/relationships/hyperlink" Target="https://dx.doi.org/10.17504/protocols.io.j8nlk91jdv5r/v1" TargetMode="External"/><Relationship Id="rId167" Type="http://schemas.openxmlformats.org/officeDocument/2006/relationships/hyperlink" Target="https://dx.doi.org/10.17504/protocols.io.kxygxejwdv8j/v3" TargetMode="External"/><Relationship Id="rId288" Type="http://schemas.openxmlformats.org/officeDocument/2006/relationships/hyperlink" Target="https://dx.doi.org/10.17504/protocols.io.j8nlk91jdv5r/v1" TargetMode="External"/><Relationship Id="rId166" Type="http://schemas.openxmlformats.org/officeDocument/2006/relationships/hyperlink" Target="https://dx.doi.org/10.17504/protocols.io.kxygxejwdv8j/v3" TargetMode="External"/><Relationship Id="rId287" Type="http://schemas.openxmlformats.org/officeDocument/2006/relationships/hyperlink" Target="https://dx.doi.org/10.17504/protocols.io.j8nlk91jdv5r/v1" TargetMode="External"/><Relationship Id="rId51" Type="http://schemas.openxmlformats.org/officeDocument/2006/relationships/hyperlink" Target="https://dx.doi.org/10.17504/protocols.io.kxygxejwdv8j/v3" TargetMode="External"/><Relationship Id="rId50" Type="http://schemas.openxmlformats.org/officeDocument/2006/relationships/hyperlink" Target="https://dx.doi.org/10.17504/protocols.io.kxygxejwdv8j/v3" TargetMode="External"/><Relationship Id="rId53" Type="http://schemas.openxmlformats.org/officeDocument/2006/relationships/hyperlink" Target="https://dx.doi.org/10.17504/protocols.io.kxygxejwdv8j/v3" TargetMode="External"/><Relationship Id="rId52" Type="http://schemas.openxmlformats.org/officeDocument/2006/relationships/hyperlink" Target="https://dx.doi.org/10.17504/protocols.io.kxygxejwdv8j/v3" TargetMode="External"/><Relationship Id="rId55" Type="http://schemas.openxmlformats.org/officeDocument/2006/relationships/hyperlink" Target="https://dx.doi.org/10.17504/protocols.io.kxygxejwdv8j/v3" TargetMode="External"/><Relationship Id="rId161" Type="http://schemas.openxmlformats.org/officeDocument/2006/relationships/hyperlink" Target="https://dx.doi.org/10.17504/protocols.io.kxygxejwdv8j/v3" TargetMode="External"/><Relationship Id="rId282" Type="http://schemas.openxmlformats.org/officeDocument/2006/relationships/hyperlink" Target="https://dx.doi.org/10.17504/protocols.io.j8nlk91jdv5r/v1" TargetMode="External"/><Relationship Id="rId54" Type="http://schemas.openxmlformats.org/officeDocument/2006/relationships/hyperlink" Target="https://dx.doi.org/10.17504/protocols.io.kxygxejwdv8j/v3" TargetMode="External"/><Relationship Id="rId160" Type="http://schemas.openxmlformats.org/officeDocument/2006/relationships/hyperlink" Target="https://dx.doi.org/10.17504/protocols.io.kxygxejwdv8j/v3" TargetMode="External"/><Relationship Id="rId281" Type="http://schemas.openxmlformats.org/officeDocument/2006/relationships/hyperlink" Target="https://dx.doi.org/10.17504/protocols.io.j8nlk91jdv5r/v1" TargetMode="External"/><Relationship Id="rId57" Type="http://schemas.openxmlformats.org/officeDocument/2006/relationships/hyperlink" Target="https://dx.doi.org/10.17504/protocols.io.kxygxejwdv8j/v3" TargetMode="External"/><Relationship Id="rId280" Type="http://schemas.openxmlformats.org/officeDocument/2006/relationships/hyperlink" Target="https://dx.doi.org/10.17504/protocols.io.j8nlk91jdv5r/v1" TargetMode="External"/><Relationship Id="rId56" Type="http://schemas.openxmlformats.org/officeDocument/2006/relationships/hyperlink" Target="https://dx.doi.org/10.17504/protocols.io.kxygxejwdv8j/v2" TargetMode="External"/><Relationship Id="rId159" Type="http://schemas.openxmlformats.org/officeDocument/2006/relationships/hyperlink" Target="https://dx.doi.org/10.17504/protocols.io.kxygxejwdv8j/v3" TargetMode="External"/><Relationship Id="rId59" Type="http://schemas.openxmlformats.org/officeDocument/2006/relationships/hyperlink" Target="https://dx.doi.org/10.17504/protocols.io.n2bvj395plk5/v1" TargetMode="External"/><Relationship Id="rId154" Type="http://schemas.openxmlformats.org/officeDocument/2006/relationships/hyperlink" Target="https://dx.doi.org/10.17504/protocols.io.kxygxejwdv8j/v3" TargetMode="External"/><Relationship Id="rId275" Type="http://schemas.openxmlformats.org/officeDocument/2006/relationships/hyperlink" Target="https://dx.doi.org/10.17504/protocols.io.j8nlk91jdv5r/v1" TargetMode="External"/><Relationship Id="rId58" Type="http://schemas.openxmlformats.org/officeDocument/2006/relationships/hyperlink" Target="https://dx.doi.org/10.17504/protocols.io.n2bvj395plk5/v1" TargetMode="External"/><Relationship Id="rId153" Type="http://schemas.openxmlformats.org/officeDocument/2006/relationships/hyperlink" Target="https://dx.doi.org/10.17504/protocols.io.kxygxejwdv8j/v3" TargetMode="External"/><Relationship Id="rId274" Type="http://schemas.openxmlformats.org/officeDocument/2006/relationships/hyperlink" Target="https://dx.doi.org/10.17504/protocols.io.j8nlk91jdv5r/v1" TargetMode="External"/><Relationship Id="rId152" Type="http://schemas.openxmlformats.org/officeDocument/2006/relationships/hyperlink" Target="https://dx.doi.org/10.17504/protocols.io.kxygxejwdv8j/v3" TargetMode="External"/><Relationship Id="rId273" Type="http://schemas.openxmlformats.org/officeDocument/2006/relationships/hyperlink" Target="https://dx.doi.org/10.17504/protocols.io.j8nlk91jdv5r/v1" TargetMode="External"/><Relationship Id="rId151" Type="http://schemas.openxmlformats.org/officeDocument/2006/relationships/hyperlink" Target="https://dx.doi.org/10.17504/protocols.io.kxygxejwdv8j/v3" TargetMode="External"/><Relationship Id="rId272" Type="http://schemas.openxmlformats.org/officeDocument/2006/relationships/hyperlink" Target="https://dx.doi.org/10.17504/protocols.io.j8nlk91jdv5r/v1" TargetMode="External"/><Relationship Id="rId158" Type="http://schemas.openxmlformats.org/officeDocument/2006/relationships/hyperlink" Target="https://dx.doi.org/10.17504/protocols.io.kxygxejwdv8j/v3" TargetMode="External"/><Relationship Id="rId279" Type="http://schemas.openxmlformats.org/officeDocument/2006/relationships/hyperlink" Target="https://dx.doi.org/10.17504/protocols.io.j8nlk91jdv5r/v1" TargetMode="External"/><Relationship Id="rId157" Type="http://schemas.openxmlformats.org/officeDocument/2006/relationships/hyperlink" Target="https://dx.doi.org/10.17504/protocols.io.kxygxejwdv8j/v3" TargetMode="External"/><Relationship Id="rId278" Type="http://schemas.openxmlformats.org/officeDocument/2006/relationships/hyperlink" Target="https://dx.doi.org/10.17504/protocols.io.j8nlk91jdv5r/v1" TargetMode="External"/><Relationship Id="rId156" Type="http://schemas.openxmlformats.org/officeDocument/2006/relationships/hyperlink" Target="https://dx.doi.org/10.17504/protocols.io.kxygxejwdv8j/v3" TargetMode="External"/><Relationship Id="rId277" Type="http://schemas.openxmlformats.org/officeDocument/2006/relationships/hyperlink" Target="https://dx.doi.org/10.17504/protocols.io.j8nlk91jdv5r/v1" TargetMode="External"/><Relationship Id="rId155" Type="http://schemas.openxmlformats.org/officeDocument/2006/relationships/hyperlink" Target="https://dx.doi.org/10.17504/protocols.io.kxygxejwdv8j/v3" TargetMode="External"/><Relationship Id="rId276" Type="http://schemas.openxmlformats.org/officeDocument/2006/relationships/hyperlink" Target="https://dx.doi.org/10.17504/protocols.io.j8nlk91jdv5r/v1" TargetMode="External"/><Relationship Id="rId107" Type="http://schemas.openxmlformats.org/officeDocument/2006/relationships/hyperlink" Target="https://dx.doi.org/10.17504/protocols.io.n2bvj395plk5/v1" TargetMode="External"/><Relationship Id="rId228" Type="http://schemas.openxmlformats.org/officeDocument/2006/relationships/hyperlink" Target="https://dx.doi.org/10.17504/protocols.io.j8nlk91jdv5r/v1" TargetMode="External"/><Relationship Id="rId106" Type="http://schemas.openxmlformats.org/officeDocument/2006/relationships/hyperlink" Target="https://dx.doi.org/10.17504/protocols.io.n2bvj395plk5/v1" TargetMode="External"/><Relationship Id="rId227" Type="http://schemas.openxmlformats.org/officeDocument/2006/relationships/hyperlink" Target="https://dx.doi.org/10.17504/protocols.io.j8nlk91jdv5r/v1" TargetMode="External"/><Relationship Id="rId105" Type="http://schemas.openxmlformats.org/officeDocument/2006/relationships/hyperlink" Target="https://dx.doi.org/10.17504/protocols.io.n2bvj395plk5/v1" TargetMode="External"/><Relationship Id="rId226" Type="http://schemas.openxmlformats.org/officeDocument/2006/relationships/hyperlink" Target="https://dx.doi.org/10.17504/protocols.io.j8nlk91jdv5r/v1" TargetMode="External"/><Relationship Id="rId104" Type="http://schemas.openxmlformats.org/officeDocument/2006/relationships/hyperlink" Target="https://dx.doi.org/10.17504/protocols.io.n2bvj395plk5/v1" TargetMode="External"/><Relationship Id="rId225" Type="http://schemas.openxmlformats.org/officeDocument/2006/relationships/hyperlink" Target="https://dx.doi.org/10.17504/protocols.io.j8nlk91jdv5r/v1" TargetMode="External"/><Relationship Id="rId109" Type="http://schemas.openxmlformats.org/officeDocument/2006/relationships/hyperlink" Target="https://dx.doi.org/10.17504/protocols.io.n2bvj395plk5/v1" TargetMode="External"/><Relationship Id="rId108" Type="http://schemas.openxmlformats.org/officeDocument/2006/relationships/hyperlink" Target="https://dx.doi.org/10.17504/protocols.io.n2bvj395plk5/v1" TargetMode="External"/><Relationship Id="rId229" Type="http://schemas.openxmlformats.org/officeDocument/2006/relationships/hyperlink" Target="https://dx.doi.org/10.17504/protocols.io.j8nlk91jdv5r/v1" TargetMode="External"/><Relationship Id="rId220" Type="http://schemas.openxmlformats.org/officeDocument/2006/relationships/hyperlink" Target="https://dx.doi.org/10.17504/protocols.io.kxygxejwdv8j/v3" TargetMode="External"/><Relationship Id="rId103" Type="http://schemas.openxmlformats.org/officeDocument/2006/relationships/hyperlink" Target="https://dx.doi.org/10.17504/protocols.io.n2bvj395plk5/v1" TargetMode="External"/><Relationship Id="rId224" Type="http://schemas.openxmlformats.org/officeDocument/2006/relationships/hyperlink" Target="https://dx.doi.org/10.17504/protocols.io.kxygxejwdv8j/v3" TargetMode="External"/><Relationship Id="rId102" Type="http://schemas.openxmlformats.org/officeDocument/2006/relationships/hyperlink" Target="https://dx.doi.org/10.17504/protocols.io.n2bvj395plk5/v1" TargetMode="External"/><Relationship Id="rId223" Type="http://schemas.openxmlformats.org/officeDocument/2006/relationships/hyperlink" Target="https://dx.doi.org/10.17504/protocols.io.kxygxejwdv8j/v3" TargetMode="External"/><Relationship Id="rId101" Type="http://schemas.openxmlformats.org/officeDocument/2006/relationships/hyperlink" Target="https://dx.doi.org/10.17504/protocols.io.n2bvj395plk5/v1" TargetMode="External"/><Relationship Id="rId222" Type="http://schemas.openxmlformats.org/officeDocument/2006/relationships/hyperlink" Target="https://dx.doi.org/10.17504/protocols.io.kxygxejwdv8j/v3" TargetMode="External"/><Relationship Id="rId100" Type="http://schemas.openxmlformats.org/officeDocument/2006/relationships/hyperlink" Target="https://dx.doi.org/10.17504/protocols.io.n2bvj395plk5/v1" TargetMode="External"/><Relationship Id="rId221" Type="http://schemas.openxmlformats.org/officeDocument/2006/relationships/hyperlink" Target="https://dx.doi.org/10.17504/protocols.io.kxygxejwdv8j/v3" TargetMode="External"/><Relationship Id="rId217" Type="http://schemas.openxmlformats.org/officeDocument/2006/relationships/hyperlink" Target="https://dx.doi.org/10.17504/protocols.io.kxygxejwdv8j/v3" TargetMode="External"/><Relationship Id="rId216" Type="http://schemas.openxmlformats.org/officeDocument/2006/relationships/hyperlink" Target="https://dx.doi.org/10.17504/protocols.io.kxygxejwdv8j/v3" TargetMode="External"/><Relationship Id="rId215" Type="http://schemas.openxmlformats.org/officeDocument/2006/relationships/hyperlink" Target="https://dx.doi.org/10.17504/protocols.io.kxygxejwdv8j/v3" TargetMode="External"/><Relationship Id="rId214" Type="http://schemas.openxmlformats.org/officeDocument/2006/relationships/hyperlink" Target="https://dx.doi.org/10.17504/protocols.io.kxygxejwdv8j/v3" TargetMode="External"/><Relationship Id="rId219" Type="http://schemas.openxmlformats.org/officeDocument/2006/relationships/hyperlink" Target="https://dx.doi.org/10.17504/protocols.io.kxygxejwdv8j/v3" TargetMode="External"/><Relationship Id="rId218" Type="http://schemas.openxmlformats.org/officeDocument/2006/relationships/hyperlink" Target="https://dx.doi.org/10.17504/protocols.io.kxygxejwdv8j/v3" TargetMode="External"/><Relationship Id="rId213" Type="http://schemas.openxmlformats.org/officeDocument/2006/relationships/hyperlink" Target="https://dx.doi.org/10.17504/protocols.io.kxygxejwdv8j/v3" TargetMode="External"/><Relationship Id="rId212" Type="http://schemas.openxmlformats.org/officeDocument/2006/relationships/hyperlink" Target="https://dx.doi.org/10.17504/protocols.io.kxygxejwdv8j/v3" TargetMode="External"/><Relationship Id="rId211" Type="http://schemas.openxmlformats.org/officeDocument/2006/relationships/hyperlink" Target="https://dx.doi.org/10.17504/protocols.io.kxygxejwdv8j/v3" TargetMode="External"/><Relationship Id="rId210" Type="http://schemas.openxmlformats.org/officeDocument/2006/relationships/hyperlink" Target="https://dx.doi.org/10.17504/protocols.io.kxygxejwdv8j/v3" TargetMode="External"/><Relationship Id="rId129" Type="http://schemas.openxmlformats.org/officeDocument/2006/relationships/hyperlink" Target="https://dx.doi.org/10.17504/protocols.io.n2bvj395plk5/v1" TargetMode="External"/><Relationship Id="rId128" Type="http://schemas.openxmlformats.org/officeDocument/2006/relationships/hyperlink" Target="https://dx.doi.org/10.17504/protocols.io.n2bvj395plk5/v1" TargetMode="External"/><Relationship Id="rId249" Type="http://schemas.openxmlformats.org/officeDocument/2006/relationships/hyperlink" Target="https://dx.doi.org/10.17504/protocols.io.j8nlk91jdv5r/v1" TargetMode="External"/><Relationship Id="rId127" Type="http://schemas.openxmlformats.org/officeDocument/2006/relationships/hyperlink" Target="https://dx.doi.org/10.17504/protocols.io.n2bvj395plk5/v1" TargetMode="External"/><Relationship Id="rId248" Type="http://schemas.openxmlformats.org/officeDocument/2006/relationships/hyperlink" Target="https://dx.doi.org/10.17504/protocols.io.j8nlk91jdv5r/v1" TargetMode="External"/><Relationship Id="rId126" Type="http://schemas.openxmlformats.org/officeDocument/2006/relationships/hyperlink" Target="https://dx.doi.org/10.17504/protocols.io.n2bvj395plk5/v1" TargetMode="External"/><Relationship Id="rId247" Type="http://schemas.openxmlformats.org/officeDocument/2006/relationships/hyperlink" Target="https://dx.doi.org/10.17504/protocols.io.j8nlk91jdv5r/v1" TargetMode="External"/><Relationship Id="rId121" Type="http://schemas.openxmlformats.org/officeDocument/2006/relationships/hyperlink" Target="https://dx.doi.org/10.17504/protocols.io.n2bvj395plk5/v1" TargetMode="External"/><Relationship Id="rId242" Type="http://schemas.openxmlformats.org/officeDocument/2006/relationships/hyperlink" Target="https://dx.doi.org/10.17504/protocols.io.j8nlk91jdv5r/v1" TargetMode="External"/><Relationship Id="rId120" Type="http://schemas.openxmlformats.org/officeDocument/2006/relationships/hyperlink" Target="https://dx.doi.org/10.17504/protocols.io.n2bvj395plk5/v1" TargetMode="External"/><Relationship Id="rId241" Type="http://schemas.openxmlformats.org/officeDocument/2006/relationships/hyperlink" Target="https://dx.doi.org/10.17504/protocols.io.j8nlk91jdv5r/v1" TargetMode="External"/><Relationship Id="rId240" Type="http://schemas.openxmlformats.org/officeDocument/2006/relationships/hyperlink" Target="https://dx.doi.org/10.17504/protocols.io.j8nlk91jdv5r/v1" TargetMode="External"/><Relationship Id="rId125" Type="http://schemas.openxmlformats.org/officeDocument/2006/relationships/hyperlink" Target="https://dx.doi.org/10.17504/protocols.io.n2bvj395plk5/v1" TargetMode="External"/><Relationship Id="rId246" Type="http://schemas.openxmlformats.org/officeDocument/2006/relationships/hyperlink" Target="https://dx.doi.org/10.17504/protocols.io.j8nlk91jdv5r/v1" TargetMode="External"/><Relationship Id="rId124" Type="http://schemas.openxmlformats.org/officeDocument/2006/relationships/hyperlink" Target="https://dx.doi.org/10.17504/protocols.io.n2bvj395plk5/v1" TargetMode="External"/><Relationship Id="rId245" Type="http://schemas.openxmlformats.org/officeDocument/2006/relationships/hyperlink" Target="https://dx.doi.org/10.17504/protocols.io.j8nlk91jdv5r/v1" TargetMode="External"/><Relationship Id="rId123" Type="http://schemas.openxmlformats.org/officeDocument/2006/relationships/hyperlink" Target="https://dx.doi.org/10.17504/protocols.io.n2bvj395plk5/v1" TargetMode="External"/><Relationship Id="rId244" Type="http://schemas.openxmlformats.org/officeDocument/2006/relationships/hyperlink" Target="https://dx.doi.org/10.17504/protocols.io.j8nlk91jdv5r/v1" TargetMode="External"/><Relationship Id="rId122" Type="http://schemas.openxmlformats.org/officeDocument/2006/relationships/hyperlink" Target="https://dx.doi.org/10.17504/protocols.io.n2bvj395plk5/v1" TargetMode="External"/><Relationship Id="rId243" Type="http://schemas.openxmlformats.org/officeDocument/2006/relationships/hyperlink" Target="https://dx.doi.org/10.17504/protocols.io.j8nlk91jdv5r/v1" TargetMode="External"/><Relationship Id="rId95" Type="http://schemas.openxmlformats.org/officeDocument/2006/relationships/hyperlink" Target="https://dx.doi.org/10.17504/protocols.io.n2bvj395plk5/v1" TargetMode="External"/><Relationship Id="rId94" Type="http://schemas.openxmlformats.org/officeDocument/2006/relationships/hyperlink" Target="https://dx.doi.org/10.17504/protocols.io.n2bvj395plk5/v1" TargetMode="External"/><Relationship Id="rId97" Type="http://schemas.openxmlformats.org/officeDocument/2006/relationships/hyperlink" Target="https://dx.doi.org/10.17504/protocols.io.n2bvj395plk5/v1" TargetMode="External"/><Relationship Id="rId96" Type="http://schemas.openxmlformats.org/officeDocument/2006/relationships/hyperlink" Target="https://dx.doi.org/10.17504/protocols.io.n2bvj395plk5/v1" TargetMode="External"/><Relationship Id="rId99" Type="http://schemas.openxmlformats.org/officeDocument/2006/relationships/hyperlink" Target="https://dx.doi.org/10.17504/protocols.io.n2bvj395plk5/v1" TargetMode="External"/><Relationship Id="rId98" Type="http://schemas.openxmlformats.org/officeDocument/2006/relationships/hyperlink" Target="https://dx.doi.org/10.17504/protocols.io.n2bvj395plk5/v1" TargetMode="External"/><Relationship Id="rId91" Type="http://schemas.openxmlformats.org/officeDocument/2006/relationships/hyperlink" Target="https://dx.doi.org/10.17504/protocols.io.n2bvj395plk5/v1" TargetMode="External"/><Relationship Id="rId90" Type="http://schemas.openxmlformats.org/officeDocument/2006/relationships/hyperlink" Target="https://dx.doi.org/10.17504/protocols.io.n2bvj395plk5/v1" TargetMode="External"/><Relationship Id="rId93" Type="http://schemas.openxmlformats.org/officeDocument/2006/relationships/hyperlink" Target="https://dx.doi.org/10.17504/protocols.io.n2bvj395plk5/v1" TargetMode="External"/><Relationship Id="rId92" Type="http://schemas.openxmlformats.org/officeDocument/2006/relationships/hyperlink" Target="https://dx.doi.org/10.17504/protocols.io.n2bvj395plk5/v1" TargetMode="External"/><Relationship Id="rId118" Type="http://schemas.openxmlformats.org/officeDocument/2006/relationships/hyperlink" Target="https://dx.doi.org/10.17504/protocols.io.n2bvj395plk5/v1" TargetMode="External"/><Relationship Id="rId239" Type="http://schemas.openxmlformats.org/officeDocument/2006/relationships/hyperlink" Target="https://dx.doi.org/10.17504/protocols.io.j8nlk91jdv5r/v1" TargetMode="External"/><Relationship Id="rId117" Type="http://schemas.openxmlformats.org/officeDocument/2006/relationships/hyperlink" Target="https://dx.doi.org/10.17504/protocols.io.n2bvj395plk5/v1" TargetMode="External"/><Relationship Id="rId238" Type="http://schemas.openxmlformats.org/officeDocument/2006/relationships/hyperlink" Target="https://dx.doi.org/10.17504/protocols.io.j8nlk91jdv5r/v1" TargetMode="External"/><Relationship Id="rId116" Type="http://schemas.openxmlformats.org/officeDocument/2006/relationships/hyperlink" Target="https://dx.doi.org/10.17504/protocols.io.n2bvj395plk5/v1" TargetMode="External"/><Relationship Id="rId237" Type="http://schemas.openxmlformats.org/officeDocument/2006/relationships/hyperlink" Target="https://dx.doi.org/10.17504/protocols.io.j8nlk91jdv5r/v1" TargetMode="External"/><Relationship Id="rId115" Type="http://schemas.openxmlformats.org/officeDocument/2006/relationships/hyperlink" Target="https://dx.doi.org/10.17504/protocols.io.n2bvj395plk5/v1" TargetMode="External"/><Relationship Id="rId236" Type="http://schemas.openxmlformats.org/officeDocument/2006/relationships/hyperlink" Target="https://dx.doi.org/10.17504/protocols.io.j8nlk91jdv5r/v1" TargetMode="External"/><Relationship Id="rId119" Type="http://schemas.openxmlformats.org/officeDocument/2006/relationships/hyperlink" Target="https://dx.doi.org/10.17504/protocols.io.n2bvj395plk5/v1" TargetMode="External"/><Relationship Id="rId110" Type="http://schemas.openxmlformats.org/officeDocument/2006/relationships/hyperlink" Target="https://dx.doi.org/10.17504/protocols.io.n2bvj395plk5/v1" TargetMode="External"/><Relationship Id="rId231" Type="http://schemas.openxmlformats.org/officeDocument/2006/relationships/hyperlink" Target="https://dx.doi.org/10.17504/protocols.io.j8nlk91jdv5r/v1" TargetMode="External"/><Relationship Id="rId230" Type="http://schemas.openxmlformats.org/officeDocument/2006/relationships/hyperlink" Target="https://dx.doi.org/10.17504/protocols.io.j8nlk91jdv5r/v1" TargetMode="External"/><Relationship Id="rId114" Type="http://schemas.openxmlformats.org/officeDocument/2006/relationships/hyperlink" Target="https://dx.doi.org/10.17504/protocols.io.n2bvj395plk5/v1" TargetMode="External"/><Relationship Id="rId235" Type="http://schemas.openxmlformats.org/officeDocument/2006/relationships/hyperlink" Target="https://dx.doi.org/10.17504/protocols.io.j8nlk91jdv5r/v1" TargetMode="External"/><Relationship Id="rId113" Type="http://schemas.openxmlformats.org/officeDocument/2006/relationships/hyperlink" Target="https://dx.doi.org/10.17504/protocols.io.n2bvj395plk5/v1" TargetMode="External"/><Relationship Id="rId234" Type="http://schemas.openxmlformats.org/officeDocument/2006/relationships/hyperlink" Target="https://dx.doi.org/10.17504/protocols.io.j8nlk91jdv5r/v1" TargetMode="External"/><Relationship Id="rId112" Type="http://schemas.openxmlformats.org/officeDocument/2006/relationships/hyperlink" Target="https://dx.doi.org/10.17504/protocols.io.n2bvj395plk5/v1" TargetMode="External"/><Relationship Id="rId233" Type="http://schemas.openxmlformats.org/officeDocument/2006/relationships/hyperlink" Target="https://dx.doi.org/10.17504/protocols.io.j8nlk91jdv5r/v1" TargetMode="External"/><Relationship Id="rId111" Type="http://schemas.openxmlformats.org/officeDocument/2006/relationships/hyperlink" Target="https://dx.doi.org/10.17504/protocols.io.n2bvj395plk5/v1" TargetMode="External"/><Relationship Id="rId232" Type="http://schemas.openxmlformats.org/officeDocument/2006/relationships/hyperlink" Target="https://dx.doi.org/10.17504/protocols.io.j8nlk91jdv5r/v1" TargetMode="External"/><Relationship Id="rId206" Type="http://schemas.openxmlformats.org/officeDocument/2006/relationships/hyperlink" Target="https://dx.doi.org/10.17504/protocols.io.kxygxejwdv8j/v3" TargetMode="External"/><Relationship Id="rId205" Type="http://schemas.openxmlformats.org/officeDocument/2006/relationships/hyperlink" Target="https://dx.doi.org/10.17504/protocols.io.kxygxejwdv8j/v3" TargetMode="External"/><Relationship Id="rId204" Type="http://schemas.openxmlformats.org/officeDocument/2006/relationships/hyperlink" Target="https://dx.doi.org/10.17504/protocols.io.kxygxejwdv8j/v3" TargetMode="External"/><Relationship Id="rId203" Type="http://schemas.openxmlformats.org/officeDocument/2006/relationships/hyperlink" Target="https://dx.doi.org/10.17504/protocols.io.kxygxejwdv8j/v3" TargetMode="External"/><Relationship Id="rId209" Type="http://schemas.openxmlformats.org/officeDocument/2006/relationships/hyperlink" Target="https://dx.doi.org/10.17504/protocols.io.kxygxejwdv8j/v3" TargetMode="External"/><Relationship Id="rId208" Type="http://schemas.openxmlformats.org/officeDocument/2006/relationships/hyperlink" Target="https://dx.doi.org/10.17504/protocols.io.kxygxejwdv8j/v3" TargetMode="External"/><Relationship Id="rId207" Type="http://schemas.openxmlformats.org/officeDocument/2006/relationships/hyperlink" Target="https://dx.doi.org/10.17504/protocols.io.kxygxejwdv8j/v3" TargetMode="External"/><Relationship Id="rId202" Type="http://schemas.openxmlformats.org/officeDocument/2006/relationships/hyperlink" Target="https://dx.doi.org/10.17504/protocols.io.kxygxejwdv8j/v3" TargetMode="External"/><Relationship Id="rId201" Type="http://schemas.openxmlformats.org/officeDocument/2006/relationships/hyperlink" Target="https://dx.doi.org/10.17504/protocols.io.kxygxejwdv8j/v3" TargetMode="External"/><Relationship Id="rId200" Type="http://schemas.openxmlformats.org/officeDocument/2006/relationships/hyperlink" Target="https://dx.doi.org/10.17504/protocols.io.kxygxejwdv8j/v3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dx.doi.org/10.17504/protocols.io.n2bvj395plk5/v1" TargetMode="External"/><Relationship Id="rId22" Type="http://schemas.openxmlformats.org/officeDocument/2006/relationships/hyperlink" Target="https://dx.doi.org/10.17504/protocols.io.kxygxejwdv8j/v3" TargetMode="External"/><Relationship Id="rId21" Type="http://schemas.openxmlformats.org/officeDocument/2006/relationships/hyperlink" Target="https://dx.doi.org/10.17504/protocols.io.n2bvj395plk5/v1" TargetMode="External"/><Relationship Id="rId24" Type="http://schemas.openxmlformats.org/officeDocument/2006/relationships/hyperlink" Target="https://dx.doi.org/10.17504/protocols.io.n2bvj395plk5/v1" TargetMode="External"/><Relationship Id="rId23" Type="http://schemas.openxmlformats.org/officeDocument/2006/relationships/hyperlink" Target="https://dx.doi.org/10.17504/protocols.io.n2bvj395plk5/v1" TargetMode="External"/><Relationship Id="rId26" Type="http://schemas.openxmlformats.org/officeDocument/2006/relationships/hyperlink" Target="https://dx.doi.org/10.17504/protocols.io.kxygxejwdv8j/v3" TargetMode="External"/><Relationship Id="rId25" Type="http://schemas.openxmlformats.org/officeDocument/2006/relationships/hyperlink" Target="https://dx.doi.org/10.17504/protocols.io.kxygxejwdv8j/v3" TargetMode="External"/><Relationship Id="rId28" Type="http://schemas.openxmlformats.org/officeDocument/2006/relationships/hyperlink" Target="https://dx.doi.org/10.17504/protocols.io.j8nlk91jdv5r/v1" TargetMode="External"/><Relationship Id="rId27" Type="http://schemas.openxmlformats.org/officeDocument/2006/relationships/hyperlink" Target="https://dx.doi.org/10.17504/protocols.io.j8nlk91jdv5r/v1" TargetMode="External"/><Relationship Id="rId29" Type="http://schemas.openxmlformats.org/officeDocument/2006/relationships/drawing" Target="../drawings/drawing4.xml"/><Relationship Id="rId11" Type="http://schemas.openxmlformats.org/officeDocument/2006/relationships/hyperlink" Target="https://dx.doi.org/10.17504/protocols.io.biz7kf9n" TargetMode="External"/><Relationship Id="rId10" Type="http://schemas.openxmlformats.org/officeDocument/2006/relationships/hyperlink" Target="https://dx.doi.org/10.17504/protocols.io.biz7kf9n" TargetMode="External"/><Relationship Id="rId13" Type="http://schemas.openxmlformats.org/officeDocument/2006/relationships/hyperlink" Target="https://dx.doi.org/10.17504/protocols.io.biz7kf9n" TargetMode="External"/><Relationship Id="rId12" Type="http://schemas.openxmlformats.org/officeDocument/2006/relationships/hyperlink" Target="https://dx.doi.org/10.17504/protocols.io.biz7kf9n" TargetMode="External"/><Relationship Id="rId15" Type="http://schemas.openxmlformats.org/officeDocument/2006/relationships/hyperlink" Target="https://dx.doi.org/10.17504/protocols.io.bjtnknme" TargetMode="External"/><Relationship Id="rId14" Type="http://schemas.openxmlformats.org/officeDocument/2006/relationships/hyperlink" Target="https://dx.doi.org/10.17504/protocols.io.kxygxejwdv8j/v3" TargetMode="External"/><Relationship Id="rId17" Type="http://schemas.openxmlformats.org/officeDocument/2006/relationships/hyperlink" Target="https://dx.doi.org/10.17504/protocols.io.kxygxejwdv8j/v3" TargetMode="External"/><Relationship Id="rId16" Type="http://schemas.openxmlformats.org/officeDocument/2006/relationships/hyperlink" Target="https://dx.doi.org/10.17504/protocols.io.kxygxejwdv8j/v2" TargetMode="External"/><Relationship Id="rId19" Type="http://schemas.openxmlformats.org/officeDocument/2006/relationships/hyperlink" Target="https://dx.doi.org/10.17504/protocols.io.n2bvj395plk5/v1" TargetMode="External"/><Relationship Id="rId18" Type="http://schemas.openxmlformats.org/officeDocument/2006/relationships/hyperlink" Target="https://dx.doi.org/10.17504/protocols.io.kxygxejwdv8j/v2" TargetMode="External"/><Relationship Id="rId1" Type="http://schemas.openxmlformats.org/officeDocument/2006/relationships/hyperlink" Target="https://dx.doi.org/10.17504/protocols.io.kxygxejwdv8j/v3" TargetMode="External"/><Relationship Id="rId2" Type="http://schemas.openxmlformats.org/officeDocument/2006/relationships/hyperlink" Target="https://dx.doi.org/10.17504/protocols.io.bjttknnn" TargetMode="External"/><Relationship Id="rId3" Type="http://schemas.openxmlformats.org/officeDocument/2006/relationships/hyperlink" Target="https://dx.doi.org/10.17504/protocols.io.bjtnknme" TargetMode="External"/><Relationship Id="rId4" Type="http://schemas.openxmlformats.org/officeDocument/2006/relationships/hyperlink" Target="https://dx.doi.org/10.17504/protocols.io.biz7kf9n" TargetMode="External"/><Relationship Id="rId9" Type="http://schemas.openxmlformats.org/officeDocument/2006/relationships/hyperlink" Target="https://dx.doi.org/10.17504/protocols.io.biz7kf9n" TargetMode="External"/><Relationship Id="rId5" Type="http://schemas.openxmlformats.org/officeDocument/2006/relationships/hyperlink" Target="https://dx.doi.org/10.17504/protocols.io.biz7kf9n" TargetMode="External"/><Relationship Id="rId6" Type="http://schemas.openxmlformats.org/officeDocument/2006/relationships/hyperlink" Target="https://dx.doi.org/10.17504/protocols.io.biz7kf9n" TargetMode="External"/><Relationship Id="rId7" Type="http://schemas.openxmlformats.org/officeDocument/2006/relationships/hyperlink" Target="https://dx.doi.org/10.17504/protocols.io.kxygxejwdv8j/v2" TargetMode="External"/><Relationship Id="rId8" Type="http://schemas.openxmlformats.org/officeDocument/2006/relationships/hyperlink" Target="https://dx.doi.org/10.17504/protocols.io.rm7vz84k2vx1/v2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dx.doi.org/10.17504/protocols.io.kxygxejwdv8j/v3" TargetMode="External"/><Relationship Id="rId22" Type="http://schemas.openxmlformats.org/officeDocument/2006/relationships/hyperlink" Target="https://dx.doi.org/10.17504/protocols.io.kxygxejwdv8j/v3" TargetMode="External"/><Relationship Id="rId21" Type="http://schemas.openxmlformats.org/officeDocument/2006/relationships/hyperlink" Target="https://dx.doi.org/10.17504/protocols.io.kxygxejwdv8j/v3" TargetMode="External"/><Relationship Id="rId23" Type="http://schemas.openxmlformats.org/officeDocument/2006/relationships/drawing" Target="../drawings/drawing5.xml"/><Relationship Id="rId11" Type="http://schemas.openxmlformats.org/officeDocument/2006/relationships/hyperlink" Target="https://dx.doi.org/10.17504/protocols.io.kxygxejwdv8j/v3" TargetMode="External"/><Relationship Id="rId10" Type="http://schemas.openxmlformats.org/officeDocument/2006/relationships/hyperlink" Target="https://dx.doi.org/10.17504/protocols.io.kxygxejwdv8j/v3" TargetMode="External"/><Relationship Id="rId13" Type="http://schemas.openxmlformats.org/officeDocument/2006/relationships/hyperlink" Target="https://dx.doi.org/10.17504/protocols.io.kxygxejwdv8j/v3" TargetMode="External"/><Relationship Id="rId12" Type="http://schemas.openxmlformats.org/officeDocument/2006/relationships/hyperlink" Target="https://dx.doi.org/10.17504/protocols.io.kxygxejwdv8j/v3" TargetMode="External"/><Relationship Id="rId15" Type="http://schemas.openxmlformats.org/officeDocument/2006/relationships/hyperlink" Target="https://dx.doi.org/10.17504/protocols.io.kxygxejwdv8j/v3" TargetMode="External"/><Relationship Id="rId14" Type="http://schemas.openxmlformats.org/officeDocument/2006/relationships/hyperlink" Target="https://dx.doi.org/10.17504/protocols.io.kxygxejwdv8j/v3" TargetMode="External"/><Relationship Id="rId17" Type="http://schemas.openxmlformats.org/officeDocument/2006/relationships/hyperlink" Target="https://dx.doi.org/10.17504/protocols.io.kxygxejwdv8j/v3" TargetMode="External"/><Relationship Id="rId16" Type="http://schemas.openxmlformats.org/officeDocument/2006/relationships/hyperlink" Target="https://dx.doi.org/10.17504/protocols.io.kxygxejwdv8j/v3" TargetMode="External"/><Relationship Id="rId19" Type="http://schemas.openxmlformats.org/officeDocument/2006/relationships/hyperlink" Target="https://dx.doi.org/10.17504/protocols.io.kxygxejwdv8j/v3" TargetMode="External"/><Relationship Id="rId18" Type="http://schemas.openxmlformats.org/officeDocument/2006/relationships/hyperlink" Target="https://dx.doi.org/10.17504/protocols.io.kxygxejwdv8j/v3" TargetMode="External"/><Relationship Id="rId1" Type="http://schemas.openxmlformats.org/officeDocument/2006/relationships/hyperlink" Target="https://dx.doi.org/10.17504/protocols.io.kxygxejwdv8j/v3" TargetMode="External"/><Relationship Id="rId2" Type="http://schemas.openxmlformats.org/officeDocument/2006/relationships/hyperlink" Target="https://dx.doi.org/10.17504/protocols.io.kxygxejwdv8j/v3" TargetMode="External"/><Relationship Id="rId3" Type="http://schemas.openxmlformats.org/officeDocument/2006/relationships/hyperlink" Target="https://dx.doi.org/10.17504/protocols.io.kxygxejwdv8j/v3" TargetMode="External"/><Relationship Id="rId4" Type="http://schemas.openxmlformats.org/officeDocument/2006/relationships/hyperlink" Target="https://dx.doi.org/10.17504/protocols.io.kxygxejwdv8j/v3" TargetMode="External"/><Relationship Id="rId9" Type="http://schemas.openxmlformats.org/officeDocument/2006/relationships/hyperlink" Target="https://dx.doi.org/10.17504/protocols.io.kxygxejwdv8j/v3" TargetMode="External"/><Relationship Id="rId5" Type="http://schemas.openxmlformats.org/officeDocument/2006/relationships/hyperlink" Target="https://dx.doi.org/10.17504/protocols.io.kxygxejwdv8j/v3" TargetMode="External"/><Relationship Id="rId6" Type="http://schemas.openxmlformats.org/officeDocument/2006/relationships/hyperlink" Target="https://dx.doi.org/10.17504/protocols.io.kxygxejwdv8j/v3" TargetMode="External"/><Relationship Id="rId7" Type="http://schemas.openxmlformats.org/officeDocument/2006/relationships/hyperlink" Target="https://dx.doi.org/10.17504/protocols.io.kxygxejwdv8j/v3" TargetMode="External"/><Relationship Id="rId8" Type="http://schemas.openxmlformats.org/officeDocument/2006/relationships/hyperlink" Target="https://dx.doi.org/10.17504/protocols.io.kxygxejwdv8j/v3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dx.doi.org/10.17504/protocols.io.j8nlk91jdv5r/v1" TargetMode="External"/><Relationship Id="rId42" Type="http://schemas.openxmlformats.org/officeDocument/2006/relationships/hyperlink" Target="https://dx.doi.org/10.17504/protocols.io.j8nlk91jdv5r/v1" TargetMode="External"/><Relationship Id="rId41" Type="http://schemas.openxmlformats.org/officeDocument/2006/relationships/hyperlink" Target="https://dx.doi.org/10.17504/protocols.io.j8nlk91jdv5r/v1" TargetMode="External"/><Relationship Id="rId44" Type="http://schemas.openxmlformats.org/officeDocument/2006/relationships/hyperlink" Target="https://dx.doi.org/10.17504/protocols.io.j8nlk91jdv5r/v1" TargetMode="External"/><Relationship Id="rId43" Type="http://schemas.openxmlformats.org/officeDocument/2006/relationships/hyperlink" Target="https://dx.doi.org/10.17504/protocols.io.j8nlk91jdv5r/v1" TargetMode="External"/><Relationship Id="rId46" Type="http://schemas.openxmlformats.org/officeDocument/2006/relationships/hyperlink" Target="https://dx.doi.org/10.17504/protocols.io.j8nlk91jdv5r/v1" TargetMode="External"/><Relationship Id="rId45" Type="http://schemas.openxmlformats.org/officeDocument/2006/relationships/hyperlink" Target="https://dx.doi.org/10.17504/protocols.io.j8nlk91jdv5r/v1" TargetMode="External"/><Relationship Id="rId48" Type="http://schemas.openxmlformats.org/officeDocument/2006/relationships/hyperlink" Target="https://dx.doi.org/10.17504/protocols.io.j8nlk91jdv5r/v1" TargetMode="External"/><Relationship Id="rId47" Type="http://schemas.openxmlformats.org/officeDocument/2006/relationships/hyperlink" Target="https://dx.doi.org/10.17504/protocols.io.j8nlk91jdv5r/v1" TargetMode="External"/><Relationship Id="rId49" Type="http://schemas.openxmlformats.org/officeDocument/2006/relationships/hyperlink" Target="https://dx.doi.org/10.17504/protocols.io.j8nlk91jdv5r/v1" TargetMode="External"/><Relationship Id="rId31" Type="http://schemas.openxmlformats.org/officeDocument/2006/relationships/hyperlink" Target="https://dx.doi.org/10.17504/protocols.io.kxygxejwdv8j/v3" TargetMode="External"/><Relationship Id="rId30" Type="http://schemas.openxmlformats.org/officeDocument/2006/relationships/hyperlink" Target="https://dx.doi.org/10.17504/protocols.io.kxygxejwdv8j/v3" TargetMode="External"/><Relationship Id="rId33" Type="http://schemas.openxmlformats.org/officeDocument/2006/relationships/hyperlink" Target="https://dx.doi.org/10.17504/protocols.io.kxygxejwdv8j/v3" TargetMode="External"/><Relationship Id="rId32" Type="http://schemas.openxmlformats.org/officeDocument/2006/relationships/hyperlink" Target="https://dx.doi.org/10.17504/protocols.io.kxygxejwdv8j/v3" TargetMode="External"/><Relationship Id="rId35" Type="http://schemas.openxmlformats.org/officeDocument/2006/relationships/hyperlink" Target="https://dx.doi.org/10.17504/protocols.io.kxygxejwdv8j/v3" TargetMode="External"/><Relationship Id="rId34" Type="http://schemas.openxmlformats.org/officeDocument/2006/relationships/hyperlink" Target="https://dx.doi.org/10.17504/protocols.io.kxygxejwdv8j/v3" TargetMode="External"/><Relationship Id="rId37" Type="http://schemas.openxmlformats.org/officeDocument/2006/relationships/hyperlink" Target="https://dx.doi.org/10.17504/protocols.io.kxygxejwdv8j/v3" TargetMode="External"/><Relationship Id="rId36" Type="http://schemas.openxmlformats.org/officeDocument/2006/relationships/hyperlink" Target="https://dx.doi.org/10.17504/protocols.io.kxygxejwdv8j/v3" TargetMode="External"/><Relationship Id="rId39" Type="http://schemas.openxmlformats.org/officeDocument/2006/relationships/hyperlink" Target="https://dx.doi.org/10.17504/protocols.io.j8nlk91jdv5r/v1" TargetMode="External"/><Relationship Id="rId38" Type="http://schemas.openxmlformats.org/officeDocument/2006/relationships/hyperlink" Target="https://dx.doi.org/10.17504/protocols.io.kxygxejwdv8j/v3" TargetMode="External"/><Relationship Id="rId20" Type="http://schemas.openxmlformats.org/officeDocument/2006/relationships/hyperlink" Target="https://dx.doi.org/10.17504/protocols.io.kxygxejwdv8j/v3" TargetMode="External"/><Relationship Id="rId22" Type="http://schemas.openxmlformats.org/officeDocument/2006/relationships/hyperlink" Target="https://dx.doi.org/10.17504/protocols.io.kxygxejwdv8j/v3" TargetMode="External"/><Relationship Id="rId21" Type="http://schemas.openxmlformats.org/officeDocument/2006/relationships/hyperlink" Target="https://dx.doi.org/10.17504/protocols.io.kxygxejwdv8j/v3" TargetMode="External"/><Relationship Id="rId24" Type="http://schemas.openxmlformats.org/officeDocument/2006/relationships/hyperlink" Target="https://dx.doi.org/10.17504/protocols.io.kxygxejwdv8j/v3" TargetMode="External"/><Relationship Id="rId23" Type="http://schemas.openxmlformats.org/officeDocument/2006/relationships/hyperlink" Target="https://dx.doi.org/10.17504/protocols.io.kxygxejwdv8j/v3" TargetMode="External"/><Relationship Id="rId26" Type="http://schemas.openxmlformats.org/officeDocument/2006/relationships/hyperlink" Target="https://dx.doi.org/10.17504/protocols.io.kxygxejwdv8j/v3" TargetMode="External"/><Relationship Id="rId25" Type="http://schemas.openxmlformats.org/officeDocument/2006/relationships/hyperlink" Target="https://dx.doi.org/10.17504/protocols.io.kxygxejwdv8j/v3" TargetMode="External"/><Relationship Id="rId28" Type="http://schemas.openxmlformats.org/officeDocument/2006/relationships/hyperlink" Target="https://dx.doi.org/10.17504/protocols.io.kxygxejwdv8j/v3" TargetMode="External"/><Relationship Id="rId27" Type="http://schemas.openxmlformats.org/officeDocument/2006/relationships/hyperlink" Target="https://dx.doi.org/10.17504/protocols.io.kxygxejwdv8j/v3" TargetMode="External"/><Relationship Id="rId29" Type="http://schemas.openxmlformats.org/officeDocument/2006/relationships/hyperlink" Target="https://dx.doi.org/10.17504/protocols.io.kxygxejwdv8j/v3" TargetMode="External"/><Relationship Id="rId11" Type="http://schemas.openxmlformats.org/officeDocument/2006/relationships/hyperlink" Target="https://dx.doi.org/10.17504/protocols.io.n2bvj395plk5/v1" TargetMode="External"/><Relationship Id="rId10" Type="http://schemas.openxmlformats.org/officeDocument/2006/relationships/hyperlink" Target="https://dx.doi.org/10.17504/protocols.io.n2bvj395plk5/v1" TargetMode="External"/><Relationship Id="rId13" Type="http://schemas.openxmlformats.org/officeDocument/2006/relationships/hyperlink" Target="https://dx.doi.org/10.17504/protocols.io.n2bvj395plk5/v1" TargetMode="External"/><Relationship Id="rId12" Type="http://schemas.openxmlformats.org/officeDocument/2006/relationships/hyperlink" Target="https://dx.doi.org/10.17504/protocols.io.n2bvj395plk5/v1" TargetMode="External"/><Relationship Id="rId15" Type="http://schemas.openxmlformats.org/officeDocument/2006/relationships/hyperlink" Target="https://dx.doi.org/10.17504/protocols.io.n2bvj395plk5/v1" TargetMode="External"/><Relationship Id="rId14" Type="http://schemas.openxmlformats.org/officeDocument/2006/relationships/hyperlink" Target="https://dx.doi.org/10.17504/protocols.io.n2bvj395plk5/v1" TargetMode="External"/><Relationship Id="rId17" Type="http://schemas.openxmlformats.org/officeDocument/2006/relationships/hyperlink" Target="https://dx.doi.org/10.17504/protocols.io.n2bvj395plk5/v1" TargetMode="External"/><Relationship Id="rId16" Type="http://schemas.openxmlformats.org/officeDocument/2006/relationships/hyperlink" Target="https://dx.doi.org/10.17504/protocols.io.n2bvj395plk5/v1" TargetMode="External"/><Relationship Id="rId19" Type="http://schemas.openxmlformats.org/officeDocument/2006/relationships/hyperlink" Target="https://dx.doi.org/10.17504/protocols.io.kxygxejwdv8j/v3" TargetMode="External"/><Relationship Id="rId18" Type="http://schemas.openxmlformats.org/officeDocument/2006/relationships/hyperlink" Target="https://dx.doi.org/10.17504/protocols.io.n2bvj395plk5/v1" TargetMode="External"/><Relationship Id="rId1" Type="http://schemas.openxmlformats.org/officeDocument/2006/relationships/hyperlink" Target="https://dx.doi.org/10.17504/protocols.io.n2bvj395plk5/v1" TargetMode="External"/><Relationship Id="rId2" Type="http://schemas.openxmlformats.org/officeDocument/2006/relationships/hyperlink" Target="https://dx.doi.org/10.17504/protocols.io.n2bvj395plk5/v1" TargetMode="External"/><Relationship Id="rId3" Type="http://schemas.openxmlformats.org/officeDocument/2006/relationships/hyperlink" Target="https://dx.doi.org/10.17504/protocols.io.n2bvj395plk5/v1" TargetMode="External"/><Relationship Id="rId4" Type="http://schemas.openxmlformats.org/officeDocument/2006/relationships/hyperlink" Target="https://dx.doi.org/10.17504/protocols.io.n2bvj395plk5/v1" TargetMode="External"/><Relationship Id="rId9" Type="http://schemas.openxmlformats.org/officeDocument/2006/relationships/hyperlink" Target="https://dx.doi.org/10.17504/protocols.io.n2bvj395plk5/v1" TargetMode="External"/><Relationship Id="rId5" Type="http://schemas.openxmlformats.org/officeDocument/2006/relationships/hyperlink" Target="https://dx.doi.org/10.17504/protocols.io.n2bvj395plk5/v1" TargetMode="External"/><Relationship Id="rId6" Type="http://schemas.openxmlformats.org/officeDocument/2006/relationships/hyperlink" Target="https://dx.doi.org/10.17504/protocols.io.n2bvj395plk5/v1" TargetMode="External"/><Relationship Id="rId7" Type="http://schemas.openxmlformats.org/officeDocument/2006/relationships/hyperlink" Target="https://dx.doi.org/10.17504/protocols.io.n2bvj395plk5/v1" TargetMode="External"/><Relationship Id="rId8" Type="http://schemas.openxmlformats.org/officeDocument/2006/relationships/hyperlink" Target="https://dx.doi.org/10.17504/protocols.io.n2bvj395plk5/v1" TargetMode="External"/><Relationship Id="rId51" Type="http://schemas.openxmlformats.org/officeDocument/2006/relationships/hyperlink" Target="https://dx.doi.org/10.17504/protocols.io.j8nlk91jdv5r/v1" TargetMode="External"/><Relationship Id="rId50" Type="http://schemas.openxmlformats.org/officeDocument/2006/relationships/hyperlink" Target="https://dx.doi.org/10.17504/protocols.io.j8nlk91jdv5r/v1" TargetMode="External"/><Relationship Id="rId53" Type="http://schemas.openxmlformats.org/officeDocument/2006/relationships/hyperlink" Target="https://dx.doi.org/10.17504/protocols.io.j8nlk91jdv5r/v1" TargetMode="External"/><Relationship Id="rId52" Type="http://schemas.openxmlformats.org/officeDocument/2006/relationships/hyperlink" Target="https://dx.doi.org/10.17504/protocols.io.j8nlk91jdv5r/v1" TargetMode="External"/><Relationship Id="rId55" Type="http://schemas.openxmlformats.org/officeDocument/2006/relationships/hyperlink" Target="https://dx.doi.org/10.17504/protocols.io.j8nlk91jdv5r/v1" TargetMode="External"/><Relationship Id="rId54" Type="http://schemas.openxmlformats.org/officeDocument/2006/relationships/hyperlink" Target="https://dx.doi.org/10.17504/protocols.io.j8nlk91jdv5r/v1" TargetMode="External"/><Relationship Id="rId57" Type="http://schemas.openxmlformats.org/officeDocument/2006/relationships/drawing" Target="../drawings/drawing6.xml"/><Relationship Id="rId56" Type="http://schemas.openxmlformats.org/officeDocument/2006/relationships/hyperlink" Target="https://dx.doi.org/10.17504/protocols.io.j8nlk91jdv5r/v1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dx.doi.org/10.17504/protocols.io.yxmvmmd46v3p/v1" TargetMode="External"/><Relationship Id="rId42" Type="http://schemas.openxmlformats.org/officeDocument/2006/relationships/hyperlink" Target="https://dx.doi.org/10.17504/protocols.io.yxmvmmd46v3p/v1" TargetMode="External"/><Relationship Id="rId41" Type="http://schemas.openxmlformats.org/officeDocument/2006/relationships/hyperlink" Target="https://dx.doi.org/10.17504/protocols.io.yxmvmmd46v3p/v1" TargetMode="External"/><Relationship Id="rId44" Type="http://schemas.openxmlformats.org/officeDocument/2006/relationships/hyperlink" Target="https://dx.doi.org/10.17504/protocols.io.yxmvmmd46v3p/v1" TargetMode="External"/><Relationship Id="rId43" Type="http://schemas.openxmlformats.org/officeDocument/2006/relationships/hyperlink" Target="https://dx.doi.org/10.17504/protocols.io.yxmvmmd46v3p/v1" TargetMode="External"/><Relationship Id="rId46" Type="http://schemas.openxmlformats.org/officeDocument/2006/relationships/hyperlink" Target="https://dx.doi.org/10.17504/protocols.io.yxmvmmd46v3p/v1" TargetMode="External"/><Relationship Id="rId45" Type="http://schemas.openxmlformats.org/officeDocument/2006/relationships/hyperlink" Target="https://dx.doi.org/10.17504/protocols.io.yxmvmmd46v3p/v1" TargetMode="External"/><Relationship Id="rId48" Type="http://schemas.openxmlformats.org/officeDocument/2006/relationships/hyperlink" Target="https://dx.doi.org/10.17504/protocols.io.yxmvmmd46v3p/v1" TargetMode="External"/><Relationship Id="rId47" Type="http://schemas.openxmlformats.org/officeDocument/2006/relationships/hyperlink" Target="https://dx.doi.org/10.17504/protocols.io.yxmvmmd46v3p/v1" TargetMode="External"/><Relationship Id="rId49" Type="http://schemas.openxmlformats.org/officeDocument/2006/relationships/hyperlink" Target="https://dx.doi.org/10.17504/protocols.io.yxmvmmd46v3p/v1" TargetMode="External"/><Relationship Id="rId31" Type="http://schemas.openxmlformats.org/officeDocument/2006/relationships/hyperlink" Target="https://dx.doi.org/10.17504/protocols.io.yxmvmmd46v3p/v1" TargetMode="External"/><Relationship Id="rId30" Type="http://schemas.openxmlformats.org/officeDocument/2006/relationships/hyperlink" Target="https://dx.doi.org/10.17504/protocols.io.yxmvmmd46v3p/v1" TargetMode="External"/><Relationship Id="rId33" Type="http://schemas.openxmlformats.org/officeDocument/2006/relationships/hyperlink" Target="https://dx.doi.org/10.17504/protocols.io.yxmvmmd46v3p/v1" TargetMode="External"/><Relationship Id="rId32" Type="http://schemas.openxmlformats.org/officeDocument/2006/relationships/hyperlink" Target="https://dx.doi.org/10.17504/protocols.io.yxmvmmd46v3p/v1" TargetMode="External"/><Relationship Id="rId35" Type="http://schemas.openxmlformats.org/officeDocument/2006/relationships/hyperlink" Target="https://dx.doi.org/10.17504/protocols.io.yxmvmmd46v3p/v1" TargetMode="External"/><Relationship Id="rId34" Type="http://schemas.openxmlformats.org/officeDocument/2006/relationships/hyperlink" Target="https://dx.doi.org/10.17504/protocols.io.yxmvmmd46v3p/v1" TargetMode="External"/><Relationship Id="rId37" Type="http://schemas.openxmlformats.org/officeDocument/2006/relationships/hyperlink" Target="https://dx.doi.org/10.17504/protocols.io.yxmvmmd46v3p/v1" TargetMode="External"/><Relationship Id="rId36" Type="http://schemas.openxmlformats.org/officeDocument/2006/relationships/hyperlink" Target="https://dx.doi.org/10.17504/protocols.io.yxmvmmd46v3p/v1" TargetMode="External"/><Relationship Id="rId39" Type="http://schemas.openxmlformats.org/officeDocument/2006/relationships/hyperlink" Target="https://dx.doi.org/10.17504/protocols.io.yxmvmmd46v3p/v1" TargetMode="External"/><Relationship Id="rId38" Type="http://schemas.openxmlformats.org/officeDocument/2006/relationships/hyperlink" Target="https://dx.doi.org/10.17504/protocols.io.yxmvmmd46v3p/v1" TargetMode="External"/><Relationship Id="rId20" Type="http://schemas.openxmlformats.org/officeDocument/2006/relationships/hyperlink" Target="https://dx.doi.org/10.17504/protocols.io.yxmvmmd46v3p/v1" TargetMode="External"/><Relationship Id="rId22" Type="http://schemas.openxmlformats.org/officeDocument/2006/relationships/hyperlink" Target="https://dx.doi.org/10.17504/protocols.io.yxmvmmd46v3p/v1" TargetMode="External"/><Relationship Id="rId21" Type="http://schemas.openxmlformats.org/officeDocument/2006/relationships/hyperlink" Target="https://dx.doi.org/10.17504/protocols.io.yxmvmmd46v3p/v1" TargetMode="External"/><Relationship Id="rId24" Type="http://schemas.openxmlformats.org/officeDocument/2006/relationships/hyperlink" Target="https://dx.doi.org/10.17504/protocols.io.yxmvmmd46v3p/v1" TargetMode="External"/><Relationship Id="rId23" Type="http://schemas.openxmlformats.org/officeDocument/2006/relationships/hyperlink" Target="https://dx.doi.org/10.17504/protocols.io.yxmvmmd46v3p/v1" TargetMode="External"/><Relationship Id="rId26" Type="http://schemas.openxmlformats.org/officeDocument/2006/relationships/hyperlink" Target="https://dx.doi.org/10.17504/protocols.io.yxmvmmd46v3p/v1" TargetMode="External"/><Relationship Id="rId25" Type="http://schemas.openxmlformats.org/officeDocument/2006/relationships/hyperlink" Target="https://dx.doi.org/10.17504/protocols.io.yxmvmmd46v3p/v1" TargetMode="External"/><Relationship Id="rId28" Type="http://schemas.openxmlformats.org/officeDocument/2006/relationships/hyperlink" Target="https://dx.doi.org/10.17504/protocols.io.yxmvmmd46v3p/v1" TargetMode="External"/><Relationship Id="rId27" Type="http://schemas.openxmlformats.org/officeDocument/2006/relationships/hyperlink" Target="https://dx.doi.org/10.17504/protocols.io.yxmvmmd46v3p/v1" TargetMode="External"/><Relationship Id="rId29" Type="http://schemas.openxmlformats.org/officeDocument/2006/relationships/hyperlink" Target="https://dx.doi.org/10.17504/protocols.io.yxmvmmd46v3p/v1" TargetMode="External"/><Relationship Id="rId11" Type="http://schemas.openxmlformats.org/officeDocument/2006/relationships/hyperlink" Target="https://dx.doi.org/10.17504/protocols.io.yxmvmmd46v3p/v1" TargetMode="External"/><Relationship Id="rId10" Type="http://schemas.openxmlformats.org/officeDocument/2006/relationships/hyperlink" Target="https://dx.doi.org/10.17504/protocols.io.yxmvmmd46v3p/v1" TargetMode="External"/><Relationship Id="rId13" Type="http://schemas.openxmlformats.org/officeDocument/2006/relationships/hyperlink" Target="https://dx.doi.org/10.17504/protocols.io.yxmvmmd46v3p/v1" TargetMode="External"/><Relationship Id="rId12" Type="http://schemas.openxmlformats.org/officeDocument/2006/relationships/hyperlink" Target="https://dx.doi.org/10.17504/protocols.io.yxmvmmd46v3p/v1" TargetMode="External"/><Relationship Id="rId15" Type="http://schemas.openxmlformats.org/officeDocument/2006/relationships/hyperlink" Target="https://dx.doi.org/10.17504/protocols.io.yxmvmmd46v3p/v1" TargetMode="External"/><Relationship Id="rId14" Type="http://schemas.openxmlformats.org/officeDocument/2006/relationships/hyperlink" Target="https://dx.doi.org/10.17504/protocols.io.yxmvmmd46v3p/v1" TargetMode="External"/><Relationship Id="rId17" Type="http://schemas.openxmlformats.org/officeDocument/2006/relationships/hyperlink" Target="https://dx.doi.org/10.17504/protocols.io.yxmvmmd46v3p/v1" TargetMode="External"/><Relationship Id="rId16" Type="http://schemas.openxmlformats.org/officeDocument/2006/relationships/hyperlink" Target="https://dx.doi.org/10.17504/protocols.io.yxmvmmd46v3p/v1" TargetMode="External"/><Relationship Id="rId19" Type="http://schemas.openxmlformats.org/officeDocument/2006/relationships/hyperlink" Target="https://dx.doi.org/10.17504/protocols.io.yxmvmmd46v3p/v1" TargetMode="External"/><Relationship Id="rId18" Type="http://schemas.openxmlformats.org/officeDocument/2006/relationships/hyperlink" Target="https://dx.doi.org/10.17504/protocols.io.yxmvmmd46v3p/v1" TargetMode="External"/><Relationship Id="rId1" Type="http://schemas.openxmlformats.org/officeDocument/2006/relationships/hyperlink" Target="https://dx.doi.org/10.17504/protocols.io.yxmvmmd46v3p/v1" TargetMode="External"/><Relationship Id="rId2" Type="http://schemas.openxmlformats.org/officeDocument/2006/relationships/hyperlink" Target="https://dx.doi.org/10.17504/protocols.io.yxmvmmd46v3p/v1" TargetMode="External"/><Relationship Id="rId3" Type="http://schemas.openxmlformats.org/officeDocument/2006/relationships/hyperlink" Target="https://dx.doi.org/10.17504/protocols.io.yxmvmmd46v3p/v1" TargetMode="External"/><Relationship Id="rId4" Type="http://schemas.openxmlformats.org/officeDocument/2006/relationships/hyperlink" Target="https://dx.doi.org/10.17504/protocols.io.yxmvmmd46v3p/v1" TargetMode="External"/><Relationship Id="rId9" Type="http://schemas.openxmlformats.org/officeDocument/2006/relationships/hyperlink" Target="https://dx.doi.org/10.17504/protocols.io.yxmvmmd46v3p/v1" TargetMode="External"/><Relationship Id="rId5" Type="http://schemas.openxmlformats.org/officeDocument/2006/relationships/hyperlink" Target="https://dx.doi.org/10.17504/protocols.io.yxmvmmd46v3p/v1" TargetMode="External"/><Relationship Id="rId6" Type="http://schemas.openxmlformats.org/officeDocument/2006/relationships/hyperlink" Target="https://dx.doi.org/10.17504/protocols.io.yxmvmmd46v3p/v1" TargetMode="External"/><Relationship Id="rId7" Type="http://schemas.openxmlformats.org/officeDocument/2006/relationships/hyperlink" Target="https://dx.doi.org/10.17504/protocols.io.yxmvmmd46v3p/v1" TargetMode="External"/><Relationship Id="rId8" Type="http://schemas.openxmlformats.org/officeDocument/2006/relationships/hyperlink" Target="https://dx.doi.org/10.17504/protocols.io.yxmvmmd46v3p/v1" TargetMode="External"/><Relationship Id="rId61" Type="http://schemas.openxmlformats.org/officeDocument/2006/relationships/drawing" Target="../drawings/drawing7.xml"/><Relationship Id="rId60" Type="http://schemas.openxmlformats.org/officeDocument/2006/relationships/hyperlink" Target="https://dx.doi.org/10.17504/protocols.io.yxmvmmd46v3p/v1" TargetMode="External"/><Relationship Id="rId51" Type="http://schemas.openxmlformats.org/officeDocument/2006/relationships/hyperlink" Target="https://dx.doi.org/10.17504/protocols.io.yxmvmmd46v3p/v1" TargetMode="External"/><Relationship Id="rId50" Type="http://schemas.openxmlformats.org/officeDocument/2006/relationships/hyperlink" Target="https://dx.doi.org/10.17504/protocols.io.yxmvmmd46v3p/v1" TargetMode="External"/><Relationship Id="rId53" Type="http://schemas.openxmlformats.org/officeDocument/2006/relationships/hyperlink" Target="https://dx.doi.org/10.17504/protocols.io.yxmvmmd46v3p/v1" TargetMode="External"/><Relationship Id="rId52" Type="http://schemas.openxmlformats.org/officeDocument/2006/relationships/hyperlink" Target="https://dx.doi.org/10.17504/protocols.io.yxmvmmd46v3p/v1" TargetMode="External"/><Relationship Id="rId55" Type="http://schemas.openxmlformats.org/officeDocument/2006/relationships/hyperlink" Target="https://dx.doi.org/10.17504/protocols.io.yxmvmmd46v3p/v1" TargetMode="External"/><Relationship Id="rId54" Type="http://schemas.openxmlformats.org/officeDocument/2006/relationships/hyperlink" Target="https://dx.doi.org/10.17504/protocols.io.yxmvmmd46v3p/v1" TargetMode="External"/><Relationship Id="rId57" Type="http://schemas.openxmlformats.org/officeDocument/2006/relationships/hyperlink" Target="https://dx.doi.org/10.17504/protocols.io.yxmvmmd46v3p/v1" TargetMode="External"/><Relationship Id="rId56" Type="http://schemas.openxmlformats.org/officeDocument/2006/relationships/hyperlink" Target="https://dx.doi.org/10.17504/protocols.io.yxmvmmd46v3p/v1" TargetMode="External"/><Relationship Id="rId59" Type="http://schemas.openxmlformats.org/officeDocument/2006/relationships/hyperlink" Target="https://dx.doi.org/10.17504/protocols.io.yxmvmmd46v3p/v1" TargetMode="External"/><Relationship Id="rId58" Type="http://schemas.openxmlformats.org/officeDocument/2006/relationships/hyperlink" Target="https://dx.doi.org/10.17504/protocols.io.yxmvmmd46v3p/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1.22" defaultRowHeight="15.0"/>
  <cols>
    <col customWidth="1" min="1" max="1" width="17.78"/>
    <col customWidth="1" min="2" max="2" width="19.44"/>
    <col customWidth="1" hidden="1" min="3" max="3" width="10.89"/>
    <col customWidth="1" min="4" max="4" width="11.0"/>
    <col customWidth="1" hidden="1" min="5" max="5" width="11.0"/>
    <col customWidth="1" hidden="1" min="6" max="6" width="13.22"/>
    <col customWidth="1" min="7" max="7" width="14.0"/>
    <col customWidth="1" hidden="1" min="8" max="8" width="17.11"/>
    <col customWidth="1" min="9" max="9" width="20.0"/>
    <col customWidth="1" min="10" max="10" width="54.78"/>
    <col customWidth="1" min="11" max="11" width="11.67"/>
    <col customWidth="1" hidden="1" min="12" max="12" width="13.67"/>
    <col customWidth="1" hidden="1" min="13" max="13" width="12.44"/>
    <col customWidth="1" hidden="1" min="14" max="14" width="55.44"/>
    <col customWidth="1" hidden="1" min="15" max="15" width="10.0"/>
    <col customWidth="1" hidden="1" min="16" max="16" width="14.11"/>
    <col customWidth="1" hidden="1" min="17" max="17" width="13.67"/>
    <col customWidth="1" hidden="1" min="18" max="18" width="12.11"/>
    <col customWidth="1" hidden="1" min="19" max="19" width="50.0"/>
    <col customWidth="1" hidden="1" min="20" max="20" width="14.78"/>
    <col customWidth="1" hidden="1" min="21" max="21" width="24.67"/>
    <col customWidth="1" hidden="1" min="22" max="22" width="34.67"/>
    <col customWidth="1" hidden="1" min="23" max="23" width="37.33"/>
    <col customWidth="1" hidden="1" min="24" max="25" width="18.0"/>
    <col customWidth="1" min="26" max="27" width="10.56"/>
  </cols>
  <sheetData>
    <row r="1" ht="15.75" customHeight="1">
      <c r="A1" s="1" t="s">
        <v>0</v>
      </c>
      <c r="B1" s="2" t="s">
        <v>1</v>
      </c>
      <c r="C1" s="3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</row>
    <row r="2" ht="15.75" customHeight="1">
      <c r="A2" s="5" t="str">
        <f>HYPERLINK("https://portal.hubmapconsortium.org/browse/sample/66bd96bcb1ed56acb430f7ad0e5ae1bb", "HBM234.DFCZ.923")</f>
        <v>HBM234.DFCZ.923</v>
      </c>
      <c r="B2" s="6">
        <v>2.0</v>
      </c>
      <c r="C2" s="7" t="s">
        <v>24</v>
      </c>
      <c r="D2" s="8" t="s">
        <v>25</v>
      </c>
      <c r="E2" s="7">
        <v>9.0</v>
      </c>
      <c r="F2" s="7" t="s">
        <v>26</v>
      </c>
      <c r="G2" s="5" t="b">
        <v>0</v>
      </c>
      <c r="H2" s="5" t="str">
        <f>HYPERLINK("https://portal.hubmapconsortium.org/browse/sample/95e661b6148f0eb7dc29eb519de1e934", "HBM348.BSHQ.569")</f>
        <v>HBM348.BSHQ.569</v>
      </c>
      <c r="I2" s="7" t="s">
        <v>27</v>
      </c>
      <c r="K2" s="7">
        <v>16.0</v>
      </c>
      <c r="L2" s="7">
        <v>4.0</v>
      </c>
      <c r="M2" s="7">
        <v>4.0</v>
      </c>
      <c r="O2" s="7" t="s">
        <v>28</v>
      </c>
      <c r="P2" s="7" t="s">
        <v>29</v>
      </c>
      <c r="Q2" s="7" t="s">
        <v>30</v>
      </c>
      <c r="R2" s="5" t="b">
        <v>0</v>
      </c>
      <c r="S2" s="5" t="s">
        <v>31</v>
      </c>
      <c r="T2" s="7" t="s">
        <v>32</v>
      </c>
      <c r="U2" s="7" t="s">
        <v>33</v>
      </c>
      <c r="V2" s="7" t="s">
        <v>34</v>
      </c>
      <c r="W2" s="7" t="s">
        <v>35</v>
      </c>
      <c r="X2" s="9">
        <v>45460.73728740741</v>
      </c>
      <c r="Y2" s="9">
        <v>45460.73728740741</v>
      </c>
    </row>
    <row r="3" ht="15.75" customHeight="1">
      <c r="A3" s="5" t="str">
        <f>HYPERLINK("https://portal.hubmapconsortium.org/browse/sample/ef5e2aac8cab431cc6f5731acf78e8ce", "HBM893.HVBT.597")</f>
        <v>HBM893.HVBT.597</v>
      </c>
      <c r="B3" s="6">
        <v>1.0</v>
      </c>
      <c r="C3" s="7" t="s">
        <v>36</v>
      </c>
      <c r="D3" s="8" t="s">
        <v>37</v>
      </c>
      <c r="E3" s="7">
        <v>1.6</v>
      </c>
      <c r="F3" s="7" t="s">
        <v>38</v>
      </c>
      <c r="G3" s="5" t="b">
        <v>1</v>
      </c>
      <c r="H3" s="5" t="str">
        <f>HYPERLINK("https://portal.hubmapconsortium.org/browse/sample/9d944eb8a61bf85f70762ae3f2b0e22e", "HBM297.BWFF.894")</f>
        <v>HBM297.BWFF.894</v>
      </c>
      <c r="I3" s="7" t="s">
        <v>39</v>
      </c>
      <c r="J3" s="10" t="s">
        <v>40</v>
      </c>
      <c r="N3" s="7" t="s">
        <v>41</v>
      </c>
      <c r="O3" s="7" t="s">
        <v>28</v>
      </c>
      <c r="P3" s="7" t="s">
        <v>29</v>
      </c>
      <c r="Q3" s="7" t="s">
        <v>30</v>
      </c>
      <c r="R3" s="5" t="b">
        <v>1</v>
      </c>
      <c r="S3" s="5" t="s">
        <v>42</v>
      </c>
      <c r="T3" s="7" t="s">
        <v>32</v>
      </c>
      <c r="U3" s="7" t="s">
        <v>33</v>
      </c>
      <c r="V3" s="7" t="s">
        <v>34</v>
      </c>
      <c r="W3" s="7" t="s">
        <v>35</v>
      </c>
      <c r="X3" s="9">
        <v>45358.85031174769</v>
      </c>
      <c r="Y3" s="9">
        <v>45559.77723917824</v>
      </c>
    </row>
    <row r="4" ht="15.75" customHeight="1">
      <c r="A4" s="11" t="str">
        <f>HYPERLINK("https://portal.hubmapconsortium.org/browse/sample/d6122c03657e85960ed82b3f4a2d1dc0", "HBM674.ZLGD.632")</f>
        <v>HBM674.ZLGD.632</v>
      </c>
      <c r="B4" s="12"/>
      <c r="C4" s="13" t="s">
        <v>43</v>
      </c>
      <c r="D4" s="12" t="s">
        <v>37</v>
      </c>
      <c r="E4" s="13" t="s">
        <v>44</v>
      </c>
      <c r="F4" s="13" t="s">
        <v>45</v>
      </c>
      <c r="G4" s="11" t="b">
        <v>0</v>
      </c>
      <c r="H4" s="11" t="str">
        <f>HYPERLINK("https://portal.hubmapconsortium.org/browse/sample/671fe5ae8fd5aac945d1d9260a0a89d2", "HBM524.PSGH.765")</f>
        <v>HBM524.PSGH.765</v>
      </c>
      <c r="I4" s="13" t="s">
        <v>46</v>
      </c>
      <c r="J4" s="13"/>
      <c r="K4" s="13" t="s">
        <v>47</v>
      </c>
      <c r="L4" s="13"/>
      <c r="M4" s="13"/>
      <c r="N4" s="13" t="s">
        <v>48</v>
      </c>
      <c r="O4" s="13" t="s">
        <v>28</v>
      </c>
      <c r="P4" s="13" t="s">
        <v>29</v>
      </c>
      <c r="Q4" s="13" t="s">
        <v>30</v>
      </c>
      <c r="R4" s="11" t="b">
        <v>0</v>
      </c>
      <c r="S4" s="11" t="s">
        <v>31</v>
      </c>
      <c r="T4" s="13" t="s">
        <v>49</v>
      </c>
      <c r="U4" s="13" t="s">
        <v>50</v>
      </c>
      <c r="V4" s="13" t="s">
        <v>51</v>
      </c>
      <c r="W4" s="13" t="s">
        <v>35</v>
      </c>
      <c r="X4" s="14">
        <v>45848.84132299769</v>
      </c>
      <c r="Y4" s="14">
        <v>45848.84132299769</v>
      </c>
      <c r="Z4" s="13"/>
      <c r="AA4" s="13"/>
    </row>
    <row r="5" ht="15.75" customHeight="1">
      <c r="A5" s="5" t="str">
        <f>HYPERLINK("https://portal.hubmapconsortium.org/browse/sample/d9114a4d41165f469ee00466b62a49a2", "HBM856.BCHD.866")</f>
        <v>HBM856.BCHD.866</v>
      </c>
      <c r="B5" s="6">
        <v>3.0</v>
      </c>
      <c r="C5" s="7" t="s">
        <v>43</v>
      </c>
      <c r="D5" s="8" t="s">
        <v>37</v>
      </c>
      <c r="E5" s="7" t="s">
        <v>44</v>
      </c>
      <c r="F5" s="7" t="s">
        <v>52</v>
      </c>
      <c r="G5" s="5" t="b">
        <v>0</v>
      </c>
      <c r="H5" s="5" t="str">
        <f t="shared" ref="H5:H18" si="1">HYPERLINK("https://portal.hubmapconsortium.org/browse/sample/8d7323f8e67fae6440c934eeb1ab3d9a", "HBM888.XXWD.357")</f>
        <v>HBM888.XXWD.357</v>
      </c>
      <c r="I5" s="7" t="s">
        <v>53</v>
      </c>
      <c r="K5" s="7">
        <v>21.0</v>
      </c>
      <c r="L5" s="7">
        <v>4.0</v>
      </c>
      <c r="M5" s="7">
        <v>4.0</v>
      </c>
      <c r="N5" s="7" t="s">
        <v>54</v>
      </c>
      <c r="O5" s="7" t="s">
        <v>28</v>
      </c>
      <c r="P5" s="7" t="s">
        <v>29</v>
      </c>
      <c r="Q5" s="7" t="s">
        <v>30</v>
      </c>
      <c r="R5" s="5" t="b">
        <v>0</v>
      </c>
      <c r="S5" s="5" t="s">
        <v>31</v>
      </c>
      <c r="T5" s="7" t="s">
        <v>32</v>
      </c>
      <c r="U5" s="7" t="s">
        <v>50</v>
      </c>
      <c r="V5" s="7" t="s">
        <v>51</v>
      </c>
      <c r="W5" s="7" t="s">
        <v>35</v>
      </c>
      <c r="X5" s="9">
        <v>45602.65637839121</v>
      </c>
      <c r="Y5" s="9">
        <v>45602.65637839121</v>
      </c>
    </row>
    <row r="6" ht="15.75" customHeight="1">
      <c r="A6" s="5" t="str">
        <f>HYPERLINK("https://portal.hubmapconsortium.org/browse/sample/cd865a9ff8d20c17d77a8e9274ee5f4b", "HBM779.VFXJ.879")</f>
        <v>HBM779.VFXJ.879</v>
      </c>
      <c r="B6" s="6">
        <v>3.0</v>
      </c>
      <c r="C6" s="7" t="s">
        <v>43</v>
      </c>
      <c r="D6" s="8" t="s">
        <v>37</v>
      </c>
      <c r="E6" s="7" t="s">
        <v>44</v>
      </c>
      <c r="F6" s="7" t="s">
        <v>52</v>
      </c>
      <c r="G6" s="5" t="b">
        <v>0</v>
      </c>
      <c r="H6" s="5" t="str">
        <f t="shared" si="1"/>
        <v>HBM888.XXWD.357</v>
      </c>
      <c r="I6" s="7" t="s">
        <v>55</v>
      </c>
      <c r="K6" s="7">
        <v>21.0</v>
      </c>
      <c r="L6" s="7">
        <v>5.0</v>
      </c>
      <c r="M6" s="7">
        <v>7.0</v>
      </c>
      <c r="N6" s="7" t="s">
        <v>56</v>
      </c>
      <c r="O6" s="7" t="s">
        <v>28</v>
      </c>
      <c r="P6" s="7" t="s">
        <v>29</v>
      </c>
      <c r="Q6" s="7" t="s">
        <v>30</v>
      </c>
      <c r="R6" s="5" t="b">
        <v>0</v>
      </c>
      <c r="S6" s="5" t="s">
        <v>31</v>
      </c>
      <c r="T6" s="7" t="s">
        <v>49</v>
      </c>
      <c r="U6" s="7" t="s">
        <v>50</v>
      </c>
      <c r="V6" s="7" t="s">
        <v>51</v>
      </c>
      <c r="W6" s="7" t="s">
        <v>35</v>
      </c>
      <c r="X6" s="9">
        <v>45848.84133863426</v>
      </c>
      <c r="Y6" s="9">
        <v>45848.84133863426</v>
      </c>
    </row>
    <row r="7" ht="15.75" customHeight="1">
      <c r="A7" s="5" t="str">
        <f>HYPERLINK("https://portal.hubmapconsortium.org/browse/sample/0f0529d3cf4e24de18436cea97312e23", "HBM725.CTFN.564")</f>
        <v>HBM725.CTFN.564</v>
      </c>
      <c r="B7" s="6">
        <v>3.0</v>
      </c>
      <c r="C7" s="7" t="s">
        <v>43</v>
      </c>
      <c r="D7" s="8" t="s">
        <v>37</v>
      </c>
      <c r="E7" s="7" t="s">
        <v>44</v>
      </c>
      <c r="F7" s="7" t="s">
        <v>52</v>
      </c>
      <c r="G7" s="5" t="b">
        <v>0</v>
      </c>
      <c r="H7" s="5" t="str">
        <f t="shared" si="1"/>
        <v>HBM888.XXWD.357</v>
      </c>
      <c r="I7" s="7" t="s">
        <v>57</v>
      </c>
      <c r="K7" s="7">
        <v>21.0</v>
      </c>
      <c r="L7" s="7">
        <v>5.0</v>
      </c>
      <c r="M7" s="7">
        <v>4.0</v>
      </c>
      <c r="N7" s="7" t="s">
        <v>58</v>
      </c>
      <c r="O7" s="7" t="s">
        <v>28</v>
      </c>
      <c r="P7" s="7" t="s">
        <v>29</v>
      </c>
      <c r="Q7" s="7" t="s">
        <v>30</v>
      </c>
      <c r="R7" s="5" t="b">
        <v>0</v>
      </c>
      <c r="S7" s="5" t="s">
        <v>31</v>
      </c>
      <c r="T7" s="7" t="s">
        <v>32</v>
      </c>
      <c r="U7" s="7" t="s">
        <v>50</v>
      </c>
      <c r="V7" s="7" t="s">
        <v>51</v>
      </c>
      <c r="W7" s="7" t="s">
        <v>35</v>
      </c>
      <c r="X7" s="9">
        <v>45741.62295486111</v>
      </c>
      <c r="Y7" s="9">
        <v>45741.62295486111</v>
      </c>
    </row>
    <row r="8" ht="15.75" customHeight="1">
      <c r="A8" s="5" t="str">
        <f>HYPERLINK("https://portal.hubmapconsortium.org/browse/sample/4349287d8c01ea3f198bdc57738ca898", "HBM775.RNWZ.775")</f>
        <v>HBM775.RNWZ.775</v>
      </c>
      <c r="B8" s="6">
        <v>3.0</v>
      </c>
      <c r="C8" s="7" t="s">
        <v>43</v>
      </c>
      <c r="D8" s="8" t="s">
        <v>37</v>
      </c>
      <c r="E8" s="7" t="s">
        <v>44</v>
      </c>
      <c r="F8" s="7" t="s">
        <v>52</v>
      </c>
      <c r="G8" s="5" t="b">
        <v>0</v>
      </c>
      <c r="H8" s="5" t="str">
        <f t="shared" si="1"/>
        <v>HBM888.XXWD.357</v>
      </c>
      <c r="I8" s="7" t="s">
        <v>59</v>
      </c>
      <c r="K8" s="7">
        <v>21.0</v>
      </c>
      <c r="L8" s="7">
        <v>5.0</v>
      </c>
      <c r="M8" s="7">
        <v>3.0</v>
      </c>
      <c r="N8" s="7" t="s">
        <v>56</v>
      </c>
      <c r="O8" s="7" t="s">
        <v>28</v>
      </c>
      <c r="P8" s="7" t="s">
        <v>29</v>
      </c>
      <c r="Q8" s="7" t="s">
        <v>30</v>
      </c>
      <c r="R8" s="5" t="b">
        <v>0</v>
      </c>
      <c r="S8" s="5" t="s">
        <v>31</v>
      </c>
      <c r="T8" s="7" t="s">
        <v>49</v>
      </c>
      <c r="U8" s="7" t="s">
        <v>50</v>
      </c>
      <c r="V8" s="7" t="s">
        <v>51</v>
      </c>
      <c r="W8" s="7" t="s">
        <v>35</v>
      </c>
      <c r="X8" s="9">
        <v>45848.84135009259</v>
      </c>
      <c r="Y8" s="9">
        <v>45848.84135009259</v>
      </c>
    </row>
    <row r="9" ht="15.75" customHeight="1">
      <c r="A9" s="5" t="str">
        <f>HYPERLINK("https://portal.hubmapconsortium.org/browse/sample/3ef121706fa69a027a630e14e7286bf2", "HBM498.RMLH.678")</f>
        <v>HBM498.RMLH.678</v>
      </c>
      <c r="B9" s="6">
        <v>3.0</v>
      </c>
      <c r="C9" s="7" t="s">
        <v>43</v>
      </c>
      <c r="D9" s="8" t="s">
        <v>37</v>
      </c>
      <c r="E9" s="7" t="s">
        <v>44</v>
      </c>
      <c r="F9" s="7" t="s">
        <v>52</v>
      </c>
      <c r="G9" s="5" t="b">
        <v>0</v>
      </c>
      <c r="H9" s="5" t="str">
        <f t="shared" si="1"/>
        <v>HBM888.XXWD.357</v>
      </c>
      <c r="I9" s="7" t="s">
        <v>60</v>
      </c>
      <c r="K9" s="7">
        <v>21.0</v>
      </c>
      <c r="L9" s="7">
        <v>5.0</v>
      </c>
      <c r="M9" s="7">
        <v>2.0</v>
      </c>
      <c r="N9" s="7" t="s">
        <v>56</v>
      </c>
      <c r="O9" s="7" t="s">
        <v>28</v>
      </c>
      <c r="P9" s="7" t="s">
        <v>29</v>
      </c>
      <c r="Q9" s="7" t="s">
        <v>30</v>
      </c>
      <c r="R9" s="5" t="b">
        <v>0</v>
      </c>
      <c r="S9" s="5" t="s">
        <v>31</v>
      </c>
      <c r="T9" s="7" t="s">
        <v>49</v>
      </c>
      <c r="U9" s="7" t="s">
        <v>50</v>
      </c>
      <c r="V9" s="7" t="s">
        <v>51</v>
      </c>
      <c r="W9" s="7" t="s">
        <v>35</v>
      </c>
      <c r="X9" s="9">
        <v>45848.84136390046</v>
      </c>
      <c r="Y9" s="9">
        <v>45848.84136390046</v>
      </c>
    </row>
    <row r="10" ht="15.75" customHeight="1">
      <c r="A10" s="5" t="str">
        <f>HYPERLINK("https://portal.hubmapconsortium.org/browse/sample/e4408e52512c5df65ea9a484f164dd7f", "HBM732.SXSK.747")</f>
        <v>HBM732.SXSK.747</v>
      </c>
      <c r="B10" s="6">
        <v>3.0</v>
      </c>
      <c r="C10" s="7" t="s">
        <v>43</v>
      </c>
      <c r="D10" s="8" t="s">
        <v>37</v>
      </c>
      <c r="E10" s="7" t="s">
        <v>44</v>
      </c>
      <c r="F10" s="7" t="s">
        <v>52</v>
      </c>
      <c r="G10" s="5" t="b">
        <v>0</v>
      </c>
      <c r="H10" s="5" t="str">
        <f t="shared" si="1"/>
        <v>HBM888.XXWD.357</v>
      </c>
      <c r="I10" s="7" t="s">
        <v>61</v>
      </c>
      <c r="K10" s="7">
        <v>21.0</v>
      </c>
      <c r="L10" s="7">
        <v>3.0</v>
      </c>
      <c r="M10" s="7">
        <v>6.0</v>
      </c>
      <c r="N10" s="7" t="s">
        <v>56</v>
      </c>
      <c r="O10" s="7" t="s">
        <v>28</v>
      </c>
      <c r="P10" s="7" t="s">
        <v>29</v>
      </c>
      <c r="Q10" s="7" t="s">
        <v>30</v>
      </c>
      <c r="R10" s="5" t="b">
        <v>0</v>
      </c>
      <c r="S10" s="5" t="s">
        <v>31</v>
      </c>
      <c r="T10" s="7" t="s">
        <v>49</v>
      </c>
      <c r="U10" s="7" t="s">
        <v>50</v>
      </c>
      <c r="V10" s="7" t="s">
        <v>51</v>
      </c>
      <c r="W10" s="7" t="s">
        <v>35</v>
      </c>
      <c r="X10" s="9">
        <v>45848.84137884259</v>
      </c>
      <c r="Y10" s="9">
        <v>45848.84137884259</v>
      </c>
    </row>
    <row r="11" ht="15.75" customHeight="1">
      <c r="A11" s="5" t="str">
        <f>HYPERLINK("https://portal.hubmapconsortium.org/browse/sample/032272eb1beb981a8a57f2951bc4f623", "HBM279.KQJH.793")</f>
        <v>HBM279.KQJH.793</v>
      </c>
      <c r="B11" s="6">
        <v>3.0</v>
      </c>
      <c r="C11" s="7" t="s">
        <v>43</v>
      </c>
      <c r="D11" s="8" t="s">
        <v>37</v>
      </c>
      <c r="E11" s="7" t="s">
        <v>44</v>
      </c>
      <c r="F11" s="7" t="s">
        <v>52</v>
      </c>
      <c r="G11" s="5" t="b">
        <v>0</v>
      </c>
      <c r="H11" s="5" t="str">
        <f t="shared" si="1"/>
        <v>HBM888.XXWD.357</v>
      </c>
      <c r="I11" s="7" t="s">
        <v>62</v>
      </c>
      <c r="K11" s="7">
        <v>21.0</v>
      </c>
      <c r="L11" s="7">
        <v>3.0</v>
      </c>
      <c r="M11" s="7">
        <v>6.0</v>
      </c>
      <c r="N11" s="7" t="s">
        <v>56</v>
      </c>
      <c r="O11" s="7" t="s">
        <v>28</v>
      </c>
      <c r="P11" s="7" t="s">
        <v>29</v>
      </c>
      <c r="Q11" s="7" t="s">
        <v>30</v>
      </c>
      <c r="R11" s="5" t="b">
        <v>0</v>
      </c>
      <c r="S11" s="5" t="s">
        <v>31</v>
      </c>
      <c r="T11" s="7" t="s">
        <v>49</v>
      </c>
      <c r="U11" s="7" t="s">
        <v>50</v>
      </c>
      <c r="V11" s="7" t="s">
        <v>51</v>
      </c>
      <c r="W11" s="7" t="s">
        <v>35</v>
      </c>
      <c r="X11" s="9">
        <v>45819.778089375</v>
      </c>
      <c r="Y11" s="9">
        <v>45819.778089375</v>
      </c>
    </row>
    <row r="12" ht="15.75" customHeight="1">
      <c r="A12" s="5" t="str">
        <f>HYPERLINK("https://portal.hubmapconsortium.org/browse/sample/1bf749e7bf8bf551f636e04b952a5623", "HBM392.BJDX.593")</f>
        <v>HBM392.BJDX.593</v>
      </c>
      <c r="B12" s="6">
        <v>3.0</v>
      </c>
      <c r="C12" s="7" t="s">
        <v>43</v>
      </c>
      <c r="D12" s="8" t="s">
        <v>37</v>
      </c>
      <c r="E12" s="7" t="s">
        <v>44</v>
      </c>
      <c r="F12" s="7" t="s">
        <v>52</v>
      </c>
      <c r="G12" s="5" t="b">
        <v>0</v>
      </c>
      <c r="H12" s="5" t="str">
        <f t="shared" si="1"/>
        <v>HBM888.XXWD.357</v>
      </c>
      <c r="I12" s="7" t="s">
        <v>63</v>
      </c>
      <c r="K12" s="7">
        <v>21.0</v>
      </c>
      <c r="L12" s="7">
        <v>4.0</v>
      </c>
      <c r="M12" s="7">
        <v>6.0</v>
      </c>
      <c r="N12" s="7" t="s">
        <v>56</v>
      </c>
      <c r="O12" s="7" t="s">
        <v>28</v>
      </c>
      <c r="P12" s="7" t="s">
        <v>29</v>
      </c>
      <c r="Q12" s="7" t="s">
        <v>30</v>
      </c>
      <c r="R12" s="5" t="b">
        <v>0</v>
      </c>
      <c r="S12" s="5" t="s">
        <v>31</v>
      </c>
      <c r="T12" s="7" t="s">
        <v>49</v>
      </c>
      <c r="U12" s="7" t="s">
        <v>50</v>
      </c>
      <c r="V12" s="7" t="s">
        <v>51</v>
      </c>
      <c r="W12" s="7" t="s">
        <v>35</v>
      </c>
      <c r="X12" s="9">
        <v>45848.8413969213</v>
      </c>
      <c r="Y12" s="9">
        <v>45848.8413969213</v>
      </c>
    </row>
    <row r="13" ht="15.75" customHeight="1">
      <c r="A13" s="5" t="str">
        <f>HYPERLINK("https://portal.hubmapconsortium.org/browse/sample/2046680208f00b255d94d61e8dfc853d", "HBM844.RJJN.437")</f>
        <v>HBM844.RJJN.437</v>
      </c>
      <c r="B13" s="6">
        <v>3.0</v>
      </c>
      <c r="C13" s="7" t="s">
        <v>43</v>
      </c>
      <c r="D13" s="8" t="s">
        <v>37</v>
      </c>
      <c r="E13" s="7" t="s">
        <v>44</v>
      </c>
      <c r="F13" s="7" t="s">
        <v>52</v>
      </c>
      <c r="G13" s="5" t="b">
        <v>0</v>
      </c>
      <c r="H13" s="5" t="str">
        <f t="shared" si="1"/>
        <v>HBM888.XXWD.357</v>
      </c>
      <c r="I13" s="7" t="s">
        <v>64</v>
      </c>
      <c r="K13" s="7">
        <v>21.0</v>
      </c>
      <c r="L13" s="7">
        <v>4.0</v>
      </c>
      <c r="M13" s="7">
        <v>3.0</v>
      </c>
      <c r="N13" s="7" t="s">
        <v>56</v>
      </c>
      <c r="O13" s="7" t="s">
        <v>28</v>
      </c>
      <c r="P13" s="7" t="s">
        <v>29</v>
      </c>
      <c r="Q13" s="7" t="s">
        <v>30</v>
      </c>
      <c r="R13" s="5" t="b">
        <v>0</v>
      </c>
      <c r="S13" s="5" t="s">
        <v>31</v>
      </c>
      <c r="T13" s="7" t="s">
        <v>49</v>
      </c>
      <c r="U13" s="7" t="s">
        <v>50</v>
      </c>
      <c r="V13" s="7" t="s">
        <v>51</v>
      </c>
      <c r="W13" s="7" t="s">
        <v>35</v>
      </c>
      <c r="X13" s="9">
        <v>45819.77810170139</v>
      </c>
      <c r="Y13" s="9">
        <v>45819.77810170139</v>
      </c>
    </row>
    <row r="14" ht="15.75" customHeight="1">
      <c r="A14" s="5" t="str">
        <f>HYPERLINK("https://portal.hubmapconsortium.org/browse/sample/096733e700ef7ab31bedf6bef6d5b9b2", "HBM399.HRKG.458")</f>
        <v>HBM399.HRKG.458</v>
      </c>
      <c r="B14" s="6">
        <v>2.0</v>
      </c>
      <c r="C14" s="7" t="s">
        <v>43</v>
      </c>
      <c r="D14" s="8" t="s">
        <v>37</v>
      </c>
      <c r="E14" s="7" t="s">
        <v>44</v>
      </c>
      <c r="F14" s="7" t="s">
        <v>52</v>
      </c>
      <c r="G14" s="7" t="b">
        <v>1</v>
      </c>
      <c r="H14" s="5" t="str">
        <f t="shared" si="1"/>
        <v>HBM888.XXWD.357</v>
      </c>
      <c r="I14" s="7" t="s">
        <v>65</v>
      </c>
      <c r="J14" s="10" t="s">
        <v>40</v>
      </c>
      <c r="K14" s="10">
        <v>13.0</v>
      </c>
      <c r="O14" s="7" t="s">
        <v>28</v>
      </c>
      <c r="P14" s="7" t="s">
        <v>29</v>
      </c>
      <c r="Q14" s="7" t="s">
        <v>30</v>
      </c>
      <c r="R14" s="7" t="b">
        <v>1</v>
      </c>
      <c r="S14" s="5" t="s">
        <v>66</v>
      </c>
      <c r="T14" s="7" t="s">
        <v>32</v>
      </c>
      <c r="U14" s="7" t="s">
        <v>67</v>
      </c>
      <c r="V14" s="7" t="s">
        <v>68</v>
      </c>
      <c r="W14" s="7" t="s">
        <v>69</v>
      </c>
      <c r="X14" s="9">
        <v>44387.78200824074</v>
      </c>
      <c r="Y14" s="9">
        <v>44466.18177185185</v>
      </c>
    </row>
    <row r="15" ht="15.75" customHeight="1">
      <c r="A15" s="5" t="str">
        <f>HYPERLINK("https://portal.hubmapconsortium.org/browse/sample/5ae0128190e5c96a3dc3f46dd7675e97", "HBM539.LXKF.934")</f>
        <v>HBM539.LXKF.934</v>
      </c>
      <c r="B15" s="6">
        <v>2.0</v>
      </c>
      <c r="C15" s="7" t="s">
        <v>43</v>
      </c>
      <c r="D15" s="8" t="s">
        <v>37</v>
      </c>
      <c r="E15" s="7" t="s">
        <v>44</v>
      </c>
      <c r="F15" s="7" t="s">
        <v>52</v>
      </c>
      <c r="G15" s="7" t="b">
        <v>1</v>
      </c>
      <c r="H15" s="5" t="str">
        <f t="shared" si="1"/>
        <v>HBM888.XXWD.357</v>
      </c>
      <c r="I15" s="7" t="s">
        <v>70</v>
      </c>
      <c r="J15" s="10" t="s">
        <v>40</v>
      </c>
      <c r="K15" s="10">
        <v>13.0</v>
      </c>
      <c r="N15" s="7" t="s">
        <v>71</v>
      </c>
      <c r="O15" s="7" t="s">
        <v>28</v>
      </c>
      <c r="P15" s="7" t="s">
        <v>29</v>
      </c>
      <c r="Q15" s="7" t="s">
        <v>30</v>
      </c>
      <c r="R15" s="7" t="b">
        <v>1</v>
      </c>
      <c r="S15" s="5" t="s">
        <v>66</v>
      </c>
      <c r="T15" s="7" t="s">
        <v>32</v>
      </c>
      <c r="U15" s="7" t="s">
        <v>67</v>
      </c>
      <c r="V15" s="7" t="s">
        <v>68</v>
      </c>
      <c r="W15" s="7" t="s">
        <v>69</v>
      </c>
      <c r="X15" s="9">
        <v>44703.74537032408</v>
      </c>
      <c r="Y15" s="9">
        <v>44730.62567258102</v>
      </c>
    </row>
    <row r="16" ht="15.75" customHeight="1">
      <c r="A16" s="5" t="str">
        <f>HYPERLINK("https://portal.hubmapconsortium.org/browse/sample/ad3231b7dc48068b9b884f6ba967de85", "HBM633.CHDG.392")</f>
        <v>HBM633.CHDG.392</v>
      </c>
      <c r="B16" s="6">
        <v>2.0</v>
      </c>
      <c r="C16" s="7" t="s">
        <v>43</v>
      </c>
      <c r="D16" s="8" t="s">
        <v>37</v>
      </c>
      <c r="E16" s="7" t="s">
        <v>44</v>
      </c>
      <c r="F16" s="7" t="s">
        <v>52</v>
      </c>
      <c r="G16" s="7" t="b">
        <v>1</v>
      </c>
      <c r="H16" s="5" t="str">
        <f t="shared" si="1"/>
        <v>HBM888.XXWD.357</v>
      </c>
      <c r="I16" s="7" t="s">
        <v>72</v>
      </c>
      <c r="J16" s="10" t="s">
        <v>40</v>
      </c>
      <c r="K16" s="10">
        <v>13.0</v>
      </c>
      <c r="O16" s="7" t="s">
        <v>28</v>
      </c>
      <c r="P16" s="7" t="s">
        <v>29</v>
      </c>
      <c r="Q16" s="7" t="s">
        <v>30</v>
      </c>
      <c r="R16" s="7" t="b">
        <v>1</v>
      </c>
      <c r="S16" s="5" t="s">
        <v>66</v>
      </c>
      <c r="T16" s="7" t="s">
        <v>32</v>
      </c>
      <c r="U16" s="7" t="s">
        <v>67</v>
      </c>
      <c r="V16" s="7" t="s">
        <v>68</v>
      </c>
      <c r="W16" s="7" t="s">
        <v>69</v>
      </c>
      <c r="X16" s="9">
        <v>44387.7820084375</v>
      </c>
      <c r="Y16" s="9">
        <v>44467.10801884259</v>
      </c>
    </row>
    <row r="17" ht="15.75" customHeight="1">
      <c r="A17" s="5" t="str">
        <f>HYPERLINK("https://portal.hubmapconsortium.org/browse/sample/4237515bdd85c238189fc4c366575bf3", "HBM439.RKPP.789")</f>
        <v>HBM439.RKPP.789</v>
      </c>
      <c r="B17" s="6">
        <v>2.0</v>
      </c>
      <c r="C17" s="7" t="s">
        <v>43</v>
      </c>
      <c r="D17" s="8" t="s">
        <v>37</v>
      </c>
      <c r="E17" s="7" t="s">
        <v>44</v>
      </c>
      <c r="F17" s="7" t="s">
        <v>52</v>
      </c>
      <c r="G17" s="7" t="b">
        <v>1</v>
      </c>
      <c r="H17" s="5" t="str">
        <f t="shared" si="1"/>
        <v>HBM888.XXWD.357</v>
      </c>
      <c r="I17" s="7" t="s">
        <v>73</v>
      </c>
      <c r="J17" s="10" t="s">
        <v>40</v>
      </c>
      <c r="K17" s="10">
        <v>13.0</v>
      </c>
      <c r="O17" s="7" t="s">
        <v>28</v>
      </c>
      <c r="P17" s="7" t="s">
        <v>29</v>
      </c>
      <c r="Q17" s="7" t="s">
        <v>30</v>
      </c>
      <c r="R17" s="7" t="b">
        <v>1</v>
      </c>
      <c r="S17" s="5" t="s">
        <v>66</v>
      </c>
      <c r="T17" s="7" t="s">
        <v>32</v>
      </c>
      <c r="U17" s="7" t="s">
        <v>67</v>
      </c>
      <c r="V17" s="7" t="s">
        <v>68</v>
      </c>
      <c r="W17" s="7" t="s">
        <v>69</v>
      </c>
      <c r="X17" s="9">
        <v>44387.78200861111</v>
      </c>
      <c r="Y17" s="9">
        <v>44466.17317122685</v>
      </c>
    </row>
    <row r="18" ht="15.75" customHeight="1">
      <c r="A18" s="5" t="str">
        <f>HYPERLINK("https://portal.hubmapconsortium.org/browse/sample/86651c9d116a80ff359fe95a9455ab8b", "HBM736.NQNZ.734")</f>
        <v>HBM736.NQNZ.734</v>
      </c>
      <c r="B18" s="6">
        <v>2.0</v>
      </c>
      <c r="C18" s="7" t="s">
        <v>43</v>
      </c>
      <c r="D18" s="8" t="s">
        <v>37</v>
      </c>
      <c r="E18" s="7" t="s">
        <v>44</v>
      </c>
      <c r="F18" s="7" t="s">
        <v>52</v>
      </c>
      <c r="G18" s="7" t="b">
        <v>1</v>
      </c>
      <c r="H18" s="5" t="str">
        <f t="shared" si="1"/>
        <v>HBM888.XXWD.357</v>
      </c>
      <c r="I18" s="7" t="s">
        <v>74</v>
      </c>
      <c r="J18" s="10" t="s">
        <v>40</v>
      </c>
      <c r="K18" s="10">
        <v>13.0</v>
      </c>
      <c r="O18" s="7" t="s">
        <v>28</v>
      </c>
      <c r="P18" s="7" t="s">
        <v>29</v>
      </c>
      <c r="Q18" s="7" t="s">
        <v>30</v>
      </c>
      <c r="R18" s="7" t="b">
        <v>1</v>
      </c>
      <c r="S18" s="5" t="s">
        <v>66</v>
      </c>
      <c r="T18" s="7" t="s">
        <v>32</v>
      </c>
      <c r="U18" s="7" t="s">
        <v>67</v>
      </c>
      <c r="V18" s="7" t="s">
        <v>68</v>
      </c>
      <c r="W18" s="7" t="s">
        <v>69</v>
      </c>
      <c r="X18" s="9">
        <v>44387.78200881944</v>
      </c>
      <c r="Y18" s="9">
        <v>44466.16974403935</v>
      </c>
    </row>
    <row r="19" ht="15.75" customHeight="1">
      <c r="A19" s="15" t="str">
        <f>HYPERLINK("https://portal.hubmapconsortium.org/browse/sample/62df0069c0b1a60fbbfb7e7f55fbfe6b", "HBM665.NGTZ.359")</f>
        <v>HBM665.NGTZ.359</v>
      </c>
      <c r="B19" s="16"/>
      <c r="C19" s="17" t="s">
        <v>75</v>
      </c>
      <c r="D19" s="16" t="s">
        <v>25</v>
      </c>
      <c r="E19" s="17" t="s">
        <v>44</v>
      </c>
      <c r="F19" s="17" t="s">
        <v>76</v>
      </c>
      <c r="G19" s="15" t="b">
        <v>0</v>
      </c>
      <c r="H19" s="15" t="str">
        <f>HYPERLINK("https://portal.hubmapconsortium.org/browse/sample/d84f2ca886df60fa3c88da03da0b1fe9", "HBM598.WKVR.237")</f>
        <v>HBM598.WKVR.237</v>
      </c>
      <c r="I19" s="17" t="s">
        <v>77</v>
      </c>
      <c r="J19" s="17"/>
      <c r="K19" s="17" t="s">
        <v>47</v>
      </c>
      <c r="L19" s="17"/>
      <c r="M19" s="17"/>
      <c r="N19" s="17" t="s">
        <v>78</v>
      </c>
      <c r="O19" s="17" t="s">
        <v>28</v>
      </c>
      <c r="P19" s="17" t="s">
        <v>29</v>
      </c>
      <c r="Q19" s="17" t="s">
        <v>30</v>
      </c>
      <c r="R19" s="15" t="b">
        <v>0</v>
      </c>
      <c r="S19" s="15" t="s">
        <v>31</v>
      </c>
      <c r="T19" s="17" t="s">
        <v>49</v>
      </c>
      <c r="U19" s="17" t="s">
        <v>50</v>
      </c>
      <c r="V19" s="17" t="s">
        <v>51</v>
      </c>
      <c r="W19" s="17" t="s">
        <v>35</v>
      </c>
      <c r="X19" s="18">
        <v>45819.77811184028</v>
      </c>
      <c r="Y19" s="18">
        <v>45819.77811184028</v>
      </c>
      <c r="Z19" s="17"/>
      <c r="AA19" s="17"/>
    </row>
    <row r="20" ht="15.75" customHeight="1">
      <c r="A20" s="5" t="str">
        <f>HYPERLINK("https://portal.hubmapconsortium.org/browse/sample/6bef9644dd0d600081ebce442a70eab1", "HBM466.QSPK.267")</f>
        <v>HBM466.QSPK.267</v>
      </c>
      <c r="B20" s="6">
        <v>3.0</v>
      </c>
      <c r="C20" s="7" t="s">
        <v>75</v>
      </c>
      <c r="D20" s="8" t="s">
        <v>25</v>
      </c>
      <c r="E20" s="7" t="s">
        <v>44</v>
      </c>
      <c r="F20" s="7" t="s">
        <v>79</v>
      </c>
      <c r="G20" s="5" t="b">
        <v>0</v>
      </c>
      <c r="H20" s="5" t="str">
        <f t="shared" ref="H20:H36" si="2">HYPERLINK("https://portal.hubmapconsortium.org/browse/sample/83ab99a06a11a99e3fb971c922b50642", "HBM972.ZVMR.866")</f>
        <v>HBM972.ZVMR.866</v>
      </c>
      <c r="I20" s="7" t="s">
        <v>80</v>
      </c>
      <c r="K20" s="7">
        <v>25.0</v>
      </c>
      <c r="L20" s="7">
        <v>4.0</v>
      </c>
      <c r="M20" s="7">
        <v>4.0</v>
      </c>
      <c r="N20" s="7" t="s">
        <v>56</v>
      </c>
      <c r="O20" s="7" t="s">
        <v>28</v>
      </c>
      <c r="P20" s="7" t="s">
        <v>29</v>
      </c>
      <c r="Q20" s="7" t="s">
        <v>30</v>
      </c>
      <c r="R20" s="5" t="b">
        <v>0</v>
      </c>
      <c r="S20" s="5" t="s">
        <v>31</v>
      </c>
      <c r="T20" s="7" t="s">
        <v>49</v>
      </c>
      <c r="U20" s="7" t="s">
        <v>50</v>
      </c>
      <c r="V20" s="7" t="s">
        <v>51</v>
      </c>
      <c r="W20" s="7" t="s">
        <v>35</v>
      </c>
      <c r="X20" s="9">
        <v>45848.84141638889</v>
      </c>
      <c r="Y20" s="9">
        <v>45848.84141638889</v>
      </c>
    </row>
    <row r="21" ht="15.75" customHeight="1">
      <c r="A21" s="5" t="str">
        <f>HYPERLINK("https://portal.hubmapconsortium.org/browse/sample/dde88293924bb3c17724e3f1692173cc", "HBM475.DHDS.342")</f>
        <v>HBM475.DHDS.342</v>
      </c>
      <c r="B21" s="6">
        <v>3.0</v>
      </c>
      <c r="C21" s="7" t="s">
        <v>75</v>
      </c>
      <c r="D21" s="8" t="s">
        <v>25</v>
      </c>
      <c r="E21" s="7" t="s">
        <v>44</v>
      </c>
      <c r="F21" s="7" t="s">
        <v>79</v>
      </c>
      <c r="G21" s="5" t="b">
        <v>0</v>
      </c>
      <c r="H21" s="5" t="str">
        <f t="shared" si="2"/>
        <v>HBM972.ZVMR.866</v>
      </c>
      <c r="I21" s="7" t="s">
        <v>81</v>
      </c>
      <c r="K21" s="7">
        <v>25.0</v>
      </c>
      <c r="L21" s="7">
        <v>4.0</v>
      </c>
      <c r="M21" s="7">
        <v>3.0</v>
      </c>
      <c r="N21" s="7" t="s">
        <v>82</v>
      </c>
      <c r="O21" s="7" t="s">
        <v>28</v>
      </c>
      <c r="P21" s="7" t="s">
        <v>29</v>
      </c>
      <c r="Q21" s="7" t="s">
        <v>30</v>
      </c>
      <c r="R21" s="5" t="b">
        <v>0</v>
      </c>
      <c r="S21" s="5" t="s">
        <v>31</v>
      </c>
      <c r="T21" s="7" t="s">
        <v>49</v>
      </c>
      <c r="U21" s="7" t="s">
        <v>50</v>
      </c>
      <c r="V21" s="7" t="s">
        <v>51</v>
      </c>
      <c r="W21" s="7" t="s">
        <v>35</v>
      </c>
      <c r="X21" s="9">
        <v>45848.84143439815</v>
      </c>
      <c r="Y21" s="9">
        <v>45848.84143439815</v>
      </c>
    </row>
    <row r="22" ht="15.75" customHeight="1">
      <c r="A22" s="5" t="str">
        <f>HYPERLINK("https://portal.hubmapconsortium.org/browse/sample/b82bdccb646086e051684607f8a28fb9", "HBM554.FQRX.796")</f>
        <v>HBM554.FQRX.796</v>
      </c>
      <c r="B22" s="6">
        <v>3.0</v>
      </c>
      <c r="C22" s="7" t="s">
        <v>75</v>
      </c>
      <c r="D22" s="8" t="s">
        <v>25</v>
      </c>
      <c r="E22" s="7" t="s">
        <v>44</v>
      </c>
      <c r="F22" s="7" t="s">
        <v>79</v>
      </c>
      <c r="G22" s="5" t="b">
        <v>0</v>
      </c>
      <c r="H22" s="5" t="str">
        <f t="shared" si="2"/>
        <v>HBM972.ZVMR.866</v>
      </c>
      <c r="I22" s="7" t="s">
        <v>83</v>
      </c>
      <c r="K22" s="7">
        <v>25.0</v>
      </c>
      <c r="L22" s="7">
        <v>4.0</v>
      </c>
      <c r="M22" s="7">
        <v>5.0</v>
      </c>
      <c r="N22" s="7" t="s">
        <v>84</v>
      </c>
      <c r="O22" s="7" t="s">
        <v>28</v>
      </c>
      <c r="P22" s="7" t="s">
        <v>29</v>
      </c>
      <c r="Q22" s="7" t="s">
        <v>30</v>
      </c>
      <c r="R22" s="5" t="b">
        <v>0</v>
      </c>
      <c r="S22" s="5" t="s">
        <v>85</v>
      </c>
      <c r="T22" s="7" t="s">
        <v>32</v>
      </c>
      <c r="U22" s="7" t="s">
        <v>50</v>
      </c>
      <c r="V22" s="7" t="s">
        <v>51</v>
      </c>
      <c r="W22" s="7" t="s">
        <v>35</v>
      </c>
      <c r="X22" s="9">
        <v>45610.68034668981</v>
      </c>
      <c r="Y22" s="9">
        <v>45610.68034668981</v>
      </c>
    </row>
    <row r="23" ht="15.75" customHeight="1">
      <c r="A23" s="5" t="str">
        <f>HYPERLINK("https://portal.hubmapconsortium.org/browse/sample/29d19a97bc5be4c45536625a894de69a", "HBM784.GXTN.798")</f>
        <v>HBM784.GXTN.798</v>
      </c>
      <c r="B23" s="6">
        <v>3.0</v>
      </c>
      <c r="C23" s="7" t="s">
        <v>75</v>
      </c>
      <c r="D23" s="8" t="s">
        <v>25</v>
      </c>
      <c r="E23" s="7" t="s">
        <v>44</v>
      </c>
      <c r="F23" s="7" t="s">
        <v>79</v>
      </c>
      <c r="G23" s="5" t="b">
        <v>0</v>
      </c>
      <c r="H23" s="5" t="str">
        <f t="shared" si="2"/>
        <v>HBM972.ZVMR.866</v>
      </c>
      <c r="I23" s="7" t="s">
        <v>86</v>
      </c>
      <c r="K23" s="7">
        <v>25.0</v>
      </c>
      <c r="L23" s="7">
        <v>4.0</v>
      </c>
      <c r="M23" s="7">
        <v>3.0</v>
      </c>
      <c r="N23" s="7" t="s">
        <v>82</v>
      </c>
      <c r="O23" s="7" t="s">
        <v>28</v>
      </c>
      <c r="P23" s="7" t="s">
        <v>29</v>
      </c>
      <c r="Q23" s="7" t="s">
        <v>30</v>
      </c>
      <c r="R23" s="5" t="b">
        <v>0</v>
      </c>
      <c r="S23" s="5" t="s">
        <v>31</v>
      </c>
      <c r="T23" s="7" t="s">
        <v>49</v>
      </c>
      <c r="U23" s="7" t="s">
        <v>50</v>
      </c>
      <c r="V23" s="7" t="s">
        <v>51</v>
      </c>
      <c r="W23" s="7" t="s">
        <v>35</v>
      </c>
      <c r="X23" s="9">
        <v>45848.84145591435</v>
      </c>
      <c r="Y23" s="9">
        <v>45848.84145591435</v>
      </c>
    </row>
    <row r="24" ht="15.75" customHeight="1">
      <c r="A24" s="5" t="str">
        <f>HYPERLINK("https://portal.hubmapconsortium.org/browse/sample/b4a33bd08ca07881a414984245ba1acd", "HBM564.SJNP.983")</f>
        <v>HBM564.SJNP.983</v>
      </c>
      <c r="B24" s="6">
        <v>3.0</v>
      </c>
      <c r="C24" s="7" t="s">
        <v>75</v>
      </c>
      <c r="D24" s="8" t="s">
        <v>25</v>
      </c>
      <c r="E24" s="7" t="s">
        <v>44</v>
      </c>
      <c r="F24" s="7" t="s">
        <v>79</v>
      </c>
      <c r="G24" s="5" t="b">
        <v>0</v>
      </c>
      <c r="H24" s="5" t="str">
        <f t="shared" si="2"/>
        <v>HBM972.ZVMR.866</v>
      </c>
      <c r="I24" s="7" t="s">
        <v>87</v>
      </c>
      <c r="K24" s="7">
        <v>25.0</v>
      </c>
      <c r="L24" s="7">
        <v>4.0</v>
      </c>
      <c r="M24" s="7">
        <v>4.0</v>
      </c>
      <c r="N24" s="7" t="s">
        <v>82</v>
      </c>
      <c r="O24" s="7" t="s">
        <v>28</v>
      </c>
      <c r="P24" s="7" t="s">
        <v>29</v>
      </c>
      <c r="Q24" s="7" t="s">
        <v>30</v>
      </c>
      <c r="R24" s="5" t="b">
        <v>0</v>
      </c>
      <c r="S24" s="5" t="s">
        <v>31</v>
      </c>
      <c r="T24" s="7" t="s">
        <v>49</v>
      </c>
      <c r="U24" s="7" t="s">
        <v>50</v>
      </c>
      <c r="V24" s="7" t="s">
        <v>51</v>
      </c>
      <c r="W24" s="7" t="s">
        <v>35</v>
      </c>
      <c r="X24" s="9">
        <v>45848.84148560185</v>
      </c>
      <c r="Y24" s="9">
        <v>45848.84148560185</v>
      </c>
    </row>
    <row r="25" ht="15.75" customHeight="1">
      <c r="A25" s="5" t="str">
        <f>HYPERLINK("https://portal.hubmapconsortium.org/browse/sample/ed6650da61d00a0c0c6f0797190f7b9f", "HBM766.JKZW.274")</f>
        <v>HBM766.JKZW.274</v>
      </c>
      <c r="B25" s="6">
        <v>3.0</v>
      </c>
      <c r="C25" s="7" t="s">
        <v>75</v>
      </c>
      <c r="D25" s="8" t="s">
        <v>25</v>
      </c>
      <c r="E25" s="7" t="s">
        <v>44</v>
      </c>
      <c r="F25" s="7" t="s">
        <v>79</v>
      </c>
      <c r="G25" s="5" t="b">
        <v>0</v>
      </c>
      <c r="H25" s="5" t="str">
        <f t="shared" si="2"/>
        <v>HBM972.ZVMR.866</v>
      </c>
      <c r="I25" s="7" t="s">
        <v>88</v>
      </c>
      <c r="K25" s="7">
        <v>25.0</v>
      </c>
      <c r="L25" s="7">
        <v>4.0</v>
      </c>
      <c r="M25" s="7">
        <v>8.0</v>
      </c>
      <c r="N25" s="7" t="s">
        <v>82</v>
      </c>
      <c r="O25" s="7" t="s">
        <v>28</v>
      </c>
      <c r="P25" s="7" t="s">
        <v>29</v>
      </c>
      <c r="Q25" s="7" t="s">
        <v>30</v>
      </c>
      <c r="R25" s="5" t="b">
        <v>0</v>
      </c>
      <c r="S25" s="5" t="s">
        <v>31</v>
      </c>
      <c r="T25" s="7" t="s">
        <v>49</v>
      </c>
      <c r="U25" s="7" t="s">
        <v>50</v>
      </c>
      <c r="V25" s="7" t="s">
        <v>51</v>
      </c>
      <c r="W25" s="7" t="s">
        <v>35</v>
      </c>
      <c r="X25" s="9">
        <v>45848.84154738426</v>
      </c>
      <c r="Y25" s="9">
        <v>45848.84154738426</v>
      </c>
    </row>
    <row r="26" ht="15.75" customHeight="1">
      <c r="A26" s="5" t="str">
        <f>HYPERLINK("https://portal.hubmapconsortium.org/browse/sample/f89032539ffd58c50816acb04c32c9c2", "HBM239.KHGT.597")</f>
        <v>HBM239.KHGT.597</v>
      </c>
      <c r="B26" s="6">
        <v>3.0</v>
      </c>
      <c r="C26" s="7" t="s">
        <v>75</v>
      </c>
      <c r="D26" s="8" t="s">
        <v>25</v>
      </c>
      <c r="E26" s="7" t="s">
        <v>44</v>
      </c>
      <c r="F26" s="7" t="s">
        <v>79</v>
      </c>
      <c r="G26" s="5" t="b">
        <v>0</v>
      </c>
      <c r="H26" s="5" t="str">
        <f t="shared" si="2"/>
        <v>HBM972.ZVMR.866</v>
      </c>
      <c r="I26" s="7" t="s">
        <v>89</v>
      </c>
      <c r="K26" s="7">
        <v>25.0</v>
      </c>
      <c r="L26" s="7">
        <v>4.0</v>
      </c>
      <c r="M26" s="7">
        <v>5.0</v>
      </c>
      <c r="N26" s="7" t="s">
        <v>82</v>
      </c>
      <c r="O26" s="7" t="s">
        <v>28</v>
      </c>
      <c r="P26" s="7" t="s">
        <v>29</v>
      </c>
      <c r="Q26" s="7" t="s">
        <v>30</v>
      </c>
      <c r="R26" s="5" t="b">
        <v>0</v>
      </c>
      <c r="S26" s="5" t="s">
        <v>31</v>
      </c>
      <c r="T26" s="7" t="s">
        <v>49</v>
      </c>
      <c r="U26" s="7" t="s">
        <v>50</v>
      </c>
      <c r="V26" s="7" t="s">
        <v>51</v>
      </c>
      <c r="W26" s="7" t="s">
        <v>35</v>
      </c>
      <c r="X26" s="9">
        <v>45819.77812363426</v>
      </c>
      <c r="Y26" s="9">
        <v>45819.77812363426</v>
      </c>
    </row>
    <row r="27" ht="15.75" customHeight="1">
      <c r="A27" s="5" t="str">
        <f>HYPERLINK("https://portal.hubmapconsortium.org/browse/sample/f61e6c06f9454a55adea67802fa2acd4", "HBM579.PFDV.745")</f>
        <v>HBM579.PFDV.745</v>
      </c>
      <c r="B27" s="6">
        <v>3.0</v>
      </c>
      <c r="C27" s="7" t="s">
        <v>75</v>
      </c>
      <c r="D27" s="8" t="s">
        <v>25</v>
      </c>
      <c r="E27" s="7" t="s">
        <v>44</v>
      </c>
      <c r="F27" s="7" t="s">
        <v>79</v>
      </c>
      <c r="G27" s="5" t="b">
        <v>0</v>
      </c>
      <c r="H27" s="5" t="str">
        <f t="shared" si="2"/>
        <v>HBM972.ZVMR.866</v>
      </c>
      <c r="I27" s="7" t="s">
        <v>90</v>
      </c>
      <c r="K27" s="7">
        <v>25.0</v>
      </c>
      <c r="L27" s="7">
        <v>4.0</v>
      </c>
      <c r="M27" s="7">
        <v>8.0</v>
      </c>
      <c r="N27" s="7" t="s">
        <v>82</v>
      </c>
      <c r="O27" s="7" t="s">
        <v>28</v>
      </c>
      <c r="P27" s="7" t="s">
        <v>29</v>
      </c>
      <c r="Q27" s="7" t="s">
        <v>30</v>
      </c>
      <c r="R27" s="5" t="b">
        <v>0</v>
      </c>
      <c r="S27" s="5" t="s">
        <v>31</v>
      </c>
      <c r="T27" s="7" t="s">
        <v>49</v>
      </c>
      <c r="U27" s="7" t="s">
        <v>50</v>
      </c>
      <c r="V27" s="7" t="s">
        <v>51</v>
      </c>
      <c r="W27" s="7" t="s">
        <v>35</v>
      </c>
      <c r="X27" s="9">
        <v>45848.8416078588</v>
      </c>
      <c r="Y27" s="9">
        <v>45848.8416078588</v>
      </c>
    </row>
    <row r="28" ht="15.75" customHeight="1">
      <c r="A28" s="5" t="str">
        <f>HYPERLINK("https://portal.hubmapconsortium.org/browse/sample/c75c1b22efde0638d42d20f26ee49351", "HBM562.ZLPZ.398")</f>
        <v>HBM562.ZLPZ.398</v>
      </c>
      <c r="B28" s="6">
        <v>3.0</v>
      </c>
      <c r="C28" s="7" t="s">
        <v>75</v>
      </c>
      <c r="D28" s="8" t="s">
        <v>25</v>
      </c>
      <c r="E28" s="7" t="s">
        <v>44</v>
      </c>
      <c r="F28" s="7" t="s">
        <v>79</v>
      </c>
      <c r="G28" s="5" t="b">
        <v>0</v>
      </c>
      <c r="H28" s="5" t="str">
        <f t="shared" si="2"/>
        <v>HBM972.ZVMR.866</v>
      </c>
      <c r="I28" s="7" t="s">
        <v>91</v>
      </c>
      <c r="K28" s="7">
        <v>25.0</v>
      </c>
      <c r="L28" s="7">
        <v>4.0</v>
      </c>
      <c r="M28" s="7">
        <v>7.0</v>
      </c>
      <c r="N28" s="7" t="s">
        <v>82</v>
      </c>
      <c r="O28" s="7" t="s">
        <v>28</v>
      </c>
      <c r="P28" s="7" t="s">
        <v>29</v>
      </c>
      <c r="Q28" s="7" t="s">
        <v>30</v>
      </c>
      <c r="R28" s="5" t="b">
        <v>0</v>
      </c>
      <c r="S28" s="5" t="s">
        <v>31</v>
      </c>
      <c r="T28" s="7" t="s">
        <v>49</v>
      </c>
      <c r="U28" s="7" t="s">
        <v>50</v>
      </c>
      <c r="V28" s="7" t="s">
        <v>51</v>
      </c>
      <c r="W28" s="7" t="s">
        <v>35</v>
      </c>
      <c r="X28" s="9">
        <v>45819.77813576389</v>
      </c>
      <c r="Y28" s="9">
        <v>45819.77813576389</v>
      </c>
    </row>
    <row r="29" ht="15.75" customHeight="1">
      <c r="A29" s="5" t="str">
        <f>HYPERLINK("https://portal.hubmapconsortium.org/browse/sample/46f5c8d7dc8d545c540748347d20a9b7", "HBM242.XXTB.333")</f>
        <v>HBM242.XXTB.333</v>
      </c>
      <c r="B29" s="6">
        <v>2.0</v>
      </c>
      <c r="C29" s="7" t="s">
        <v>75</v>
      </c>
      <c r="D29" s="8" t="s">
        <v>25</v>
      </c>
      <c r="E29" s="7" t="s">
        <v>44</v>
      </c>
      <c r="F29" s="7" t="s">
        <v>79</v>
      </c>
      <c r="G29" s="7" t="b">
        <v>1</v>
      </c>
      <c r="H29" s="5" t="str">
        <f t="shared" si="2"/>
        <v>HBM972.ZVMR.866</v>
      </c>
      <c r="I29" s="7" t="s">
        <v>92</v>
      </c>
      <c r="J29" s="10" t="s">
        <v>40</v>
      </c>
      <c r="K29" s="10">
        <v>14.0</v>
      </c>
      <c r="O29" s="7" t="s">
        <v>28</v>
      </c>
      <c r="P29" s="7" t="s">
        <v>29</v>
      </c>
      <c r="Q29" s="7" t="s">
        <v>30</v>
      </c>
      <c r="R29" s="7" t="b">
        <v>1</v>
      </c>
      <c r="S29" s="5" t="s">
        <v>66</v>
      </c>
      <c r="T29" s="7" t="s">
        <v>32</v>
      </c>
      <c r="U29" s="7" t="s">
        <v>67</v>
      </c>
      <c r="V29" s="7" t="s">
        <v>68</v>
      </c>
      <c r="W29" s="7" t="s">
        <v>69</v>
      </c>
      <c r="X29" s="9">
        <v>44060.68714509259</v>
      </c>
      <c r="Y29" s="9">
        <v>44462.59290232639</v>
      </c>
    </row>
    <row r="30" ht="15.75" customHeight="1">
      <c r="A30" s="5" t="str">
        <f>HYPERLINK("https://portal.hubmapconsortium.org/browse/sample/5d53bd5a71569c59c90d1608cd3da5c9", "HBM636.XRCL.997")</f>
        <v>HBM636.XRCL.997</v>
      </c>
      <c r="B30" s="6">
        <v>2.0</v>
      </c>
      <c r="C30" s="7" t="s">
        <v>75</v>
      </c>
      <c r="D30" s="8" t="s">
        <v>25</v>
      </c>
      <c r="E30" s="7" t="s">
        <v>44</v>
      </c>
      <c r="F30" s="7" t="s">
        <v>79</v>
      </c>
      <c r="G30" s="7" t="b">
        <v>1</v>
      </c>
      <c r="H30" s="5" t="str">
        <f t="shared" si="2"/>
        <v>HBM972.ZVMR.866</v>
      </c>
      <c r="I30" s="7" t="s">
        <v>93</v>
      </c>
      <c r="J30" s="10" t="s">
        <v>40</v>
      </c>
      <c r="K30" s="10">
        <v>14.0</v>
      </c>
      <c r="O30" s="7" t="s">
        <v>28</v>
      </c>
      <c r="P30" s="7" t="s">
        <v>29</v>
      </c>
      <c r="Q30" s="7" t="s">
        <v>30</v>
      </c>
      <c r="R30" s="7" t="b">
        <v>1</v>
      </c>
      <c r="S30" s="5" t="s">
        <v>66</v>
      </c>
      <c r="T30" s="7" t="s">
        <v>32</v>
      </c>
      <c r="U30" s="7" t="s">
        <v>67</v>
      </c>
      <c r="V30" s="7" t="s">
        <v>68</v>
      </c>
      <c r="W30" s="7" t="s">
        <v>69</v>
      </c>
      <c r="X30" s="9">
        <v>44060.68714509259</v>
      </c>
      <c r="Y30" s="9">
        <v>44462.59442127315</v>
      </c>
    </row>
    <row r="31" ht="15.75" customHeight="1">
      <c r="A31" s="5" t="str">
        <f>HYPERLINK("https://portal.hubmapconsortium.org/browse/sample/aff08197f187418318e12cd70c9a6e3d", "HBM288.MHXG.854")</f>
        <v>HBM288.MHXG.854</v>
      </c>
      <c r="B31" s="6">
        <v>2.0</v>
      </c>
      <c r="C31" s="7" t="s">
        <v>75</v>
      </c>
      <c r="D31" s="8" t="s">
        <v>25</v>
      </c>
      <c r="E31" s="7" t="s">
        <v>44</v>
      </c>
      <c r="F31" s="7" t="s">
        <v>79</v>
      </c>
      <c r="G31" s="7" t="b">
        <v>1</v>
      </c>
      <c r="H31" s="5" t="str">
        <f t="shared" si="2"/>
        <v>HBM972.ZVMR.866</v>
      </c>
      <c r="I31" s="7" t="s">
        <v>94</v>
      </c>
      <c r="J31" s="10" t="s">
        <v>40</v>
      </c>
      <c r="K31" s="10">
        <v>14.0</v>
      </c>
      <c r="O31" s="7" t="s">
        <v>28</v>
      </c>
      <c r="P31" s="7" t="s">
        <v>29</v>
      </c>
      <c r="Q31" s="7" t="s">
        <v>30</v>
      </c>
      <c r="R31" s="7" t="b">
        <v>1</v>
      </c>
      <c r="S31" s="5" t="s">
        <v>66</v>
      </c>
      <c r="T31" s="7" t="s">
        <v>32</v>
      </c>
      <c r="U31" s="7" t="s">
        <v>67</v>
      </c>
      <c r="V31" s="7" t="s">
        <v>68</v>
      </c>
      <c r="W31" s="7" t="s">
        <v>69</v>
      </c>
      <c r="X31" s="9">
        <v>44060.68714509259</v>
      </c>
      <c r="Y31" s="9">
        <v>44462.59362295139</v>
      </c>
    </row>
    <row r="32" ht="15.75" customHeight="1">
      <c r="A32" s="5" t="str">
        <f>HYPERLINK("https://portal.hubmapconsortium.org/browse/sample/fed53eab5847287de706a8dafa6faf8f", "HBM825.KBPF.658")</f>
        <v>HBM825.KBPF.658</v>
      </c>
      <c r="B32" s="6">
        <v>2.0</v>
      </c>
      <c r="C32" s="7" t="s">
        <v>75</v>
      </c>
      <c r="D32" s="8" t="s">
        <v>25</v>
      </c>
      <c r="E32" s="7" t="s">
        <v>44</v>
      </c>
      <c r="F32" s="7" t="s">
        <v>79</v>
      </c>
      <c r="G32" s="7" t="b">
        <v>1</v>
      </c>
      <c r="H32" s="5" t="str">
        <f t="shared" si="2"/>
        <v>HBM972.ZVMR.866</v>
      </c>
      <c r="I32" s="7" t="s">
        <v>95</v>
      </c>
      <c r="J32" s="10" t="s">
        <v>40</v>
      </c>
      <c r="K32" s="10">
        <v>14.0</v>
      </c>
      <c r="O32" s="7" t="s">
        <v>28</v>
      </c>
      <c r="P32" s="7" t="s">
        <v>29</v>
      </c>
      <c r="Q32" s="7" t="s">
        <v>30</v>
      </c>
      <c r="R32" s="7" t="b">
        <v>1</v>
      </c>
      <c r="S32" s="5" t="s">
        <v>66</v>
      </c>
      <c r="T32" s="7" t="s">
        <v>32</v>
      </c>
      <c r="U32" s="7" t="s">
        <v>67</v>
      </c>
      <c r="V32" s="7" t="s">
        <v>68</v>
      </c>
      <c r="W32" s="7" t="s">
        <v>69</v>
      </c>
      <c r="X32" s="9">
        <v>44060.68714509259</v>
      </c>
      <c r="Y32" s="9">
        <v>44462.5948152662</v>
      </c>
    </row>
    <row r="33" ht="15.75" customHeight="1">
      <c r="A33" s="5" t="str">
        <f>HYPERLINK("https://portal.hubmapconsortium.org/browse/sample/173fbebb10c3af766e26b1d6c9c8d563", "HBM897.MZNC.757")</f>
        <v>HBM897.MZNC.757</v>
      </c>
      <c r="B33" s="6">
        <v>2.0</v>
      </c>
      <c r="C33" s="7" t="s">
        <v>75</v>
      </c>
      <c r="D33" s="8" t="s">
        <v>25</v>
      </c>
      <c r="E33" s="7" t="s">
        <v>44</v>
      </c>
      <c r="F33" s="7" t="s">
        <v>79</v>
      </c>
      <c r="G33" s="7" t="b">
        <v>1</v>
      </c>
      <c r="H33" s="5" t="str">
        <f t="shared" si="2"/>
        <v>HBM972.ZVMR.866</v>
      </c>
      <c r="I33" s="7" t="s">
        <v>96</v>
      </c>
      <c r="J33" s="10" t="s">
        <v>40</v>
      </c>
      <c r="K33" s="10">
        <v>14.0</v>
      </c>
      <c r="O33" s="7" t="s">
        <v>28</v>
      </c>
      <c r="P33" s="7" t="s">
        <v>29</v>
      </c>
      <c r="Q33" s="7" t="s">
        <v>30</v>
      </c>
      <c r="R33" s="7" t="b">
        <v>1</v>
      </c>
      <c r="S33" s="5" t="s">
        <v>66</v>
      </c>
      <c r="T33" s="7" t="s">
        <v>32</v>
      </c>
      <c r="U33" s="7" t="s">
        <v>67</v>
      </c>
      <c r="V33" s="7" t="s">
        <v>68</v>
      </c>
      <c r="W33" s="7" t="s">
        <v>69</v>
      </c>
      <c r="X33" s="9">
        <v>44060.68714509259</v>
      </c>
      <c r="Y33" s="9">
        <v>44462.59522898148</v>
      </c>
    </row>
    <row r="34" ht="15.75" customHeight="1">
      <c r="A34" s="5" t="str">
        <f>HYPERLINK("https://portal.hubmapconsortium.org/browse/sample/6e5e5be224d88f38aa390d0c389839c7", "HBM279.ZBSM.472")</f>
        <v>HBM279.ZBSM.472</v>
      </c>
      <c r="B34" s="6">
        <v>2.0</v>
      </c>
      <c r="C34" s="7" t="s">
        <v>75</v>
      </c>
      <c r="D34" s="8" t="s">
        <v>25</v>
      </c>
      <c r="E34" s="7" t="s">
        <v>44</v>
      </c>
      <c r="F34" s="7" t="s">
        <v>79</v>
      </c>
      <c r="G34" s="7" t="b">
        <v>1</v>
      </c>
      <c r="H34" s="5" t="str">
        <f t="shared" si="2"/>
        <v>HBM972.ZVMR.866</v>
      </c>
      <c r="I34" s="7" t="s">
        <v>97</v>
      </c>
      <c r="J34" s="10" t="s">
        <v>40</v>
      </c>
      <c r="K34" s="10">
        <v>14.0</v>
      </c>
      <c r="O34" s="7" t="s">
        <v>28</v>
      </c>
      <c r="P34" s="7" t="s">
        <v>29</v>
      </c>
      <c r="Q34" s="7" t="s">
        <v>30</v>
      </c>
      <c r="R34" s="7" t="b">
        <v>1</v>
      </c>
      <c r="S34" s="5" t="s">
        <v>66</v>
      </c>
      <c r="T34" s="7" t="s">
        <v>32</v>
      </c>
      <c r="U34" s="7" t="s">
        <v>67</v>
      </c>
      <c r="V34" s="7" t="s">
        <v>68</v>
      </c>
      <c r="W34" s="7" t="s">
        <v>69</v>
      </c>
      <c r="X34" s="9">
        <v>44060.68714509259</v>
      </c>
      <c r="Y34" s="9">
        <v>44462.5932406713</v>
      </c>
    </row>
    <row r="35" ht="15.75" customHeight="1">
      <c r="A35" s="5" t="str">
        <f>HYPERLINK("https://portal.hubmapconsortium.org/browse/sample/bb2f22ab105c49476def20e47e9c1206", "HBM622.DQNP.599")</f>
        <v>HBM622.DQNP.599</v>
      </c>
      <c r="B35" s="6">
        <v>2.0</v>
      </c>
      <c r="C35" s="7" t="s">
        <v>75</v>
      </c>
      <c r="D35" s="8" t="s">
        <v>25</v>
      </c>
      <c r="E35" s="7" t="s">
        <v>44</v>
      </c>
      <c r="F35" s="7" t="s">
        <v>79</v>
      </c>
      <c r="G35" s="7" t="b">
        <v>1</v>
      </c>
      <c r="H35" s="5" t="str">
        <f t="shared" si="2"/>
        <v>HBM972.ZVMR.866</v>
      </c>
      <c r="I35" s="7" t="s">
        <v>98</v>
      </c>
      <c r="J35" s="10" t="s">
        <v>40</v>
      </c>
      <c r="K35" s="10">
        <v>14.0</v>
      </c>
      <c r="O35" s="7" t="s">
        <v>28</v>
      </c>
      <c r="P35" s="7" t="s">
        <v>29</v>
      </c>
      <c r="Q35" s="7" t="s">
        <v>30</v>
      </c>
      <c r="R35" s="7" t="b">
        <v>1</v>
      </c>
      <c r="S35" s="5" t="s">
        <v>66</v>
      </c>
      <c r="T35" s="7" t="s">
        <v>32</v>
      </c>
      <c r="U35" s="7" t="s">
        <v>67</v>
      </c>
      <c r="V35" s="7" t="s">
        <v>68</v>
      </c>
      <c r="W35" s="7" t="s">
        <v>69</v>
      </c>
      <c r="X35" s="9">
        <v>44060.68714509259</v>
      </c>
      <c r="Y35" s="9">
        <v>44462.59409688658</v>
      </c>
    </row>
    <row r="36" ht="15.75" customHeight="1">
      <c r="A36" s="5" t="str">
        <f>HYPERLINK("https://portal.hubmapconsortium.org/browse/sample/643e32742a766d63dd15d99a542d4173", "HBM466.CDSN.556")</f>
        <v>HBM466.CDSN.556</v>
      </c>
      <c r="B36" s="6">
        <v>2.0</v>
      </c>
      <c r="C36" s="7" t="s">
        <v>75</v>
      </c>
      <c r="D36" s="8" t="s">
        <v>25</v>
      </c>
      <c r="E36" s="7" t="s">
        <v>44</v>
      </c>
      <c r="F36" s="7" t="s">
        <v>79</v>
      </c>
      <c r="G36" s="7" t="b">
        <v>1</v>
      </c>
      <c r="H36" s="5" t="str">
        <f t="shared" si="2"/>
        <v>HBM972.ZVMR.866</v>
      </c>
      <c r="I36" s="19" t="s">
        <v>99</v>
      </c>
      <c r="J36" s="10" t="s">
        <v>100</v>
      </c>
      <c r="K36" s="10">
        <v>14.0</v>
      </c>
      <c r="N36" s="7" t="s">
        <v>101</v>
      </c>
      <c r="O36" s="7" t="s">
        <v>28</v>
      </c>
      <c r="P36" s="7" t="s">
        <v>29</v>
      </c>
      <c r="Q36" s="7" t="s">
        <v>30</v>
      </c>
      <c r="R36" s="7" t="b">
        <v>1</v>
      </c>
      <c r="S36" s="5" t="s">
        <v>66</v>
      </c>
      <c r="T36" s="7" t="s">
        <v>32</v>
      </c>
      <c r="U36" s="7" t="s">
        <v>67</v>
      </c>
      <c r="V36" s="7" t="s">
        <v>68</v>
      </c>
      <c r="W36" s="7" t="s">
        <v>69</v>
      </c>
      <c r="X36" s="9">
        <v>44427.84824297453</v>
      </c>
      <c r="Y36" s="9">
        <v>44467.05801048611</v>
      </c>
    </row>
    <row r="37" ht="15.75" customHeight="1">
      <c r="A37" s="5" t="str">
        <f>HYPERLINK("https://portal.hubmapconsortium.org/browse/sample/8d89ca0de235ede7ce756c9668c7596e", "HBM776.MWMG.262")</f>
        <v>HBM776.MWMG.262</v>
      </c>
      <c r="B37" s="6">
        <v>3.0</v>
      </c>
      <c r="C37" s="7" t="s">
        <v>102</v>
      </c>
      <c r="D37" s="8" t="s">
        <v>25</v>
      </c>
      <c r="E37" s="7" t="s">
        <v>44</v>
      </c>
      <c r="F37" s="7" t="s">
        <v>103</v>
      </c>
      <c r="G37" s="7" t="b">
        <v>0</v>
      </c>
      <c r="H37" s="5" t="str">
        <f t="shared" ref="H37:H40" si="3">HYPERLINK("https://portal.hubmapconsortium.org/browse/sample/124e9eccc4e80afa3cf6c6da18ea882c", "HBM867.CKFH.272")</f>
        <v>HBM867.CKFH.272</v>
      </c>
      <c r="I37" s="7" t="s">
        <v>104</v>
      </c>
      <c r="K37" s="7">
        <v>29.0</v>
      </c>
      <c r="L37" s="7">
        <v>4.0</v>
      </c>
      <c r="M37" s="7">
        <v>4.0</v>
      </c>
      <c r="N37" s="7" t="s">
        <v>105</v>
      </c>
      <c r="O37" s="7" t="s">
        <v>28</v>
      </c>
      <c r="P37" s="7" t="s">
        <v>29</v>
      </c>
      <c r="Q37" s="7" t="s">
        <v>30</v>
      </c>
      <c r="R37" s="7" t="b">
        <v>0</v>
      </c>
      <c r="S37" s="5" t="s">
        <v>66</v>
      </c>
      <c r="T37" s="7" t="s">
        <v>32</v>
      </c>
      <c r="U37" s="7" t="s">
        <v>67</v>
      </c>
      <c r="V37" s="7" t="s">
        <v>68</v>
      </c>
      <c r="W37" s="7" t="s">
        <v>69</v>
      </c>
      <c r="X37" s="9">
        <v>44703.76206466436</v>
      </c>
      <c r="Y37" s="9">
        <v>44703.76392577546</v>
      </c>
    </row>
    <row r="38" ht="15.75" customHeight="1">
      <c r="A38" s="5" t="str">
        <f>HYPERLINK("https://portal.hubmapconsortium.org/browse/sample/638a483d2daac131b79c4d242ac7efc3", "HBM495.CCMS.672")</f>
        <v>HBM495.CCMS.672</v>
      </c>
      <c r="B38" s="6">
        <v>3.0</v>
      </c>
      <c r="C38" s="7" t="s">
        <v>102</v>
      </c>
      <c r="D38" s="8" t="s">
        <v>25</v>
      </c>
      <c r="E38" s="7" t="s">
        <v>44</v>
      </c>
      <c r="F38" s="7" t="s">
        <v>103</v>
      </c>
      <c r="G38" s="7" t="b">
        <v>1</v>
      </c>
      <c r="H38" s="5" t="str">
        <f t="shared" si="3"/>
        <v>HBM867.CKFH.272</v>
      </c>
      <c r="I38" s="7" t="s">
        <v>106</v>
      </c>
      <c r="J38" s="10" t="s">
        <v>40</v>
      </c>
      <c r="K38" s="7">
        <v>29.0</v>
      </c>
      <c r="N38" s="7" t="s">
        <v>105</v>
      </c>
      <c r="O38" s="7" t="s">
        <v>28</v>
      </c>
      <c r="P38" s="7" t="s">
        <v>29</v>
      </c>
      <c r="Q38" s="7" t="s">
        <v>30</v>
      </c>
      <c r="R38" s="7" t="b">
        <v>1</v>
      </c>
      <c r="S38" s="5" t="s">
        <v>66</v>
      </c>
      <c r="T38" s="7" t="s">
        <v>32</v>
      </c>
      <c r="U38" s="7" t="s">
        <v>67</v>
      </c>
      <c r="V38" s="7" t="s">
        <v>68</v>
      </c>
      <c r="W38" s="7" t="s">
        <v>69</v>
      </c>
      <c r="X38" s="9">
        <v>44703.76206494213</v>
      </c>
      <c r="Y38" s="9">
        <v>44730.72690369213</v>
      </c>
    </row>
    <row r="39" ht="15.75" customHeight="1">
      <c r="A39" s="5" t="str">
        <f>HYPERLINK("https://portal.hubmapconsortium.org/browse/sample/b9ae8c019f2ce4a20e2f4b6ae7cda9af", "HBM338.VMRG.486")</f>
        <v>HBM338.VMRG.486</v>
      </c>
      <c r="B39" s="6">
        <v>3.0</v>
      </c>
      <c r="C39" s="7" t="s">
        <v>102</v>
      </c>
      <c r="D39" s="8" t="s">
        <v>25</v>
      </c>
      <c r="E39" s="7" t="s">
        <v>44</v>
      </c>
      <c r="F39" s="7" t="s">
        <v>103</v>
      </c>
      <c r="G39" s="7" t="b">
        <v>1</v>
      </c>
      <c r="H39" s="5" t="str">
        <f t="shared" si="3"/>
        <v>HBM867.CKFH.272</v>
      </c>
      <c r="I39" s="7" t="s">
        <v>107</v>
      </c>
      <c r="J39" s="10" t="s">
        <v>40</v>
      </c>
      <c r="K39" s="7">
        <v>29.0</v>
      </c>
      <c r="N39" s="7" t="s">
        <v>105</v>
      </c>
      <c r="O39" s="7" t="s">
        <v>28</v>
      </c>
      <c r="P39" s="7" t="s">
        <v>29</v>
      </c>
      <c r="Q39" s="7" t="s">
        <v>30</v>
      </c>
      <c r="R39" s="7" t="b">
        <v>1</v>
      </c>
      <c r="S39" s="5" t="s">
        <v>66</v>
      </c>
      <c r="T39" s="7" t="s">
        <v>32</v>
      </c>
      <c r="U39" s="7" t="s">
        <v>67</v>
      </c>
      <c r="V39" s="7" t="s">
        <v>68</v>
      </c>
      <c r="W39" s="7" t="s">
        <v>69</v>
      </c>
      <c r="X39" s="9">
        <v>44703.76206511574</v>
      </c>
      <c r="Y39" s="9">
        <v>44730.73542565972</v>
      </c>
    </row>
    <row r="40" ht="15.75" customHeight="1">
      <c r="A40" s="5" t="str">
        <f>HYPERLINK("https://portal.hubmapconsortium.org/browse/sample/6bd10b73ec3bb100b691b9ed3f8c4e37", "HBM922.TCNK.538")</f>
        <v>HBM922.TCNK.538</v>
      </c>
      <c r="B40" s="6">
        <v>3.0</v>
      </c>
      <c r="C40" s="7" t="s">
        <v>102</v>
      </c>
      <c r="D40" s="8" t="s">
        <v>25</v>
      </c>
      <c r="E40" s="7" t="s">
        <v>44</v>
      </c>
      <c r="F40" s="7" t="s">
        <v>103</v>
      </c>
      <c r="G40" s="7" t="b">
        <v>1</v>
      </c>
      <c r="H40" s="5" t="str">
        <f t="shared" si="3"/>
        <v>HBM867.CKFH.272</v>
      </c>
      <c r="I40" s="7" t="s">
        <v>108</v>
      </c>
      <c r="J40" s="10" t="s">
        <v>40</v>
      </c>
      <c r="K40" s="7">
        <v>29.0</v>
      </c>
      <c r="N40" s="7" t="s">
        <v>105</v>
      </c>
      <c r="O40" s="7" t="s">
        <v>28</v>
      </c>
      <c r="P40" s="7" t="s">
        <v>29</v>
      </c>
      <c r="Q40" s="7" t="s">
        <v>30</v>
      </c>
      <c r="R40" s="7" t="b">
        <v>1</v>
      </c>
      <c r="S40" s="5" t="s">
        <v>66</v>
      </c>
      <c r="T40" s="7" t="s">
        <v>32</v>
      </c>
      <c r="U40" s="7" t="s">
        <v>67</v>
      </c>
      <c r="V40" s="7" t="s">
        <v>68</v>
      </c>
      <c r="W40" s="7" t="s">
        <v>69</v>
      </c>
      <c r="X40" s="9">
        <v>44703.76206528935</v>
      </c>
      <c r="Y40" s="9">
        <v>44730.74717863426</v>
      </c>
    </row>
    <row r="41" ht="15.75" customHeight="1">
      <c r="A41" s="5" t="str">
        <f>HYPERLINK("https://portal.hubmapconsortium.org/browse/sample/83997d3696d9d5e6e6a5eb2483ea8f0d", "HBM439.XSCJ.847")</f>
        <v>HBM439.XSCJ.847</v>
      </c>
      <c r="B41" s="6">
        <v>3.0</v>
      </c>
      <c r="C41" s="7" t="s">
        <v>102</v>
      </c>
      <c r="D41" s="8" t="s">
        <v>25</v>
      </c>
      <c r="E41" s="7" t="s">
        <v>44</v>
      </c>
      <c r="F41" s="7" t="s">
        <v>109</v>
      </c>
      <c r="G41" s="5" t="b">
        <v>0</v>
      </c>
      <c r="H41" s="5" t="str">
        <f>HYPERLINK("https://portal.hubmapconsortium.org/browse/sample/97408712e754c9d9ba0a450d8617997a", "HBM633.KTTT.942")</f>
        <v>HBM633.KTTT.942</v>
      </c>
      <c r="I41" s="7" t="s">
        <v>110</v>
      </c>
      <c r="K41" s="7">
        <v>21.0</v>
      </c>
      <c r="L41" s="7">
        <v>4.0</v>
      </c>
      <c r="M41" s="7">
        <v>7.0</v>
      </c>
      <c r="N41" s="7" t="s">
        <v>111</v>
      </c>
      <c r="O41" s="7" t="s">
        <v>28</v>
      </c>
      <c r="P41" s="7" t="s">
        <v>29</v>
      </c>
      <c r="Q41" s="7" t="s">
        <v>30</v>
      </c>
      <c r="R41" s="5" t="b">
        <v>0</v>
      </c>
      <c r="S41" s="5" t="s">
        <v>31</v>
      </c>
      <c r="T41" s="7" t="s">
        <v>32</v>
      </c>
      <c r="U41" s="7" t="s">
        <v>50</v>
      </c>
      <c r="V41" s="7" t="s">
        <v>51</v>
      </c>
      <c r="W41" s="7" t="s">
        <v>35</v>
      </c>
      <c r="X41" s="9">
        <v>45722.890963125</v>
      </c>
      <c r="Y41" s="9">
        <v>45722.90300627315</v>
      </c>
    </row>
    <row r="42" ht="15.75" customHeight="1">
      <c r="A42" s="5" t="str">
        <f>HYPERLINK("https://portal.hubmapconsortium.org/browse/sample/70a9b2f3ce9bb9ad015bff0ee05ffbca", "HBM548.KWTN.354")</f>
        <v>HBM548.KWTN.354</v>
      </c>
      <c r="B42" s="6">
        <v>3.0</v>
      </c>
      <c r="C42" s="7" t="s">
        <v>112</v>
      </c>
      <c r="D42" s="8" t="s">
        <v>25</v>
      </c>
      <c r="E42" s="7" t="s">
        <v>44</v>
      </c>
      <c r="F42" s="7" t="s">
        <v>113</v>
      </c>
      <c r="G42" s="5" t="b">
        <v>0</v>
      </c>
      <c r="H42" s="5" t="str">
        <f t="shared" ref="H42:H47" si="4">HYPERLINK("https://portal.hubmapconsortium.org/browse/sample/75e0685fda23bf05bf3f75afd36f597c", "HBM757.DWNN.437")</f>
        <v>HBM757.DWNN.437</v>
      </c>
      <c r="I42" s="7" t="s">
        <v>114</v>
      </c>
      <c r="K42" s="7">
        <v>20.0</v>
      </c>
      <c r="L42" s="7">
        <v>3.0</v>
      </c>
      <c r="M42" s="7">
        <v>6.0</v>
      </c>
      <c r="N42" s="7" t="s">
        <v>115</v>
      </c>
      <c r="O42" s="7" t="s">
        <v>28</v>
      </c>
      <c r="P42" s="7" t="s">
        <v>29</v>
      </c>
      <c r="Q42" s="7" t="s">
        <v>30</v>
      </c>
      <c r="R42" s="5" t="b">
        <v>0</v>
      </c>
      <c r="S42" s="5" t="s">
        <v>31</v>
      </c>
      <c r="T42" s="7" t="s">
        <v>32</v>
      </c>
      <c r="U42" s="7" t="s">
        <v>50</v>
      </c>
      <c r="V42" s="7" t="s">
        <v>51</v>
      </c>
      <c r="W42" s="7" t="s">
        <v>35</v>
      </c>
      <c r="X42" s="9">
        <v>45722.89098645833</v>
      </c>
      <c r="Y42" s="9">
        <v>45722.90320615741</v>
      </c>
    </row>
    <row r="43" ht="15.75" customHeight="1">
      <c r="A43" s="5" t="str">
        <f>HYPERLINK("https://portal.hubmapconsortium.org/browse/sample/678a20084899d8fae3733967a8c7bbb8", "HBM828.FDRM.746")</f>
        <v>HBM828.FDRM.746</v>
      </c>
      <c r="B43" s="6">
        <v>3.0</v>
      </c>
      <c r="C43" s="7" t="s">
        <v>112</v>
      </c>
      <c r="D43" s="8" t="s">
        <v>25</v>
      </c>
      <c r="E43" s="7" t="s">
        <v>44</v>
      </c>
      <c r="F43" s="7" t="s">
        <v>113</v>
      </c>
      <c r="G43" s="7" t="b">
        <v>1</v>
      </c>
      <c r="H43" s="5" t="str">
        <f t="shared" si="4"/>
        <v>HBM757.DWNN.437</v>
      </c>
      <c r="I43" s="7" t="s">
        <v>116</v>
      </c>
      <c r="J43" s="10" t="s">
        <v>40</v>
      </c>
      <c r="K43" s="10">
        <v>23.0</v>
      </c>
      <c r="N43" s="7" t="s">
        <v>117</v>
      </c>
      <c r="O43" s="7" t="s">
        <v>28</v>
      </c>
      <c r="P43" s="7" t="s">
        <v>29</v>
      </c>
      <c r="Q43" s="7" t="s">
        <v>30</v>
      </c>
      <c r="R43" s="7" t="b">
        <v>1</v>
      </c>
      <c r="S43" s="5" t="s">
        <v>118</v>
      </c>
      <c r="T43" s="7" t="s">
        <v>32</v>
      </c>
      <c r="U43" s="7" t="s">
        <v>67</v>
      </c>
      <c r="V43" s="7" t="s">
        <v>68</v>
      </c>
      <c r="W43" s="7" t="s">
        <v>69</v>
      </c>
      <c r="X43" s="9">
        <v>44703.79954015046</v>
      </c>
      <c r="Y43" s="9">
        <v>44730.76611866898</v>
      </c>
    </row>
    <row r="44" ht="15.75" customHeight="1">
      <c r="A44" s="5" t="str">
        <f>HYPERLINK("https://portal.hubmapconsortium.org/browse/sample/814bd0449a4b88dd432b4ad7e1ebe4f8", "HBM664.CMGH.349")</f>
        <v>HBM664.CMGH.349</v>
      </c>
      <c r="B44" s="6">
        <v>3.0</v>
      </c>
      <c r="C44" s="7" t="s">
        <v>112</v>
      </c>
      <c r="D44" s="8" t="s">
        <v>25</v>
      </c>
      <c r="E44" s="7" t="s">
        <v>44</v>
      </c>
      <c r="F44" s="7" t="s">
        <v>113</v>
      </c>
      <c r="G44" s="7" t="b">
        <v>1</v>
      </c>
      <c r="H44" s="5" t="str">
        <f t="shared" si="4"/>
        <v>HBM757.DWNN.437</v>
      </c>
      <c r="I44" s="7" t="s">
        <v>119</v>
      </c>
      <c r="J44" s="10" t="s">
        <v>40</v>
      </c>
      <c r="K44" s="10">
        <v>23.0</v>
      </c>
      <c r="O44" s="7" t="s">
        <v>28</v>
      </c>
      <c r="P44" s="7" t="s">
        <v>29</v>
      </c>
      <c r="Q44" s="7" t="s">
        <v>30</v>
      </c>
      <c r="R44" s="7" t="b">
        <v>1</v>
      </c>
      <c r="S44" s="5" t="s">
        <v>66</v>
      </c>
      <c r="T44" s="7" t="s">
        <v>32</v>
      </c>
      <c r="U44" s="7" t="s">
        <v>67</v>
      </c>
      <c r="V44" s="7" t="s">
        <v>68</v>
      </c>
      <c r="W44" s="7" t="s">
        <v>69</v>
      </c>
      <c r="X44" s="9">
        <v>44387.99647568287</v>
      </c>
      <c r="Y44" s="9">
        <v>44467.09837001158</v>
      </c>
    </row>
    <row r="45" ht="15.75" customHeight="1">
      <c r="A45" s="5" t="str">
        <f>HYPERLINK("https://portal.hubmapconsortium.org/browse/sample/9727d9bc9b938a988c88ae21738e00b5", "HBM328.HNFB.949")</f>
        <v>HBM328.HNFB.949</v>
      </c>
      <c r="B45" s="6">
        <v>3.0</v>
      </c>
      <c r="C45" s="7" t="s">
        <v>112</v>
      </c>
      <c r="D45" s="8" t="s">
        <v>25</v>
      </c>
      <c r="E45" s="7" t="s">
        <v>44</v>
      </c>
      <c r="F45" s="7" t="s">
        <v>113</v>
      </c>
      <c r="G45" s="7" t="b">
        <v>1</v>
      </c>
      <c r="H45" s="5" t="str">
        <f t="shared" si="4"/>
        <v>HBM757.DWNN.437</v>
      </c>
      <c r="I45" s="7" t="s">
        <v>120</v>
      </c>
      <c r="J45" s="10" t="s">
        <v>40</v>
      </c>
      <c r="K45" s="10">
        <v>23.0</v>
      </c>
      <c r="N45" s="7" t="s">
        <v>117</v>
      </c>
      <c r="O45" s="7" t="s">
        <v>28</v>
      </c>
      <c r="P45" s="7" t="s">
        <v>29</v>
      </c>
      <c r="Q45" s="7" t="s">
        <v>30</v>
      </c>
      <c r="R45" s="7" t="b">
        <v>1</v>
      </c>
      <c r="S45" s="5" t="s">
        <v>118</v>
      </c>
      <c r="T45" s="7" t="s">
        <v>32</v>
      </c>
      <c r="U45" s="7" t="s">
        <v>67</v>
      </c>
      <c r="V45" s="7" t="s">
        <v>68</v>
      </c>
      <c r="W45" s="7" t="s">
        <v>69</v>
      </c>
      <c r="X45" s="9">
        <v>44703.79954041666</v>
      </c>
      <c r="Y45" s="9">
        <v>44730.78470189815</v>
      </c>
    </row>
    <row r="46" ht="15.75" customHeight="1">
      <c r="A46" s="5" t="str">
        <f>HYPERLINK("https://portal.hubmapconsortium.org/browse/sample/7c911d2636459124eabc69883afe4cbc", "HBM267.HTHQ.426")</f>
        <v>HBM267.HTHQ.426</v>
      </c>
      <c r="B46" s="6">
        <v>3.0</v>
      </c>
      <c r="C46" s="7" t="s">
        <v>112</v>
      </c>
      <c r="D46" s="8" t="s">
        <v>25</v>
      </c>
      <c r="E46" s="7" t="s">
        <v>44</v>
      </c>
      <c r="F46" s="7" t="s">
        <v>113</v>
      </c>
      <c r="G46" s="7" t="b">
        <v>1</v>
      </c>
      <c r="H46" s="5" t="str">
        <f t="shared" si="4"/>
        <v>HBM757.DWNN.437</v>
      </c>
      <c r="I46" s="7" t="s">
        <v>121</v>
      </c>
      <c r="J46" s="10" t="s">
        <v>40</v>
      </c>
      <c r="K46" s="10">
        <v>23.0</v>
      </c>
      <c r="N46" s="7" t="s">
        <v>117</v>
      </c>
      <c r="O46" s="7" t="s">
        <v>28</v>
      </c>
      <c r="P46" s="7" t="s">
        <v>29</v>
      </c>
      <c r="Q46" s="7" t="s">
        <v>30</v>
      </c>
      <c r="R46" s="7" t="b">
        <v>1</v>
      </c>
      <c r="S46" s="5" t="s">
        <v>118</v>
      </c>
      <c r="T46" s="7" t="s">
        <v>32</v>
      </c>
      <c r="U46" s="7" t="s">
        <v>67</v>
      </c>
      <c r="V46" s="7" t="s">
        <v>68</v>
      </c>
      <c r="W46" s="7" t="s">
        <v>69</v>
      </c>
      <c r="X46" s="9">
        <v>44703.79954059028</v>
      </c>
      <c r="Y46" s="9">
        <v>44730.79408695602</v>
      </c>
    </row>
    <row r="47" ht="15.75" customHeight="1">
      <c r="A47" s="5" t="str">
        <f>HYPERLINK("https://portal.hubmapconsortium.org/browse/sample/fbb9843273bf419bfff9634878a42fef", "HBM399.SZKR.526")</f>
        <v>HBM399.SZKR.526</v>
      </c>
      <c r="B47" s="6">
        <v>3.0</v>
      </c>
      <c r="C47" s="7" t="s">
        <v>112</v>
      </c>
      <c r="D47" s="8" t="s">
        <v>25</v>
      </c>
      <c r="E47" s="7" t="s">
        <v>44</v>
      </c>
      <c r="F47" s="7" t="s">
        <v>113</v>
      </c>
      <c r="G47" s="7" t="b">
        <v>1</v>
      </c>
      <c r="H47" s="5" t="str">
        <f t="shared" si="4"/>
        <v>HBM757.DWNN.437</v>
      </c>
      <c r="I47" s="7" t="s">
        <v>122</v>
      </c>
      <c r="J47" s="10" t="s">
        <v>40</v>
      </c>
      <c r="K47" s="10">
        <v>23.0</v>
      </c>
      <c r="N47" s="7" t="s">
        <v>117</v>
      </c>
      <c r="O47" s="7" t="s">
        <v>28</v>
      </c>
      <c r="P47" s="7" t="s">
        <v>29</v>
      </c>
      <c r="Q47" s="7" t="s">
        <v>30</v>
      </c>
      <c r="R47" s="7" t="b">
        <v>1</v>
      </c>
      <c r="S47" s="5" t="s">
        <v>118</v>
      </c>
      <c r="T47" s="7" t="s">
        <v>32</v>
      </c>
      <c r="U47" s="7" t="s">
        <v>67</v>
      </c>
      <c r="V47" s="7" t="s">
        <v>68</v>
      </c>
      <c r="W47" s="7" t="s">
        <v>69</v>
      </c>
      <c r="X47" s="9">
        <v>44703.79954075231</v>
      </c>
      <c r="Y47" s="9">
        <v>44730.8151634838</v>
      </c>
    </row>
    <row r="48" ht="15.75" customHeight="1">
      <c r="A48" s="5" t="str">
        <f>HYPERLINK("https://portal.hubmapconsortium.org/browse/sample/ed9f69c18378e00e9b59a51489689fb3", "HBM745.XSZJ.387")</f>
        <v>HBM745.XSZJ.387</v>
      </c>
      <c r="B48" s="6">
        <v>3.0</v>
      </c>
      <c r="C48" s="7" t="s">
        <v>123</v>
      </c>
      <c r="D48" s="8" t="s">
        <v>25</v>
      </c>
      <c r="E48" s="7" t="s">
        <v>44</v>
      </c>
      <c r="F48" s="7" t="s">
        <v>124</v>
      </c>
      <c r="G48" s="5" t="b">
        <v>0</v>
      </c>
      <c r="H48" s="5" t="str">
        <f t="shared" ref="H48:H58" si="5">HYPERLINK("https://portal.hubmapconsortium.org/browse/sample/5b24ccb2caa0fadbb19325591b4c2236", "HBM247.SHRT.724")</f>
        <v>HBM247.SHRT.724</v>
      </c>
      <c r="I48" s="7" t="s">
        <v>125</v>
      </c>
      <c r="K48" s="7">
        <v>20.0</v>
      </c>
      <c r="L48" s="7">
        <v>4.0</v>
      </c>
      <c r="M48" s="7">
        <v>8.0</v>
      </c>
      <c r="N48" s="7" t="s">
        <v>126</v>
      </c>
      <c r="O48" s="7" t="s">
        <v>28</v>
      </c>
      <c r="P48" s="7" t="s">
        <v>29</v>
      </c>
      <c r="Q48" s="7" t="s">
        <v>30</v>
      </c>
      <c r="R48" s="5" t="b">
        <v>0</v>
      </c>
      <c r="S48" s="5" t="s">
        <v>31</v>
      </c>
      <c r="T48" s="7" t="s">
        <v>32</v>
      </c>
      <c r="U48" s="7" t="s">
        <v>50</v>
      </c>
      <c r="V48" s="7" t="s">
        <v>51</v>
      </c>
      <c r="W48" s="7" t="s">
        <v>35</v>
      </c>
      <c r="X48" s="9">
        <v>45741.62296953703</v>
      </c>
      <c r="Y48" s="9">
        <v>45741.62296953703</v>
      </c>
    </row>
    <row r="49" ht="15.75" customHeight="1">
      <c r="A49" s="5" t="str">
        <f>HYPERLINK("https://portal.hubmapconsortium.org/browse/sample/19e75ac18b4279ee82d81d370495c56a", "HBM696.NSWW.345")</f>
        <v>HBM696.NSWW.345</v>
      </c>
      <c r="B49" s="6">
        <v>3.0</v>
      </c>
      <c r="C49" s="7" t="s">
        <v>123</v>
      </c>
      <c r="D49" s="8" t="s">
        <v>25</v>
      </c>
      <c r="E49" s="7" t="s">
        <v>44</v>
      </c>
      <c r="F49" s="7" t="s">
        <v>124</v>
      </c>
      <c r="G49" s="5" t="b">
        <v>0</v>
      </c>
      <c r="H49" s="5" t="str">
        <f t="shared" si="5"/>
        <v>HBM247.SHRT.724</v>
      </c>
      <c r="I49" s="7" t="s">
        <v>127</v>
      </c>
      <c r="K49" s="7">
        <v>20.0</v>
      </c>
      <c r="L49" s="7">
        <v>4.0</v>
      </c>
      <c r="M49" s="7">
        <v>7.0</v>
      </c>
      <c r="N49" s="7" t="s">
        <v>128</v>
      </c>
      <c r="O49" s="7" t="s">
        <v>28</v>
      </c>
      <c r="P49" s="7" t="s">
        <v>29</v>
      </c>
      <c r="Q49" s="7" t="s">
        <v>30</v>
      </c>
      <c r="R49" s="5" t="b">
        <v>0</v>
      </c>
      <c r="S49" s="5" t="s">
        <v>31</v>
      </c>
      <c r="T49" s="7" t="s">
        <v>49</v>
      </c>
      <c r="U49" s="7" t="s">
        <v>33</v>
      </c>
      <c r="V49" s="7" t="s">
        <v>34</v>
      </c>
      <c r="W49" s="7" t="s">
        <v>35</v>
      </c>
      <c r="X49" s="9">
        <v>45789.82286482639</v>
      </c>
      <c r="Y49" s="9">
        <v>45789.82286482639</v>
      </c>
    </row>
    <row r="50" ht="15.75" customHeight="1">
      <c r="A50" s="5" t="str">
        <f>HYPERLINK("https://portal.hubmapconsortium.org/browse/sample/90ccaa377259bc049f8644f8c2003e36", "HBM727.WZMV.684")</f>
        <v>HBM727.WZMV.684</v>
      </c>
      <c r="B50" s="6">
        <v>3.0</v>
      </c>
      <c r="C50" s="7" t="s">
        <v>123</v>
      </c>
      <c r="D50" s="8" t="s">
        <v>25</v>
      </c>
      <c r="E50" s="7" t="s">
        <v>44</v>
      </c>
      <c r="F50" s="7" t="s">
        <v>124</v>
      </c>
      <c r="G50" s="5" t="b">
        <v>0</v>
      </c>
      <c r="H50" s="5" t="str">
        <f t="shared" si="5"/>
        <v>HBM247.SHRT.724</v>
      </c>
      <c r="I50" s="7" t="s">
        <v>129</v>
      </c>
      <c r="K50" s="7">
        <v>20.0</v>
      </c>
      <c r="L50" s="7">
        <v>4.0</v>
      </c>
      <c r="M50" s="7">
        <v>5.0</v>
      </c>
      <c r="N50" s="7" t="s">
        <v>130</v>
      </c>
      <c r="O50" s="7" t="s">
        <v>28</v>
      </c>
      <c r="P50" s="7" t="s">
        <v>29</v>
      </c>
      <c r="Q50" s="7" t="s">
        <v>30</v>
      </c>
      <c r="R50" s="5" t="b">
        <v>0</v>
      </c>
      <c r="S50" s="5" t="s">
        <v>131</v>
      </c>
      <c r="T50" s="7" t="s">
        <v>32</v>
      </c>
      <c r="U50" s="7" t="s">
        <v>33</v>
      </c>
      <c r="V50" s="7" t="s">
        <v>34</v>
      </c>
      <c r="W50" s="7" t="s">
        <v>35</v>
      </c>
      <c r="X50" s="9">
        <v>45316.64665724537</v>
      </c>
      <c r="Y50" s="9">
        <v>45316.64665724537</v>
      </c>
    </row>
    <row r="51" ht="15.75" customHeight="1">
      <c r="A51" s="5" t="str">
        <f>HYPERLINK("https://portal.hubmapconsortium.org/browse/sample/bb125996355ca8646ec74a8bedb7639d", "HBM879.PRLJ.697")</f>
        <v>HBM879.PRLJ.697</v>
      </c>
      <c r="B51" s="6">
        <v>3.0</v>
      </c>
      <c r="C51" s="7" t="s">
        <v>123</v>
      </c>
      <c r="D51" s="8" t="s">
        <v>25</v>
      </c>
      <c r="E51" s="7" t="s">
        <v>44</v>
      </c>
      <c r="F51" s="7" t="s">
        <v>124</v>
      </c>
      <c r="G51" s="5" t="b">
        <v>0</v>
      </c>
      <c r="H51" s="5" t="str">
        <f t="shared" si="5"/>
        <v>HBM247.SHRT.724</v>
      </c>
      <c r="I51" s="7" t="s">
        <v>132</v>
      </c>
      <c r="K51" s="7">
        <v>20.0</v>
      </c>
      <c r="L51" s="7">
        <v>4.0</v>
      </c>
      <c r="M51" s="7">
        <v>8.0</v>
      </c>
      <c r="N51" s="7" t="s">
        <v>130</v>
      </c>
      <c r="O51" s="7" t="s">
        <v>28</v>
      </c>
      <c r="P51" s="7" t="s">
        <v>29</v>
      </c>
      <c r="Q51" s="7" t="s">
        <v>30</v>
      </c>
      <c r="R51" s="5" t="b">
        <v>0</v>
      </c>
      <c r="S51" s="5" t="s">
        <v>131</v>
      </c>
      <c r="T51" s="7" t="s">
        <v>32</v>
      </c>
      <c r="U51" s="7" t="s">
        <v>33</v>
      </c>
      <c r="V51" s="7" t="s">
        <v>34</v>
      </c>
      <c r="W51" s="7" t="s">
        <v>35</v>
      </c>
      <c r="X51" s="9">
        <v>45316.64578706019</v>
      </c>
      <c r="Y51" s="9">
        <v>45362.1456799537</v>
      </c>
    </row>
    <row r="52" ht="15.75" customHeight="1">
      <c r="A52" s="5" t="str">
        <f>HYPERLINK("https://portal.hubmapconsortium.org/browse/sample/06fd15efbba53f1bd8d1ba4ed9f55421", "HBM325.FMTV.343")</f>
        <v>HBM325.FMTV.343</v>
      </c>
      <c r="B52" s="6">
        <v>3.0</v>
      </c>
      <c r="C52" s="7" t="s">
        <v>123</v>
      </c>
      <c r="D52" s="8" t="s">
        <v>25</v>
      </c>
      <c r="E52" s="7" t="s">
        <v>44</v>
      </c>
      <c r="F52" s="7" t="s">
        <v>124</v>
      </c>
      <c r="G52" s="7" t="b">
        <v>1</v>
      </c>
      <c r="H52" s="5" t="str">
        <f t="shared" si="5"/>
        <v>HBM247.SHRT.724</v>
      </c>
      <c r="I52" s="7" t="s">
        <v>133</v>
      </c>
      <c r="J52" s="10" t="s">
        <v>40</v>
      </c>
      <c r="K52" s="7">
        <v>22.0</v>
      </c>
      <c r="N52" s="7" t="s">
        <v>134</v>
      </c>
      <c r="O52" s="7" t="s">
        <v>28</v>
      </c>
      <c r="P52" s="7" t="s">
        <v>29</v>
      </c>
      <c r="Q52" s="7" t="s">
        <v>30</v>
      </c>
      <c r="R52" s="7" t="b">
        <v>1</v>
      </c>
      <c r="S52" s="5" t="s">
        <v>118</v>
      </c>
      <c r="T52" s="7" t="s">
        <v>32</v>
      </c>
      <c r="U52" s="7" t="s">
        <v>67</v>
      </c>
      <c r="V52" s="7" t="s">
        <v>68</v>
      </c>
      <c r="W52" s="7" t="s">
        <v>69</v>
      </c>
      <c r="X52" s="9">
        <v>44704.03275454861</v>
      </c>
      <c r="Y52" s="9">
        <v>44730.83014736111</v>
      </c>
    </row>
    <row r="53" ht="15.75" customHeight="1">
      <c r="A53" s="5" t="str">
        <f>HYPERLINK("https://portal.hubmapconsortium.org/browse/sample/825e4d48c77f4b0444f1dcc3834e1a2d", "HBM744.DVKT.694")</f>
        <v>HBM744.DVKT.694</v>
      </c>
      <c r="B53" s="6">
        <v>3.0</v>
      </c>
      <c r="C53" s="7" t="s">
        <v>123</v>
      </c>
      <c r="D53" s="8" t="s">
        <v>25</v>
      </c>
      <c r="E53" s="7" t="s">
        <v>44</v>
      </c>
      <c r="F53" s="7" t="s">
        <v>124</v>
      </c>
      <c r="G53" s="7" t="b">
        <v>1</v>
      </c>
      <c r="H53" s="5" t="str">
        <f t="shared" si="5"/>
        <v>HBM247.SHRT.724</v>
      </c>
      <c r="I53" s="7" t="s">
        <v>135</v>
      </c>
      <c r="J53" s="10" t="s">
        <v>40</v>
      </c>
      <c r="K53" s="7">
        <v>22.0</v>
      </c>
      <c r="O53" s="7" t="s">
        <v>28</v>
      </c>
      <c r="P53" s="7" t="s">
        <v>29</v>
      </c>
      <c r="Q53" s="7" t="s">
        <v>30</v>
      </c>
      <c r="R53" s="7" t="b">
        <v>1</v>
      </c>
      <c r="S53" s="5" t="s">
        <v>66</v>
      </c>
      <c r="T53" s="7" t="s">
        <v>32</v>
      </c>
      <c r="U53" s="7" t="s">
        <v>67</v>
      </c>
      <c r="V53" s="7" t="s">
        <v>68</v>
      </c>
      <c r="W53" s="7" t="s">
        <v>69</v>
      </c>
      <c r="X53" s="9">
        <v>44387.97883446759</v>
      </c>
      <c r="Y53" s="9">
        <v>44466.12749850695</v>
      </c>
    </row>
    <row r="54" ht="15.75" customHeight="1">
      <c r="A54" s="5" t="str">
        <f>HYPERLINK("https://portal.hubmapconsortium.org/browse/sample/c4ce62fa093c5cd82cb2e8b41f4800d9", "HBM248.WJMR.773")</f>
        <v>HBM248.WJMR.773</v>
      </c>
      <c r="B54" s="6">
        <v>3.0</v>
      </c>
      <c r="C54" s="7" t="s">
        <v>123</v>
      </c>
      <c r="D54" s="8" t="s">
        <v>25</v>
      </c>
      <c r="E54" s="7" t="s">
        <v>44</v>
      </c>
      <c r="F54" s="7" t="s">
        <v>124</v>
      </c>
      <c r="G54" s="5" t="b">
        <v>0</v>
      </c>
      <c r="H54" s="5" t="str">
        <f t="shared" si="5"/>
        <v>HBM247.SHRT.724</v>
      </c>
      <c r="I54" s="7" t="s">
        <v>136</v>
      </c>
      <c r="K54" s="7">
        <v>22.0</v>
      </c>
      <c r="L54" s="7">
        <v>1.0</v>
      </c>
      <c r="M54" s="7">
        <v>3.0</v>
      </c>
      <c r="O54" s="7" t="s">
        <v>28</v>
      </c>
      <c r="P54" s="7" t="s">
        <v>29</v>
      </c>
      <c r="Q54" s="7" t="s">
        <v>30</v>
      </c>
      <c r="R54" s="5" t="b">
        <v>0</v>
      </c>
      <c r="S54" s="5" t="s">
        <v>137</v>
      </c>
      <c r="T54" s="7" t="s">
        <v>49</v>
      </c>
      <c r="U54" s="7" t="s">
        <v>33</v>
      </c>
      <c r="V54" s="7" t="s">
        <v>34</v>
      </c>
      <c r="W54" s="7" t="s">
        <v>35</v>
      </c>
      <c r="X54" s="9">
        <v>45736.64051854167</v>
      </c>
      <c r="Y54" s="9">
        <v>45736.64506359954</v>
      </c>
    </row>
    <row r="55" ht="15.75" customHeight="1">
      <c r="A55" s="5" t="str">
        <f>HYPERLINK("https://portal.hubmapconsortium.org/browse/sample/7e68adff1c4ad41005fe77eb71641fa4", "HBM624.HGGF.297")</f>
        <v>HBM624.HGGF.297</v>
      </c>
      <c r="B55" s="6">
        <v>3.0</v>
      </c>
      <c r="C55" s="7" t="s">
        <v>123</v>
      </c>
      <c r="D55" s="8" t="s">
        <v>25</v>
      </c>
      <c r="E55" s="7" t="s">
        <v>44</v>
      </c>
      <c r="F55" s="7" t="s">
        <v>124</v>
      </c>
      <c r="G55" s="7" t="b">
        <v>1</v>
      </c>
      <c r="H55" s="5" t="str">
        <f t="shared" si="5"/>
        <v>HBM247.SHRT.724</v>
      </c>
      <c r="I55" s="7" t="s">
        <v>138</v>
      </c>
      <c r="J55" s="10" t="s">
        <v>40</v>
      </c>
      <c r="K55" s="7">
        <v>22.0</v>
      </c>
      <c r="O55" s="7" t="s">
        <v>28</v>
      </c>
      <c r="P55" s="7" t="s">
        <v>29</v>
      </c>
      <c r="Q55" s="7" t="s">
        <v>30</v>
      </c>
      <c r="R55" s="7" t="b">
        <v>1</v>
      </c>
      <c r="S55" s="5" t="s">
        <v>66</v>
      </c>
      <c r="T55" s="7" t="s">
        <v>32</v>
      </c>
      <c r="U55" s="7" t="s">
        <v>67</v>
      </c>
      <c r="V55" s="7" t="s">
        <v>68</v>
      </c>
      <c r="W55" s="7" t="s">
        <v>69</v>
      </c>
      <c r="X55" s="9">
        <v>44387.98763866898</v>
      </c>
      <c r="Y55" s="9">
        <v>44467.07306399306</v>
      </c>
    </row>
    <row r="56" ht="15.75" customHeight="1">
      <c r="A56" s="5" t="str">
        <f>HYPERLINK("https://portal.hubmapconsortium.org/browse/sample/17b3afd0a7b2aca21ab51e72596f769b", "HBM824.SLZK.599")</f>
        <v>HBM824.SLZK.599</v>
      </c>
      <c r="B56" s="6">
        <v>3.0</v>
      </c>
      <c r="C56" s="7" t="s">
        <v>123</v>
      </c>
      <c r="D56" s="8" t="s">
        <v>25</v>
      </c>
      <c r="E56" s="7" t="s">
        <v>44</v>
      </c>
      <c r="F56" s="7" t="s">
        <v>124</v>
      </c>
      <c r="G56" s="7" t="b">
        <v>1</v>
      </c>
      <c r="H56" s="5" t="str">
        <f t="shared" si="5"/>
        <v>HBM247.SHRT.724</v>
      </c>
      <c r="I56" s="7" t="s">
        <v>139</v>
      </c>
      <c r="J56" s="10" t="s">
        <v>40</v>
      </c>
      <c r="K56" s="7">
        <v>22.0</v>
      </c>
      <c r="N56" s="7" t="s">
        <v>140</v>
      </c>
      <c r="O56" s="7" t="s">
        <v>28</v>
      </c>
      <c r="P56" s="7" t="s">
        <v>29</v>
      </c>
      <c r="Q56" s="7" t="s">
        <v>30</v>
      </c>
      <c r="R56" s="7" t="b">
        <v>1</v>
      </c>
      <c r="S56" s="5" t="s">
        <v>118</v>
      </c>
      <c r="T56" s="7" t="s">
        <v>32</v>
      </c>
      <c r="U56" s="7" t="s">
        <v>67</v>
      </c>
      <c r="V56" s="7" t="s">
        <v>68</v>
      </c>
      <c r="W56" s="7" t="s">
        <v>69</v>
      </c>
      <c r="X56" s="9">
        <v>44704.03275487269</v>
      </c>
      <c r="Y56" s="9">
        <v>44730.83728607639</v>
      </c>
    </row>
    <row r="57" ht="15.75" customHeight="1">
      <c r="A57" s="5" t="str">
        <f>HYPERLINK("https://portal.hubmapconsortium.org/browse/sample/878fba1e9cb02481bda8e38dc243c7de", "HBM437.CVGQ.787")</f>
        <v>HBM437.CVGQ.787</v>
      </c>
      <c r="B57" s="6">
        <v>3.0</v>
      </c>
      <c r="C57" s="7" t="s">
        <v>123</v>
      </c>
      <c r="D57" s="8" t="s">
        <v>25</v>
      </c>
      <c r="E57" s="7" t="s">
        <v>44</v>
      </c>
      <c r="F57" s="7" t="s">
        <v>124</v>
      </c>
      <c r="G57" s="7" t="b">
        <v>1</v>
      </c>
      <c r="H57" s="5" t="str">
        <f t="shared" si="5"/>
        <v>HBM247.SHRT.724</v>
      </c>
      <c r="I57" s="7" t="s">
        <v>141</v>
      </c>
      <c r="J57" s="10" t="s">
        <v>40</v>
      </c>
      <c r="K57" s="7">
        <v>22.0</v>
      </c>
      <c r="O57" s="7" t="s">
        <v>28</v>
      </c>
      <c r="P57" s="7" t="s">
        <v>29</v>
      </c>
      <c r="Q57" s="7" t="s">
        <v>30</v>
      </c>
      <c r="R57" s="7" t="b">
        <v>1</v>
      </c>
      <c r="S57" s="5" t="s">
        <v>66</v>
      </c>
      <c r="T57" s="7" t="s">
        <v>32</v>
      </c>
      <c r="U57" s="7" t="s">
        <v>67</v>
      </c>
      <c r="V57" s="7" t="s">
        <v>68</v>
      </c>
      <c r="W57" s="7" t="s">
        <v>69</v>
      </c>
      <c r="X57" s="9">
        <v>44387.97883418982</v>
      </c>
      <c r="Y57" s="9">
        <v>44466.15045480324</v>
      </c>
    </row>
    <row r="58" ht="15.75" customHeight="1">
      <c r="A58" s="5" t="str">
        <f>HYPERLINK("https://portal.hubmapconsortium.org/browse/sample/1a4319c0159c674a014d94b6ad493bb7", "HBM497.VGSN.945")</f>
        <v>HBM497.VGSN.945</v>
      </c>
      <c r="B58" s="6">
        <v>3.0</v>
      </c>
      <c r="C58" s="7" t="s">
        <v>123</v>
      </c>
      <c r="D58" s="8" t="s">
        <v>25</v>
      </c>
      <c r="E58" s="7" t="s">
        <v>44</v>
      </c>
      <c r="F58" s="7" t="s">
        <v>124</v>
      </c>
      <c r="G58" s="7" t="b">
        <v>1</v>
      </c>
      <c r="H58" s="5" t="str">
        <f t="shared" si="5"/>
        <v>HBM247.SHRT.724</v>
      </c>
      <c r="I58" s="7" t="s">
        <v>142</v>
      </c>
      <c r="J58" s="10" t="s">
        <v>40</v>
      </c>
      <c r="K58" s="7">
        <v>22.0</v>
      </c>
      <c r="O58" s="7" t="s">
        <v>28</v>
      </c>
      <c r="P58" s="7" t="s">
        <v>29</v>
      </c>
      <c r="Q58" s="7" t="s">
        <v>30</v>
      </c>
      <c r="R58" s="7" t="b">
        <v>1</v>
      </c>
      <c r="S58" s="5" t="s">
        <v>66</v>
      </c>
      <c r="T58" s="7" t="s">
        <v>32</v>
      </c>
      <c r="U58" s="7" t="s">
        <v>67</v>
      </c>
      <c r="V58" s="7" t="s">
        <v>68</v>
      </c>
      <c r="W58" s="7" t="s">
        <v>69</v>
      </c>
      <c r="X58" s="9">
        <v>44387.98763846065</v>
      </c>
      <c r="Y58" s="9">
        <v>44467.08184118055</v>
      </c>
    </row>
    <row r="59" ht="15.75" customHeight="1">
      <c r="A59" s="5" t="str">
        <f>HYPERLINK("https://portal.hubmapconsortium.org/browse/sample/46c312ed8a0d794e8d83b52bdb3ec3e8", "HBM588.VWJV.826")</f>
        <v>HBM588.VWJV.826</v>
      </c>
      <c r="B59" s="6">
        <v>3.0</v>
      </c>
      <c r="C59" s="7" t="s">
        <v>143</v>
      </c>
      <c r="D59" s="8" t="s">
        <v>25</v>
      </c>
      <c r="E59" s="7" t="s">
        <v>44</v>
      </c>
      <c r="F59" s="7" t="s">
        <v>144</v>
      </c>
      <c r="G59" s="7" t="b">
        <v>1</v>
      </c>
      <c r="H59" s="5" t="str">
        <f t="shared" ref="H59:H64" si="6">HYPERLINK("https://portal.hubmapconsortium.org/browse/sample/914451adcbf7503357c542841367b6fb", "HBM693.VJCB.242")</f>
        <v>HBM693.VJCB.242</v>
      </c>
      <c r="I59" s="7" t="s">
        <v>145</v>
      </c>
      <c r="J59" s="10" t="s">
        <v>40</v>
      </c>
      <c r="K59" s="7">
        <v>20.0</v>
      </c>
      <c r="N59" s="7" t="s">
        <v>146</v>
      </c>
      <c r="O59" s="7" t="s">
        <v>28</v>
      </c>
      <c r="P59" s="7" t="s">
        <v>29</v>
      </c>
      <c r="Q59" s="7" t="s">
        <v>30</v>
      </c>
      <c r="R59" s="7" t="b">
        <v>1</v>
      </c>
      <c r="S59" s="5" t="s">
        <v>147</v>
      </c>
      <c r="T59" s="7" t="s">
        <v>49</v>
      </c>
      <c r="U59" s="7" t="s">
        <v>67</v>
      </c>
      <c r="V59" s="7" t="s">
        <v>68</v>
      </c>
      <c r="W59" s="7" t="s">
        <v>69</v>
      </c>
      <c r="X59" s="9">
        <v>44606.27544533565</v>
      </c>
      <c r="Y59" s="9">
        <v>44606.28370409722</v>
      </c>
    </row>
    <row r="60" ht="15.75" customHeight="1">
      <c r="A60" s="5" t="str">
        <f>HYPERLINK("https://portal.hubmapconsortium.org/browse/sample/a1674a8ba8caf5515bdfbaf76ad7420c", "HBM395.JPSZ.677")</f>
        <v>HBM395.JPSZ.677</v>
      </c>
      <c r="B60" s="6">
        <v>3.0</v>
      </c>
      <c r="C60" s="7" t="s">
        <v>143</v>
      </c>
      <c r="D60" s="8" t="s">
        <v>25</v>
      </c>
      <c r="E60" s="7" t="s">
        <v>44</v>
      </c>
      <c r="F60" s="7" t="s">
        <v>144</v>
      </c>
      <c r="G60" s="5" t="b">
        <v>0</v>
      </c>
      <c r="H60" s="5" t="str">
        <f t="shared" si="6"/>
        <v>HBM693.VJCB.242</v>
      </c>
      <c r="I60" s="7" t="s">
        <v>148</v>
      </c>
      <c r="K60" s="7">
        <v>20.0</v>
      </c>
      <c r="L60" s="7">
        <v>5.0</v>
      </c>
      <c r="M60" s="7">
        <v>9.0</v>
      </c>
      <c r="N60" s="7" t="s">
        <v>149</v>
      </c>
      <c r="O60" s="7" t="s">
        <v>28</v>
      </c>
      <c r="P60" s="7" t="s">
        <v>29</v>
      </c>
      <c r="Q60" s="7" t="s">
        <v>30</v>
      </c>
      <c r="R60" s="5" t="b">
        <v>0</v>
      </c>
      <c r="S60" s="5" t="s">
        <v>31</v>
      </c>
      <c r="T60" s="7" t="s">
        <v>32</v>
      </c>
      <c r="U60" s="7" t="s">
        <v>50</v>
      </c>
      <c r="V60" s="7" t="s">
        <v>51</v>
      </c>
      <c r="W60" s="7" t="s">
        <v>35</v>
      </c>
      <c r="X60" s="9">
        <v>45722.89100760416</v>
      </c>
      <c r="Y60" s="9">
        <v>45722.90338587963</v>
      </c>
    </row>
    <row r="61" ht="15.75" customHeight="1">
      <c r="A61" s="5" t="str">
        <f>HYPERLINK("https://portal.hubmapconsortium.org/browse/sample/c901fc37457edd564e02518de7889225", "HBM435.QGHP.936")</f>
        <v>HBM435.QGHP.936</v>
      </c>
      <c r="B61" s="6">
        <v>3.0</v>
      </c>
      <c r="C61" s="7" t="s">
        <v>143</v>
      </c>
      <c r="D61" s="8" t="s">
        <v>25</v>
      </c>
      <c r="E61" s="7" t="s">
        <v>44</v>
      </c>
      <c r="F61" s="7" t="s">
        <v>144</v>
      </c>
      <c r="G61" s="7" t="b">
        <v>1</v>
      </c>
      <c r="H61" s="5" t="str">
        <f t="shared" si="6"/>
        <v>HBM693.VJCB.242</v>
      </c>
      <c r="I61" s="7" t="s">
        <v>150</v>
      </c>
      <c r="J61" s="10" t="s">
        <v>40</v>
      </c>
      <c r="K61" s="7">
        <v>20.0</v>
      </c>
      <c r="O61" s="7" t="s">
        <v>28</v>
      </c>
      <c r="P61" s="7" t="s">
        <v>29</v>
      </c>
      <c r="Q61" s="7" t="s">
        <v>30</v>
      </c>
      <c r="R61" s="7" t="b">
        <v>1</v>
      </c>
      <c r="S61" s="5" t="s">
        <v>147</v>
      </c>
      <c r="T61" s="7" t="s">
        <v>49</v>
      </c>
      <c r="U61" s="7" t="s">
        <v>67</v>
      </c>
      <c r="V61" s="7" t="s">
        <v>68</v>
      </c>
      <c r="W61" s="7" t="s">
        <v>69</v>
      </c>
      <c r="X61" s="9">
        <v>44606.27544556713</v>
      </c>
      <c r="Y61" s="9">
        <v>44606.29006614583</v>
      </c>
    </row>
    <row r="62" ht="15.75" customHeight="1">
      <c r="A62" s="5" t="str">
        <f>HYPERLINK("https://portal.hubmapconsortium.org/browse/sample/9f7b7b28fae00c8539bc0243df8fb207", "HBM946.WFMM.788")</f>
        <v>HBM946.WFMM.788</v>
      </c>
      <c r="B62" s="6">
        <v>3.0</v>
      </c>
      <c r="C62" s="7" t="s">
        <v>143</v>
      </c>
      <c r="D62" s="8" t="s">
        <v>25</v>
      </c>
      <c r="E62" s="7" t="s">
        <v>44</v>
      </c>
      <c r="F62" s="7" t="s">
        <v>144</v>
      </c>
      <c r="G62" s="7" t="b">
        <v>1</v>
      </c>
      <c r="H62" s="5" t="str">
        <f t="shared" si="6"/>
        <v>HBM693.VJCB.242</v>
      </c>
      <c r="I62" s="7" t="s">
        <v>151</v>
      </c>
      <c r="J62" s="10" t="s">
        <v>40</v>
      </c>
      <c r="K62" s="7">
        <v>20.0</v>
      </c>
      <c r="N62" s="7" t="s">
        <v>152</v>
      </c>
      <c r="O62" s="7" t="s">
        <v>28</v>
      </c>
      <c r="P62" s="7" t="s">
        <v>29</v>
      </c>
      <c r="Q62" s="7" t="s">
        <v>30</v>
      </c>
      <c r="R62" s="7" t="b">
        <v>1</v>
      </c>
      <c r="S62" s="5" t="s">
        <v>66</v>
      </c>
      <c r="T62" s="7" t="s">
        <v>32</v>
      </c>
      <c r="U62" s="7" t="s">
        <v>67</v>
      </c>
      <c r="V62" s="7" t="s">
        <v>68</v>
      </c>
      <c r="W62" s="7" t="s">
        <v>69</v>
      </c>
      <c r="X62" s="9">
        <v>44487.0855580787</v>
      </c>
      <c r="Y62" s="9">
        <v>44487.12066413194</v>
      </c>
    </row>
    <row r="63" ht="15.75" customHeight="1">
      <c r="A63" s="5" t="str">
        <f>HYPERLINK("https://portal.hubmapconsortium.org/browse/sample/24bdccf12d2200cebf572bb04b43eca2", "HBM385.MVFS.563")</f>
        <v>HBM385.MVFS.563</v>
      </c>
      <c r="B63" s="6">
        <v>3.0</v>
      </c>
      <c r="C63" s="7" t="s">
        <v>143</v>
      </c>
      <c r="D63" s="8" t="s">
        <v>25</v>
      </c>
      <c r="E63" s="7" t="s">
        <v>44</v>
      </c>
      <c r="F63" s="7" t="s">
        <v>144</v>
      </c>
      <c r="G63" s="7" t="b">
        <v>1</v>
      </c>
      <c r="H63" s="5" t="str">
        <f t="shared" si="6"/>
        <v>HBM693.VJCB.242</v>
      </c>
      <c r="I63" s="7" t="s">
        <v>153</v>
      </c>
      <c r="J63" s="10" t="s">
        <v>40</v>
      </c>
      <c r="K63" s="7">
        <v>20.0</v>
      </c>
      <c r="N63" s="7" t="s">
        <v>154</v>
      </c>
      <c r="O63" s="7" t="s">
        <v>28</v>
      </c>
      <c r="P63" s="7" t="s">
        <v>29</v>
      </c>
      <c r="Q63" s="7" t="s">
        <v>30</v>
      </c>
      <c r="R63" s="7" t="b">
        <v>1</v>
      </c>
      <c r="S63" s="5" t="s">
        <v>147</v>
      </c>
      <c r="T63" s="7" t="s">
        <v>49</v>
      </c>
      <c r="U63" s="7" t="s">
        <v>67</v>
      </c>
      <c r="V63" s="7" t="s">
        <v>68</v>
      </c>
      <c r="W63" s="7" t="s">
        <v>69</v>
      </c>
      <c r="X63" s="9">
        <v>44606.27544579861</v>
      </c>
      <c r="Y63" s="9">
        <v>44606.29598584491</v>
      </c>
    </row>
    <row r="64" ht="15.75" customHeight="1">
      <c r="A64" s="5" t="str">
        <f>HYPERLINK("https://portal.hubmapconsortium.org/browse/sample/ab2b437444d182648bbad8aa499d0f80", "HBM935.BPZZ.984")</f>
        <v>HBM935.BPZZ.984</v>
      </c>
      <c r="B64" s="6">
        <v>3.0</v>
      </c>
      <c r="C64" s="7" t="s">
        <v>143</v>
      </c>
      <c r="D64" s="8" t="s">
        <v>25</v>
      </c>
      <c r="E64" s="7" t="s">
        <v>44</v>
      </c>
      <c r="F64" s="7" t="s">
        <v>144</v>
      </c>
      <c r="G64" s="7" t="b">
        <v>1</v>
      </c>
      <c r="H64" s="5" t="str">
        <f t="shared" si="6"/>
        <v>HBM693.VJCB.242</v>
      </c>
      <c r="I64" s="7" t="s">
        <v>155</v>
      </c>
      <c r="J64" s="10" t="s">
        <v>40</v>
      </c>
      <c r="K64" s="7">
        <v>20.0</v>
      </c>
      <c r="N64" s="7" t="s">
        <v>152</v>
      </c>
      <c r="O64" s="7" t="s">
        <v>28</v>
      </c>
      <c r="P64" s="7" t="s">
        <v>29</v>
      </c>
      <c r="Q64" s="7" t="s">
        <v>30</v>
      </c>
      <c r="R64" s="7" t="b">
        <v>1</v>
      </c>
      <c r="S64" s="5" t="s">
        <v>66</v>
      </c>
      <c r="T64" s="7" t="s">
        <v>32</v>
      </c>
      <c r="U64" s="7" t="s">
        <v>67</v>
      </c>
      <c r="V64" s="7" t="s">
        <v>68</v>
      </c>
      <c r="W64" s="7" t="s">
        <v>69</v>
      </c>
      <c r="X64" s="9">
        <v>44487.08555783565</v>
      </c>
      <c r="Y64" s="9">
        <v>44487.11149767361</v>
      </c>
    </row>
    <row r="65" ht="15.75" customHeight="1">
      <c r="A65" s="5" t="str">
        <f>HYPERLINK("https://portal.hubmapconsortium.org/browse/sample/6e2d6e2c9623bb4ac30f307bdb56bea6", "HBM795.MJCN.964")</f>
        <v>HBM795.MJCN.964</v>
      </c>
      <c r="B65" s="6">
        <v>3.0</v>
      </c>
      <c r="C65" s="7" t="s">
        <v>156</v>
      </c>
      <c r="D65" s="8" t="s">
        <v>25</v>
      </c>
      <c r="E65" s="7" t="s">
        <v>44</v>
      </c>
      <c r="F65" s="7" t="s">
        <v>157</v>
      </c>
      <c r="G65" s="5" t="b">
        <v>0</v>
      </c>
      <c r="H65" s="5" t="str">
        <f t="shared" ref="H65:H66" si="7">HYPERLINK("https://portal.hubmapconsortium.org/browse/sample/30036c780684b91f47ea886887051bec", "HBM957.PBHP.655")</f>
        <v>HBM957.PBHP.655</v>
      </c>
      <c r="I65" s="7" t="s">
        <v>158</v>
      </c>
      <c r="K65" s="7">
        <v>20.0</v>
      </c>
      <c r="L65" s="7">
        <v>4.0</v>
      </c>
      <c r="M65" s="7">
        <v>7.0</v>
      </c>
      <c r="N65" s="7" t="s">
        <v>159</v>
      </c>
      <c r="O65" s="7" t="s">
        <v>28</v>
      </c>
      <c r="P65" s="7" t="s">
        <v>29</v>
      </c>
      <c r="Q65" s="7" t="s">
        <v>30</v>
      </c>
      <c r="R65" s="5" t="b">
        <v>0</v>
      </c>
      <c r="S65" s="5" t="s">
        <v>31</v>
      </c>
      <c r="T65" s="7" t="s">
        <v>32</v>
      </c>
      <c r="U65" s="7" t="s">
        <v>50</v>
      </c>
      <c r="V65" s="7" t="s">
        <v>51</v>
      </c>
      <c r="W65" s="7" t="s">
        <v>35</v>
      </c>
      <c r="X65" s="9">
        <v>45722.89102907408</v>
      </c>
      <c r="Y65" s="9">
        <v>45722.90358333333</v>
      </c>
    </row>
    <row r="66" ht="15.75" customHeight="1">
      <c r="A66" s="5" t="str">
        <f>HYPERLINK("https://portal.hubmapconsortium.org/browse/sample/6bd977affa23b9c72775f5da7bb008b3", "HBM326.SRTD.984")</f>
        <v>HBM326.SRTD.984</v>
      </c>
      <c r="B66" s="6">
        <v>3.0</v>
      </c>
      <c r="C66" s="7" t="s">
        <v>156</v>
      </c>
      <c r="D66" s="8" t="s">
        <v>25</v>
      </c>
      <c r="E66" s="7" t="s">
        <v>44</v>
      </c>
      <c r="F66" s="7" t="s">
        <v>157</v>
      </c>
      <c r="G66" s="7" t="b">
        <v>1</v>
      </c>
      <c r="H66" s="5" t="str">
        <f t="shared" si="7"/>
        <v>HBM957.PBHP.655</v>
      </c>
      <c r="I66" s="7" t="s">
        <v>160</v>
      </c>
      <c r="J66" s="10" t="s">
        <v>40</v>
      </c>
      <c r="K66" s="7">
        <v>20.0</v>
      </c>
      <c r="O66" s="7" t="s">
        <v>28</v>
      </c>
      <c r="P66" s="7" t="s">
        <v>29</v>
      </c>
      <c r="Q66" s="7" t="s">
        <v>30</v>
      </c>
      <c r="R66" s="7" t="b">
        <v>1</v>
      </c>
      <c r="S66" s="5" t="s">
        <v>66</v>
      </c>
      <c r="T66" s="7" t="s">
        <v>32</v>
      </c>
      <c r="U66" s="7" t="s">
        <v>67</v>
      </c>
      <c r="V66" s="7" t="s">
        <v>68</v>
      </c>
      <c r="W66" s="7" t="s">
        <v>69</v>
      </c>
      <c r="X66" s="9">
        <v>44387.97194818287</v>
      </c>
      <c r="Y66" s="9">
        <v>44466.15789416667</v>
      </c>
    </row>
    <row r="67" ht="15.75" customHeight="1">
      <c r="A67" s="5" t="str">
        <f>HYPERLINK("https://portal.hubmapconsortium.org/browse/sample/1faf0a1c75723bec60a496920bfc5219", "HBM444.WLVB.222")</f>
        <v>HBM444.WLVB.222</v>
      </c>
      <c r="B67" s="6">
        <v>3.0</v>
      </c>
      <c r="C67" s="7" t="s">
        <v>161</v>
      </c>
      <c r="D67" s="8" t="s">
        <v>25</v>
      </c>
      <c r="E67" s="7" t="s">
        <v>44</v>
      </c>
      <c r="F67" s="7" t="s">
        <v>162</v>
      </c>
      <c r="G67" s="7" t="b">
        <v>1</v>
      </c>
      <c r="H67" s="5" t="str">
        <f t="shared" ref="H67:H70" si="8">HYPERLINK("https://portal.hubmapconsortium.org/browse/sample/073a3361795080ea15a6e7049aacc94c", "HBM457.LKWK.628")</f>
        <v>HBM457.LKWK.628</v>
      </c>
      <c r="I67" s="7" t="s">
        <v>163</v>
      </c>
      <c r="J67" s="10" t="s">
        <v>40</v>
      </c>
      <c r="K67" s="10">
        <v>25.0</v>
      </c>
      <c r="N67" s="7" t="s">
        <v>164</v>
      </c>
      <c r="O67" s="7" t="s">
        <v>28</v>
      </c>
      <c r="P67" s="7" t="s">
        <v>29</v>
      </c>
      <c r="Q67" s="7" t="s">
        <v>30</v>
      </c>
      <c r="R67" s="7" t="b">
        <v>1</v>
      </c>
      <c r="S67" s="5" t="s">
        <v>147</v>
      </c>
      <c r="T67" s="7" t="s">
        <v>49</v>
      </c>
      <c r="U67" s="7" t="s">
        <v>67</v>
      </c>
      <c r="V67" s="7" t="s">
        <v>68</v>
      </c>
      <c r="W67" s="7" t="s">
        <v>69</v>
      </c>
      <c r="X67" s="9">
        <v>44605.84245135417</v>
      </c>
      <c r="Y67" s="9">
        <v>44605.93324898148</v>
      </c>
    </row>
    <row r="68" ht="15.75" customHeight="1">
      <c r="A68" s="5" t="str">
        <f>HYPERLINK("https://portal.hubmapconsortium.org/browse/sample/0bd03ece486a441bd8dac8df764ae79e", "HBM889.LVLV.827")</f>
        <v>HBM889.LVLV.827</v>
      </c>
      <c r="B68" s="6">
        <v>3.0</v>
      </c>
      <c r="C68" s="7" t="s">
        <v>161</v>
      </c>
      <c r="D68" s="8" t="s">
        <v>25</v>
      </c>
      <c r="E68" s="7" t="s">
        <v>44</v>
      </c>
      <c r="F68" s="7" t="s">
        <v>162</v>
      </c>
      <c r="G68" s="7" t="b">
        <v>1</v>
      </c>
      <c r="H68" s="5" t="str">
        <f t="shared" si="8"/>
        <v>HBM457.LKWK.628</v>
      </c>
      <c r="I68" s="7" t="s">
        <v>165</v>
      </c>
      <c r="J68" s="10" t="s">
        <v>40</v>
      </c>
      <c r="K68" s="10">
        <v>25.0</v>
      </c>
      <c r="N68" s="7" t="s">
        <v>164</v>
      </c>
      <c r="O68" s="7" t="s">
        <v>28</v>
      </c>
      <c r="P68" s="7" t="s">
        <v>29</v>
      </c>
      <c r="Q68" s="7" t="s">
        <v>30</v>
      </c>
      <c r="R68" s="7" t="b">
        <v>1</v>
      </c>
      <c r="S68" s="5" t="s">
        <v>147</v>
      </c>
      <c r="T68" s="7" t="s">
        <v>49</v>
      </c>
      <c r="U68" s="7" t="s">
        <v>67</v>
      </c>
      <c r="V68" s="7" t="s">
        <v>68</v>
      </c>
      <c r="W68" s="7" t="s">
        <v>69</v>
      </c>
      <c r="X68" s="9">
        <v>44605.84245170139</v>
      </c>
      <c r="Y68" s="9">
        <v>44605.92969581018</v>
      </c>
    </row>
    <row r="69" ht="15.75" customHeight="1">
      <c r="A69" s="5" t="str">
        <f>HYPERLINK("https://portal.hubmapconsortium.org/browse/sample/18ef0bce0983ba9620179416d2d6d178", "HBM944.PSMP.747")</f>
        <v>HBM944.PSMP.747</v>
      </c>
      <c r="B69" s="6">
        <v>3.0</v>
      </c>
      <c r="C69" s="7" t="s">
        <v>161</v>
      </c>
      <c r="D69" s="8" t="s">
        <v>25</v>
      </c>
      <c r="E69" s="7" t="s">
        <v>44</v>
      </c>
      <c r="F69" s="7" t="s">
        <v>162</v>
      </c>
      <c r="G69" s="7" t="b">
        <v>1</v>
      </c>
      <c r="H69" s="5" t="str">
        <f t="shared" si="8"/>
        <v>HBM457.LKWK.628</v>
      </c>
      <c r="I69" s="7" t="s">
        <v>166</v>
      </c>
      <c r="J69" s="10" t="s">
        <v>40</v>
      </c>
      <c r="K69" s="10">
        <v>25.0</v>
      </c>
      <c r="N69" s="7" t="s">
        <v>164</v>
      </c>
      <c r="O69" s="7" t="s">
        <v>28</v>
      </c>
      <c r="P69" s="7" t="s">
        <v>29</v>
      </c>
      <c r="Q69" s="7" t="s">
        <v>30</v>
      </c>
      <c r="R69" s="7" t="b">
        <v>1</v>
      </c>
      <c r="S69" s="5" t="s">
        <v>147</v>
      </c>
      <c r="T69" s="7" t="s">
        <v>49</v>
      </c>
      <c r="U69" s="7" t="s">
        <v>67</v>
      </c>
      <c r="V69" s="7" t="s">
        <v>68</v>
      </c>
      <c r="W69" s="7" t="s">
        <v>69</v>
      </c>
      <c r="X69" s="9">
        <v>44605.84245188657</v>
      </c>
      <c r="Y69" s="9">
        <v>44605.93398784722</v>
      </c>
    </row>
    <row r="70" ht="15.75" customHeight="1">
      <c r="A70" s="5" t="str">
        <f>HYPERLINK("https://portal.hubmapconsortium.org/browse/sample/ba3df384c84f06657e64c10589a0f5ae", "HBM642.MHDG.573")</f>
        <v>HBM642.MHDG.573</v>
      </c>
      <c r="B70" s="6">
        <v>3.0</v>
      </c>
      <c r="C70" s="7" t="s">
        <v>161</v>
      </c>
      <c r="D70" s="8" t="s">
        <v>25</v>
      </c>
      <c r="E70" s="7" t="s">
        <v>44</v>
      </c>
      <c r="F70" s="7" t="s">
        <v>162</v>
      </c>
      <c r="G70" s="7" t="b">
        <v>1</v>
      </c>
      <c r="H70" s="5" t="str">
        <f t="shared" si="8"/>
        <v>HBM457.LKWK.628</v>
      </c>
      <c r="I70" s="7" t="s">
        <v>167</v>
      </c>
      <c r="J70" s="10" t="s">
        <v>40</v>
      </c>
      <c r="K70" s="10">
        <v>25.0</v>
      </c>
      <c r="N70" s="7" t="s">
        <v>164</v>
      </c>
      <c r="O70" s="7" t="s">
        <v>28</v>
      </c>
      <c r="P70" s="7" t="s">
        <v>29</v>
      </c>
      <c r="Q70" s="7" t="s">
        <v>30</v>
      </c>
      <c r="R70" s="7" t="b">
        <v>1</v>
      </c>
      <c r="S70" s="5" t="s">
        <v>147</v>
      </c>
      <c r="T70" s="7" t="s">
        <v>49</v>
      </c>
      <c r="U70" s="7" t="s">
        <v>67</v>
      </c>
      <c r="V70" s="7" t="s">
        <v>68</v>
      </c>
      <c r="W70" s="7" t="s">
        <v>69</v>
      </c>
      <c r="X70" s="9">
        <v>44605.84245208334</v>
      </c>
      <c r="Y70" s="9">
        <v>44605.93452221065</v>
      </c>
    </row>
    <row r="71" ht="15.75" customHeight="1">
      <c r="A71" s="5" t="str">
        <f>HYPERLINK("https://portal.hubmapconsortium.org/browse/sample/a6267125810102481da9f269eeb3f47a", "HBM536.PJNF.357")</f>
        <v>HBM536.PJNF.357</v>
      </c>
      <c r="B71" s="6">
        <v>3.0</v>
      </c>
      <c r="C71" s="7" t="s">
        <v>168</v>
      </c>
      <c r="D71" s="8" t="s">
        <v>37</v>
      </c>
      <c r="E71" s="7" t="s">
        <v>44</v>
      </c>
      <c r="F71" s="7" t="s">
        <v>169</v>
      </c>
      <c r="G71" s="5" t="b">
        <v>0</v>
      </c>
      <c r="H71" s="5" t="str">
        <f t="shared" ref="H71:H77" si="9">HYPERLINK("https://portal.hubmapconsortium.org/browse/sample/b4d5c999634afcdb45473176dfdf14ab", "HBM224.PXCC.749")</f>
        <v>HBM224.PXCC.749</v>
      </c>
      <c r="I71" s="7" t="s">
        <v>170</v>
      </c>
      <c r="K71" s="7">
        <v>24.0</v>
      </c>
      <c r="L71" s="7">
        <v>4.0</v>
      </c>
      <c r="M71" s="7">
        <v>5.0</v>
      </c>
      <c r="N71" s="7" t="s">
        <v>171</v>
      </c>
      <c r="O71" s="7" t="s">
        <v>28</v>
      </c>
      <c r="P71" s="7" t="s">
        <v>29</v>
      </c>
      <c r="Q71" s="7" t="s">
        <v>30</v>
      </c>
      <c r="R71" s="5" t="b">
        <v>0</v>
      </c>
      <c r="S71" s="5" t="s">
        <v>31</v>
      </c>
      <c r="T71" s="7" t="s">
        <v>32</v>
      </c>
      <c r="U71" s="7" t="s">
        <v>50</v>
      </c>
      <c r="V71" s="7" t="s">
        <v>51</v>
      </c>
      <c r="W71" s="7" t="s">
        <v>35</v>
      </c>
      <c r="X71" s="9">
        <v>45741.62298353009</v>
      </c>
      <c r="Y71" s="9">
        <v>45741.62298353009</v>
      </c>
    </row>
    <row r="72" ht="15.75" customHeight="1">
      <c r="A72" s="5" t="str">
        <f>HYPERLINK("https://portal.hubmapconsortium.org/browse/sample/05b441fb72cf92c9afc77b982a9052ae", "HBM927.GWCS.636")</f>
        <v>HBM927.GWCS.636</v>
      </c>
      <c r="B72" s="6">
        <v>3.0</v>
      </c>
      <c r="C72" s="7" t="s">
        <v>168</v>
      </c>
      <c r="D72" s="8" t="s">
        <v>37</v>
      </c>
      <c r="E72" s="7" t="s">
        <v>44</v>
      </c>
      <c r="F72" s="7" t="s">
        <v>169</v>
      </c>
      <c r="G72" s="5" t="b">
        <v>0</v>
      </c>
      <c r="H72" s="5" t="str">
        <f t="shared" si="9"/>
        <v>HBM224.PXCC.749</v>
      </c>
      <c r="I72" s="7" t="s">
        <v>172</v>
      </c>
      <c r="K72" s="7">
        <v>24.0</v>
      </c>
      <c r="L72" s="7">
        <v>4.0</v>
      </c>
      <c r="M72" s="7">
        <v>5.0</v>
      </c>
      <c r="N72" s="7" t="s">
        <v>173</v>
      </c>
      <c r="O72" s="7" t="s">
        <v>28</v>
      </c>
      <c r="P72" s="7" t="s">
        <v>29</v>
      </c>
      <c r="Q72" s="7" t="s">
        <v>30</v>
      </c>
      <c r="R72" s="5" t="b">
        <v>0</v>
      </c>
      <c r="S72" s="5" t="s">
        <v>31</v>
      </c>
      <c r="T72" s="7" t="s">
        <v>32</v>
      </c>
      <c r="U72" s="7" t="s">
        <v>50</v>
      </c>
      <c r="V72" s="7" t="s">
        <v>51</v>
      </c>
      <c r="W72" s="7" t="s">
        <v>35</v>
      </c>
      <c r="X72" s="9">
        <v>45722.89105206019</v>
      </c>
      <c r="Y72" s="9">
        <v>45722.90375739583</v>
      </c>
    </row>
    <row r="73" ht="15.75" customHeight="1">
      <c r="A73" s="5" t="str">
        <f>HYPERLINK("https://portal.hubmapconsortium.org/browse/sample/92292494fe566fcd19a54d27edca52f0", "HBM723.WVZJ.827")</f>
        <v>HBM723.WVZJ.827</v>
      </c>
      <c r="B73" s="6">
        <v>3.0</v>
      </c>
      <c r="C73" s="7" t="s">
        <v>168</v>
      </c>
      <c r="D73" s="8" t="s">
        <v>37</v>
      </c>
      <c r="E73" s="7" t="s">
        <v>44</v>
      </c>
      <c r="F73" s="7" t="s">
        <v>169</v>
      </c>
      <c r="G73" s="7" t="b">
        <v>1</v>
      </c>
      <c r="H73" s="5" t="str">
        <f t="shared" si="9"/>
        <v>HBM224.PXCC.749</v>
      </c>
      <c r="I73" s="7" t="s">
        <v>174</v>
      </c>
      <c r="J73" s="10" t="s">
        <v>40</v>
      </c>
      <c r="K73" s="10">
        <v>18.0</v>
      </c>
      <c r="O73" s="7" t="s">
        <v>28</v>
      </c>
      <c r="P73" s="7" t="s">
        <v>29</v>
      </c>
      <c r="Q73" s="7" t="s">
        <v>30</v>
      </c>
      <c r="R73" s="7" t="b">
        <v>1</v>
      </c>
      <c r="S73" s="5" t="s">
        <v>66</v>
      </c>
      <c r="T73" s="7" t="s">
        <v>32</v>
      </c>
      <c r="U73" s="7" t="s">
        <v>67</v>
      </c>
      <c r="V73" s="7" t="s">
        <v>68</v>
      </c>
      <c r="W73" s="7" t="s">
        <v>69</v>
      </c>
      <c r="X73" s="9">
        <v>44386.13336646991</v>
      </c>
      <c r="Y73" s="9">
        <v>44467.02662341435</v>
      </c>
    </row>
    <row r="74" ht="15.75" customHeight="1">
      <c r="A74" s="5" t="str">
        <f>HYPERLINK("https://portal.hubmapconsortium.org/browse/sample/e03ab23235245440a8d68e2d17d39c02", "HBM638.GGCQ.252")</f>
        <v>HBM638.GGCQ.252</v>
      </c>
      <c r="B74" s="6">
        <v>3.0</v>
      </c>
      <c r="C74" s="7" t="s">
        <v>168</v>
      </c>
      <c r="D74" s="8" t="s">
        <v>37</v>
      </c>
      <c r="E74" s="7" t="s">
        <v>44</v>
      </c>
      <c r="F74" s="7" t="s">
        <v>169</v>
      </c>
      <c r="G74" s="7" t="b">
        <v>1</v>
      </c>
      <c r="H74" s="5" t="str">
        <f t="shared" si="9"/>
        <v>HBM224.PXCC.749</v>
      </c>
      <c r="I74" s="7" t="s">
        <v>175</v>
      </c>
      <c r="J74" s="10" t="s">
        <v>40</v>
      </c>
      <c r="K74" s="10">
        <v>18.0</v>
      </c>
      <c r="O74" s="7" t="s">
        <v>28</v>
      </c>
      <c r="P74" s="7" t="s">
        <v>29</v>
      </c>
      <c r="Q74" s="7" t="s">
        <v>30</v>
      </c>
      <c r="R74" s="7" t="b">
        <v>1</v>
      </c>
      <c r="S74" s="5" t="s">
        <v>66</v>
      </c>
      <c r="T74" s="7" t="s">
        <v>32</v>
      </c>
      <c r="U74" s="7" t="s">
        <v>67</v>
      </c>
      <c r="V74" s="7" t="s">
        <v>68</v>
      </c>
      <c r="W74" s="7" t="s">
        <v>69</v>
      </c>
      <c r="X74" s="9">
        <v>44386.13336630787</v>
      </c>
      <c r="Y74" s="9">
        <v>44467.04204292824</v>
      </c>
    </row>
    <row r="75" ht="15.75" customHeight="1">
      <c r="A75" s="5" t="str">
        <f>HYPERLINK("https://portal.hubmapconsortium.org/browse/sample/b98686d9df0b06f26fa5c4cd417331a0", "HBM733.MDFT.436")</f>
        <v>HBM733.MDFT.436</v>
      </c>
      <c r="B75" s="6">
        <v>3.0</v>
      </c>
      <c r="C75" s="7" t="s">
        <v>168</v>
      </c>
      <c r="D75" s="8" t="s">
        <v>37</v>
      </c>
      <c r="E75" s="7" t="s">
        <v>44</v>
      </c>
      <c r="F75" s="7" t="s">
        <v>169</v>
      </c>
      <c r="G75" s="7" t="b">
        <v>1</v>
      </c>
      <c r="H75" s="5" t="str">
        <f t="shared" si="9"/>
        <v>HBM224.PXCC.749</v>
      </c>
      <c r="I75" s="7" t="s">
        <v>176</v>
      </c>
      <c r="J75" s="10" t="s">
        <v>40</v>
      </c>
      <c r="K75" s="10">
        <v>18.0</v>
      </c>
      <c r="O75" s="7" t="s">
        <v>28</v>
      </c>
      <c r="P75" s="7" t="s">
        <v>29</v>
      </c>
      <c r="Q75" s="7" t="s">
        <v>30</v>
      </c>
      <c r="R75" s="7" t="b">
        <v>1</v>
      </c>
      <c r="S75" s="5" t="s">
        <v>66</v>
      </c>
      <c r="T75" s="7" t="s">
        <v>32</v>
      </c>
      <c r="U75" s="7" t="s">
        <v>67</v>
      </c>
      <c r="V75" s="7" t="s">
        <v>68</v>
      </c>
      <c r="W75" s="7" t="s">
        <v>69</v>
      </c>
      <c r="X75" s="9">
        <v>44386.13336604166</v>
      </c>
      <c r="Y75" s="9">
        <v>44467.04843079861</v>
      </c>
    </row>
    <row r="76" ht="15.75" customHeight="1">
      <c r="A76" s="5" t="str">
        <f>HYPERLINK("https://portal.hubmapconsortium.org/browse/sample/6c7f7b91ee218f5bad7d8c498f7fe428", "HBM337.KBLS.364")</f>
        <v>HBM337.KBLS.364</v>
      </c>
      <c r="B76" s="6">
        <v>3.0</v>
      </c>
      <c r="C76" s="7" t="s">
        <v>168</v>
      </c>
      <c r="D76" s="8" t="s">
        <v>37</v>
      </c>
      <c r="E76" s="7" t="s">
        <v>44</v>
      </c>
      <c r="F76" s="7" t="s">
        <v>169</v>
      </c>
      <c r="G76" s="7" t="b">
        <v>1</v>
      </c>
      <c r="H76" s="5" t="str">
        <f t="shared" si="9"/>
        <v>HBM224.PXCC.749</v>
      </c>
      <c r="I76" s="7" t="s">
        <v>177</v>
      </c>
      <c r="J76" s="10" t="s">
        <v>40</v>
      </c>
      <c r="K76" s="10">
        <v>18.0</v>
      </c>
      <c r="N76" s="7" t="s">
        <v>178</v>
      </c>
      <c r="O76" s="7" t="s">
        <v>28</v>
      </c>
      <c r="P76" s="7" t="s">
        <v>29</v>
      </c>
      <c r="Q76" s="7" t="s">
        <v>30</v>
      </c>
      <c r="R76" s="7" t="b">
        <v>1</v>
      </c>
      <c r="S76" s="5" t="s">
        <v>118</v>
      </c>
      <c r="T76" s="7" t="s">
        <v>32</v>
      </c>
      <c r="U76" s="7" t="s">
        <v>67</v>
      </c>
      <c r="V76" s="7" t="s">
        <v>68</v>
      </c>
      <c r="W76" s="7" t="s">
        <v>69</v>
      </c>
      <c r="X76" s="9">
        <v>44704.06830846065</v>
      </c>
      <c r="Y76" s="9">
        <v>44733.08061332176</v>
      </c>
    </row>
    <row r="77" ht="15.75" customHeight="1">
      <c r="A77" s="5" t="str">
        <f>HYPERLINK("https://portal.hubmapconsortium.org/browse/sample/ac36bf37661605311f87c821f90d04f8", "HBM973.CRMG.832")</f>
        <v>HBM973.CRMG.832</v>
      </c>
      <c r="B77" s="6">
        <v>3.0</v>
      </c>
      <c r="C77" s="7" t="s">
        <v>168</v>
      </c>
      <c r="D77" s="8" t="s">
        <v>37</v>
      </c>
      <c r="E77" s="7" t="s">
        <v>44</v>
      </c>
      <c r="F77" s="7" t="s">
        <v>169</v>
      </c>
      <c r="G77" s="7" t="b">
        <v>1</v>
      </c>
      <c r="H77" s="5" t="str">
        <f t="shared" si="9"/>
        <v>HBM224.PXCC.749</v>
      </c>
      <c r="I77" s="7" t="s">
        <v>179</v>
      </c>
      <c r="J77" s="10" t="s">
        <v>40</v>
      </c>
      <c r="K77" s="10">
        <v>18.0</v>
      </c>
      <c r="O77" s="7" t="s">
        <v>28</v>
      </c>
      <c r="P77" s="7" t="s">
        <v>29</v>
      </c>
      <c r="Q77" s="7" t="s">
        <v>30</v>
      </c>
      <c r="R77" s="7" t="b">
        <v>1</v>
      </c>
      <c r="S77" s="5" t="s">
        <v>66</v>
      </c>
      <c r="T77" s="7" t="s">
        <v>32</v>
      </c>
      <c r="U77" s="7" t="s">
        <v>67</v>
      </c>
      <c r="V77" s="7" t="s">
        <v>68</v>
      </c>
      <c r="W77" s="7" t="s">
        <v>69</v>
      </c>
      <c r="X77" s="9">
        <v>44386.13336663195</v>
      </c>
      <c r="Y77" s="9">
        <v>44466.76272935185</v>
      </c>
    </row>
    <row r="78" ht="15.75" customHeight="1">
      <c r="A78" s="5" t="str">
        <f>HYPERLINK("https://portal.hubmapconsortium.org/browse/sample/434d183db0e9d7167b15538d380e968c", "HBM984.SBZT.693")</f>
        <v>HBM984.SBZT.693</v>
      </c>
      <c r="B78" s="6">
        <v>3.0</v>
      </c>
      <c r="C78" s="7" t="s">
        <v>180</v>
      </c>
      <c r="D78" s="8" t="s">
        <v>25</v>
      </c>
      <c r="E78" s="7" t="s">
        <v>44</v>
      </c>
      <c r="F78" s="7" t="s">
        <v>181</v>
      </c>
      <c r="G78" s="7" t="b">
        <v>1</v>
      </c>
      <c r="H78" s="5" t="str">
        <f t="shared" ref="H78:H80" si="10">HYPERLINK("https://portal.hubmapconsortium.org/browse/sample/7721014175fd163100b8807c7b628455", "HBM624.SPBH.585")</f>
        <v>HBM624.SPBH.585</v>
      </c>
      <c r="I78" s="7" t="s">
        <v>182</v>
      </c>
      <c r="J78" s="10" t="s">
        <v>40</v>
      </c>
      <c r="K78" s="10">
        <v>27.0</v>
      </c>
      <c r="N78" s="7" t="s">
        <v>183</v>
      </c>
      <c r="O78" s="7" t="s">
        <v>28</v>
      </c>
      <c r="P78" s="7" t="s">
        <v>29</v>
      </c>
      <c r="Q78" s="7" t="s">
        <v>30</v>
      </c>
      <c r="R78" s="7" t="b">
        <v>1</v>
      </c>
      <c r="S78" s="5" t="s">
        <v>147</v>
      </c>
      <c r="T78" s="7" t="s">
        <v>49</v>
      </c>
      <c r="U78" s="7" t="s">
        <v>67</v>
      </c>
      <c r="V78" s="7" t="s">
        <v>68</v>
      </c>
      <c r="W78" s="7" t="s">
        <v>69</v>
      </c>
      <c r="X78" s="9">
        <v>44606.01235734954</v>
      </c>
      <c r="Y78" s="9">
        <v>44606.04575578704</v>
      </c>
    </row>
    <row r="79" ht="15.75" customHeight="1">
      <c r="A79" s="5" t="str">
        <f>HYPERLINK("https://portal.hubmapconsortium.org/browse/sample/21094972f6340966ed0688fe4cda3d73", "HBM548.JSMM.398")</f>
        <v>HBM548.JSMM.398</v>
      </c>
      <c r="B79" s="6">
        <v>3.0</v>
      </c>
      <c r="C79" s="7" t="s">
        <v>180</v>
      </c>
      <c r="D79" s="8" t="s">
        <v>25</v>
      </c>
      <c r="E79" s="7" t="s">
        <v>44</v>
      </c>
      <c r="F79" s="7" t="s">
        <v>181</v>
      </c>
      <c r="G79" s="7" t="b">
        <v>1</v>
      </c>
      <c r="H79" s="5" t="str">
        <f t="shared" si="10"/>
        <v>HBM624.SPBH.585</v>
      </c>
      <c r="I79" s="7" t="s">
        <v>184</v>
      </c>
      <c r="J79" s="10" t="s">
        <v>40</v>
      </c>
      <c r="K79" s="10">
        <v>27.0</v>
      </c>
      <c r="N79" s="7" t="s">
        <v>183</v>
      </c>
      <c r="O79" s="7" t="s">
        <v>28</v>
      </c>
      <c r="P79" s="7" t="s">
        <v>29</v>
      </c>
      <c r="Q79" s="7" t="s">
        <v>30</v>
      </c>
      <c r="R79" s="7" t="b">
        <v>1</v>
      </c>
      <c r="S79" s="5" t="s">
        <v>147</v>
      </c>
      <c r="T79" s="7" t="s">
        <v>49</v>
      </c>
      <c r="U79" s="7" t="s">
        <v>67</v>
      </c>
      <c r="V79" s="7" t="s">
        <v>68</v>
      </c>
      <c r="W79" s="7" t="s">
        <v>69</v>
      </c>
      <c r="X79" s="9">
        <v>44606.01235758102</v>
      </c>
      <c r="Y79" s="9">
        <v>44606.05685413194</v>
      </c>
    </row>
    <row r="80" ht="15.75" customHeight="1">
      <c r="A80" s="5" t="str">
        <f>HYPERLINK("https://portal.hubmapconsortium.org/browse/sample/67e6b730ca7411bac6218e8470609a56", "HBM357.FCQK.842")</f>
        <v>HBM357.FCQK.842</v>
      </c>
      <c r="B80" s="6">
        <v>3.0</v>
      </c>
      <c r="C80" s="7" t="s">
        <v>180</v>
      </c>
      <c r="D80" s="8" t="s">
        <v>25</v>
      </c>
      <c r="E80" s="7" t="s">
        <v>44</v>
      </c>
      <c r="F80" s="7" t="s">
        <v>181</v>
      </c>
      <c r="G80" s="7" t="b">
        <v>1</v>
      </c>
      <c r="H80" s="5" t="str">
        <f t="shared" si="10"/>
        <v>HBM624.SPBH.585</v>
      </c>
      <c r="I80" s="7" t="s">
        <v>185</v>
      </c>
      <c r="J80" s="10" t="s">
        <v>40</v>
      </c>
      <c r="K80" s="10">
        <v>20.0</v>
      </c>
      <c r="N80" s="7" t="s">
        <v>183</v>
      </c>
      <c r="O80" s="7" t="s">
        <v>28</v>
      </c>
      <c r="P80" s="7" t="s">
        <v>29</v>
      </c>
      <c r="Q80" s="7" t="s">
        <v>30</v>
      </c>
      <c r="R80" s="7" t="b">
        <v>1</v>
      </c>
      <c r="S80" s="5" t="s">
        <v>147</v>
      </c>
      <c r="T80" s="7" t="s">
        <v>49</v>
      </c>
      <c r="U80" s="7" t="s">
        <v>67</v>
      </c>
      <c r="V80" s="7" t="s">
        <v>68</v>
      </c>
      <c r="W80" s="7" t="s">
        <v>69</v>
      </c>
      <c r="X80" s="9">
        <v>44606.01235784722</v>
      </c>
      <c r="Y80" s="9">
        <v>44606.06279364583</v>
      </c>
    </row>
    <row r="81" ht="15.75" customHeight="1">
      <c r="A81" s="5" t="str">
        <f>HYPERLINK("https://portal.hubmapconsortium.org/browse/sample/c4b1788942e4e885f7cc32231455fc5d", "HBM427.XKJM.693")</f>
        <v>HBM427.XKJM.693</v>
      </c>
      <c r="B81" s="6">
        <v>3.0</v>
      </c>
      <c r="C81" s="7" t="s">
        <v>186</v>
      </c>
      <c r="D81" s="8" t="s">
        <v>25</v>
      </c>
      <c r="E81" s="7" t="s">
        <v>44</v>
      </c>
      <c r="F81" s="7" t="s">
        <v>187</v>
      </c>
      <c r="G81" s="7" t="b">
        <v>1</v>
      </c>
      <c r="H81" s="5" t="str">
        <f t="shared" ref="H81:H84" si="11">HYPERLINK("https://portal.hubmapconsortium.org/browse/sample/3ffec9546bd99b52e9a5fae7141fd600", "HBM588.MFZJ.862")</f>
        <v>HBM588.MFZJ.862</v>
      </c>
      <c r="I81" s="7" t="s">
        <v>188</v>
      </c>
      <c r="J81" s="10" t="s">
        <v>40</v>
      </c>
      <c r="K81" s="10">
        <v>19.0</v>
      </c>
      <c r="N81" s="7" t="s">
        <v>189</v>
      </c>
      <c r="O81" s="7" t="s">
        <v>28</v>
      </c>
      <c r="P81" s="7" t="s">
        <v>29</v>
      </c>
      <c r="Q81" s="7" t="s">
        <v>30</v>
      </c>
      <c r="R81" s="7" t="b">
        <v>1</v>
      </c>
      <c r="S81" s="5" t="s">
        <v>147</v>
      </c>
      <c r="T81" s="7" t="s">
        <v>49</v>
      </c>
      <c r="U81" s="7" t="s">
        <v>67</v>
      </c>
      <c r="V81" s="7" t="s">
        <v>68</v>
      </c>
      <c r="W81" s="7" t="s">
        <v>69</v>
      </c>
      <c r="X81" s="9">
        <v>44606.07025758102</v>
      </c>
      <c r="Y81" s="9">
        <v>44606.09087761574</v>
      </c>
    </row>
    <row r="82" ht="15.75" customHeight="1">
      <c r="A82" s="5" t="str">
        <f>HYPERLINK("https://portal.hubmapconsortium.org/browse/sample/e470fdd9163d03c9427a8bfa8eee371c", "HBM353.XLCT.988")</f>
        <v>HBM353.XLCT.988</v>
      </c>
      <c r="B82" s="6">
        <v>3.0</v>
      </c>
      <c r="C82" s="7" t="s">
        <v>186</v>
      </c>
      <c r="D82" s="8" t="s">
        <v>25</v>
      </c>
      <c r="E82" s="7" t="s">
        <v>44</v>
      </c>
      <c r="F82" s="7" t="s">
        <v>187</v>
      </c>
      <c r="G82" s="7" t="b">
        <v>1</v>
      </c>
      <c r="H82" s="5" t="str">
        <f t="shared" si="11"/>
        <v>HBM588.MFZJ.862</v>
      </c>
      <c r="I82" s="7" t="s">
        <v>190</v>
      </c>
      <c r="J82" s="10" t="s">
        <v>40</v>
      </c>
      <c r="K82" s="10">
        <v>19.0</v>
      </c>
      <c r="N82" s="7" t="s">
        <v>189</v>
      </c>
      <c r="O82" s="7" t="s">
        <v>28</v>
      </c>
      <c r="P82" s="7" t="s">
        <v>29</v>
      </c>
      <c r="Q82" s="7" t="s">
        <v>30</v>
      </c>
      <c r="R82" s="7" t="b">
        <v>1</v>
      </c>
      <c r="S82" s="5" t="s">
        <v>147</v>
      </c>
      <c r="T82" s="7" t="s">
        <v>49</v>
      </c>
      <c r="U82" s="7" t="s">
        <v>67</v>
      </c>
      <c r="V82" s="7" t="s">
        <v>68</v>
      </c>
      <c r="W82" s="7" t="s">
        <v>69</v>
      </c>
      <c r="X82" s="9">
        <v>44606.07025787037</v>
      </c>
      <c r="Y82" s="9">
        <v>44606.09759428241</v>
      </c>
    </row>
    <row r="83" ht="15.75" customHeight="1">
      <c r="A83" s="5" t="str">
        <f>HYPERLINK("https://portal.hubmapconsortium.org/browse/sample/ca14bbfcfb4e69bcbbfa5f1eb0f033ae", "HBM599.XHXF.485")</f>
        <v>HBM599.XHXF.485</v>
      </c>
      <c r="B83" s="6">
        <v>3.0</v>
      </c>
      <c r="C83" s="7" t="s">
        <v>186</v>
      </c>
      <c r="D83" s="8" t="s">
        <v>25</v>
      </c>
      <c r="E83" s="7" t="s">
        <v>44</v>
      </c>
      <c r="F83" s="7" t="s">
        <v>187</v>
      </c>
      <c r="G83" s="7" t="b">
        <v>1</v>
      </c>
      <c r="H83" s="5" t="str">
        <f t="shared" si="11"/>
        <v>HBM588.MFZJ.862</v>
      </c>
      <c r="I83" s="7" t="s">
        <v>191</v>
      </c>
      <c r="J83" s="10" t="s">
        <v>40</v>
      </c>
      <c r="K83" s="10">
        <v>19.0</v>
      </c>
      <c r="N83" s="7" t="s">
        <v>189</v>
      </c>
      <c r="O83" s="7" t="s">
        <v>28</v>
      </c>
      <c r="P83" s="7" t="s">
        <v>29</v>
      </c>
      <c r="Q83" s="7" t="s">
        <v>30</v>
      </c>
      <c r="R83" s="7" t="b">
        <v>1</v>
      </c>
      <c r="S83" s="5" t="s">
        <v>147</v>
      </c>
      <c r="T83" s="7" t="s">
        <v>49</v>
      </c>
      <c r="U83" s="7" t="s">
        <v>67</v>
      </c>
      <c r="V83" s="7" t="s">
        <v>68</v>
      </c>
      <c r="W83" s="7" t="s">
        <v>69</v>
      </c>
      <c r="X83" s="9">
        <v>44606.07025804398</v>
      </c>
      <c r="Y83" s="9">
        <v>44606.09972136574</v>
      </c>
    </row>
    <row r="84" ht="15.75" customHeight="1">
      <c r="A84" s="5" t="str">
        <f>HYPERLINK("https://portal.hubmapconsortium.org/browse/sample/a094dc398408648860ef75d448f53ae7", "HBM686.ZQDH.394")</f>
        <v>HBM686.ZQDH.394</v>
      </c>
      <c r="B84" s="6">
        <v>3.0</v>
      </c>
      <c r="C84" s="7" t="s">
        <v>186</v>
      </c>
      <c r="D84" s="8" t="s">
        <v>25</v>
      </c>
      <c r="E84" s="7" t="s">
        <v>44</v>
      </c>
      <c r="F84" s="7" t="s">
        <v>187</v>
      </c>
      <c r="G84" s="7" t="b">
        <v>1</v>
      </c>
      <c r="H84" s="5" t="str">
        <f t="shared" si="11"/>
        <v>HBM588.MFZJ.862</v>
      </c>
      <c r="I84" s="7" t="s">
        <v>192</v>
      </c>
      <c r="J84" s="10" t="s">
        <v>40</v>
      </c>
      <c r="K84" s="10">
        <v>19.0</v>
      </c>
      <c r="N84" s="7" t="s">
        <v>189</v>
      </c>
      <c r="O84" s="7" t="s">
        <v>28</v>
      </c>
      <c r="P84" s="7" t="s">
        <v>29</v>
      </c>
      <c r="Q84" s="7" t="s">
        <v>30</v>
      </c>
      <c r="R84" s="7" t="b">
        <v>1</v>
      </c>
      <c r="S84" s="5" t="s">
        <v>147</v>
      </c>
      <c r="T84" s="7" t="s">
        <v>49</v>
      </c>
      <c r="U84" s="7" t="s">
        <v>67</v>
      </c>
      <c r="V84" s="7" t="s">
        <v>68</v>
      </c>
      <c r="W84" s="7" t="s">
        <v>69</v>
      </c>
      <c r="X84" s="9">
        <v>44606.07025822916</v>
      </c>
      <c r="Y84" s="9">
        <v>44606.11112450231</v>
      </c>
    </row>
    <row r="85" ht="15.75" customHeight="1">
      <c r="A85" s="5" t="str">
        <f>HYPERLINK("https://portal.hubmapconsortium.org/browse/sample/eca46875ed7e83512df5ad9e1ec6b17f", "HBM629.PHZC.662")</f>
        <v>HBM629.PHZC.662</v>
      </c>
      <c r="B85" s="6">
        <v>3.0</v>
      </c>
      <c r="C85" s="7" t="s">
        <v>193</v>
      </c>
      <c r="D85" s="8" t="s">
        <v>25</v>
      </c>
      <c r="E85" s="7" t="s">
        <v>44</v>
      </c>
      <c r="F85" s="7" t="s">
        <v>194</v>
      </c>
      <c r="G85" s="7" t="b">
        <v>1</v>
      </c>
      <c r="H85" s="5" t="str">
        <f t="shared" ref="H85:H87" si="12">HYPERLINK("https://portal.hubmapconsortium.org/browse/sample/59d87575c38411233ce2800e909dcc3b", "HBM356.ZSSC.754")</f>
        <v>HBM356.ZSSC.754</v>
      </c>
      <c r="I85" s="7" t="s">
        <v>195</v>
      </c>
      <c r="J85" s="10" t="s">
        <v>40</v>
      </c>
      <c r="K85" s="10">
        <v>26.0</v>
      </c>
      <c r="O85" s="7" t="s">
        <v>28</v>
      </c>
      <c r="P85" s="7" t="s">
        <v>29</v>
      </c>
      <c r="Q85" s="7" t="s">
        <v>30</v>
      </c>
      <c r="R85" s="7" t="b">
        <v>1</v>
      </c>
      <c r="S85" s="5" t="s">
        <v>147</v>
      </c>
      <c r="T85" s="7" t="s">
        <v>49</v>
      </c>
      <c r="U85" s="7" t="s">
        <v>67</v>
      </c>
      <c r="V85" s="7" t="s">
        <v>68</v>
      </c>
      <c r="W85" s="7" t="s">
        <v>69</v>
      </c>
      <c r="X85" s="9">
        <v>44606.11563820602</v>
      </c>
      <c r="Y85" s="9">
        <v>44606.14942030093</v>
      </c>
    </row>
    <row r="86" ht="15.75" customHeight="1">
      <c r="A86" s="5" t="str">
        <f>HYPERLINK("https://portal.hubmapconsortium.org/browse/sample/879896724b51833b988d0c45b57bede7", "HBM352.FNTN.356")</f>
        <v>HBM352.FNTN.356</v>
      </c>
      <c r="B86" s="6">
        <v>3.0</v>
      </c>
      <c r="C86" s="7" t="s">
        <v>193</v>
      </c>
      <c r="D86" s="8" t="s">
        <v>25</v>
      </c>
      <c r="E86" s="7" t="s">
        <v>44</v>
      </c>
      <c r="F86" s="7" t="s">
        <v>194</v>
      </c>
      <c r="G86" s="7" t="b">
        <v>1</v>
      </c>
      <c r="H86" s="5" t="str">
        <f t="shared" si="12"/>
        <v>HBM356.ZSSC.754</v>
      </c>
      <c r="I86" s="7" t="s">
        <v>196</v>
      </c>
      <c r="J86" s="10" t="s">
        <v>40</v>
      </c>
      <c r="K86" s="10">
        <v>26.0</v>
      </c>
      <c r="O86" s="7" t="s">
        <v>28</v>
      </c>
      <c r="P86" s="7" t="s">
        <v>29</v>
      </c>
      <c r="Q86" s="7" t="s">
        <v>30</v>
      </c>
      <c r="R86" s="7" t="b">
        <v>1</v>
      </c>
      <c r="S86" s="5" t="s">
        <v>147</v>
      </c>
      <c r="T86" s="7" t="s">
        <v>49</v>
      </c>
      <c r="U86" s="7" t="s">
        <v>67</v>
      </c>
      <c r="V86" s="7" t="s">
        <v>68</v>
      </c>
      <c r="W86" s="7" t="s">
        <v>69</v>
      </c>
      <c r="X86" s="9">
        <v>44606.11563878472</v>
      </c>
      <c r="Y86" s="9">
        <v>44606.14339002315</v>
      </c>
    </row>
    <row r="87" ht="15.75" customHeight="1">
      <c r="A87" s="5" t="str">
        <f>HYPERLINK("https://portal.hubmapconsortium.org/browse/sample/1a96fa39cc74f8623ab9f3dc230fab05", "HBM284.BLPX.997")</f>
        <v>HBM284.BLPX.997</v>
      </c>
      <c r="B87" s="6">
        <v>3.0</v>
      </c>
      <c r="C87" s="7" t="s">
        <v>193</v>
      </c>
      <c r="D87" s="8" t="s">
        <v>25</v>
      </c>
      <c r="E87" s="7" t="s">
        <v>44</v>
      </c>
      <c r="F87" s="7" t="s">
        <v>194</v>
      </c>
      <c r="G87" s="7" t="b">
        <v>1</v>
      </c>
      <c r="H87" s="5" t="str">
        <f t="shared" si="12"/>
        <v>HBM356.ZSSC.754</v>
      </c>
      <c r="I87" s="7" t="s">
        <v>197</v>
      </c>
      <c r="J87" s="10" t="s">
        <v>40</v>
      </c>
      <c r="K87" s="10">
        <v>26.0</v>
      </c>
      <c r="O87" s="7" t="s">
        <v>28</v>
      </c>
      <c r="P87" s="7" t="s">
        <v>29</v>
      </c>
      <c r="Q87" s="7" t="s">
        <v>30</v>
      </c>
      <c r="R87" s="7" t="b">
        <v>1</v>
      </c>
      <c r="S87" s="5" t="s">
        <v>147</v>
      </c>
      <c r="T87" s="7" t="s">
        <v>49</v>
      </c>
      <c r="U87" s="7" t="s">
        <v>67</v>
      </c>
      <c r="V87" s="7" t="s">
        <v>68</v>
      </c>
      <c r="W87" s="7" t="s">
        <v>69</v>
      </c>
      <c r="X87" s="9">
        <v>44606.11563920139</v>
      </c>
      <c r="Y87" s="9">
        <v>44606.14967240741</v>
      </c>
    </row>
    <row r="88" ht="15.75" customHeight="1">
      <c r="A88" s="5" t="str">
        <f>HYPERLINK("https://portal.hubmapconsortium.org/browse/sample/dee667601318e7eef79c82cbb68dc329", "HBM299.QJBZ.969")</f>
        <v>HBM299.QJBZ.969</v>
      </c>
      <c r="B88" s="6">
        <v>3.0</v>
      </c>
      <c r="C88" s="7" t="s">
        <v>198</v>
      </c>
      <c r="D88" s="8" t="s">
        <v>37</v>
      </c>
      <c r="E88" s="7" t="s">
        <v>44</v>
      </c>
      <c r="F88" s="7" t="s">
        <v>199</v>
      </c>
      <c r="G88" s="7" t="b">
        <v>1</v>
      </c>
      <c r="H88" s="5" t="str">
        <f t="shared" ref="H88:H90" si="13">HYPERLINK("https://portal.hubmapconsortium.org/browse/sample/3c857f6a307acbf513b553a024c6f62e", "HBM878.PGRH.747")</f>
        <v>HBM878.PGRH.747</v>
      </c>
      <c r="I88" s="7" t="s">
        <v>200</v>
      </c>
      <c r="J88" s="10" t="s">
        <v>40</v>
      </c>
      <c r="K88" s="10">
        <v>24.0</v>
      </c>
      <c r="N88" s="7" t="s">
        <v>201</v>
      </c>
      <c r="O88" s="7" t="s">
        <v>28</v>
      </c>
      <c r="P88" s="7" t="s">
        <v>29</v>
      </c>
      <c r="Q88" s="7" t="s">
        <v>30</v>
      </c>
      <c r="R88" s="7" t="b">
        <v>1</v>
      </c>
      <c r="S88" s="5" t="s">
        <v>147</v>
      </c>
      <c r="T88" s="7" t="s">
        <v>49</v>
      </c>
      <c r="U88" s="7" t="s">
        <v>67</v>
      </c>
      <c r="V88" s="7" t="s">
        <v>68</v>
      </c>
      <c r="W88" s="7" t="s">
        <v>69</v>
      </c>
      <c r="X88" s="9">
        <v>44606.17109418981</v>
      </c>
      <c r="Y88" s="9">
        <v>44606.17741118056</v>
      </c>
    </row>
    <row r="89" ht="15.75" customHeight="1">
      <c r="A89" s="5" t="str">
        <f>HYPERLINK("https://portal.hubmapconsortium.org/browse/sample/f08e4eb9d5a854beb47f72178488bf3a", "HBM672.BXWP.375")</f>
        <v>HBM672.BXWP.375</v>
      </c>
      <c r="B89" s="6">
        <v>3.0</v>
      </c>
      <c r="C89" s="7" t="s">
        <v>198</v>
      </c>
      <c r="D89" s="8" t="s">
        <v>37</v>
      </c>
      <c r="E89" s="7" t="s">
        <v>44</v>
      </c>
      <c r="F89" s="7" t="s">
        <v>199</v>
      </c>
      <c r="G89" s="7" t="b">
        <v>1</v>
      </c>
      <c r="H89" s="5" t="str">
        <f t="shared" si="13"/>
        <v>HBM878.PGRH.747</v>
      </c>
      <c r="I89" s="7" t="s">
        <v>202</v>
      </c>
      <c r="J89" s="10" t="s">
        <v>40</v>
      </c>
      <c r="K89" s="10">
        <v>24.0</v>
      </c>
      <c r="N89" s="7" t="s">
        <v>201</v>
      </c>
      <c r="O89" s="7" t="s">
        <v>28</v>
      </c>
      <c r="P89" s="7" t="s">
        <v>29</v>
      </c>
      <c r="Q89" s="7" t="s">
        <v>30</v>
      </c>
      <c r="R89" s="7" t="b">
        <v>1</v>
      </c>
      <c r="S89" s="5" t="s">
        <v>147</v>
      </c>
      <c r="T89" s="7" t="s">
        <v>49</v>
      </c>
      <c r="U89" s="7" t="s">
        <v>67</v>
      </c>
      <c r="V89" s="7" t="s">
        <v>68</v>
      </c>
      <c r="W89" s="7" t="s">
        <v>69</v>
      </c>
      <c r="X89" s="9">
        <v>44606.171094375</v>
      </c>
      <c r="Y89" s="9">
        <v>44606.18587174769</v>
      </c>
    </row>
    <row r="90" ht="15.75" customHeight="1">
      <c r="A90" s="5" t="str">
        <f>HYPERLINK("https://portal.hubmapconsortium.org/browse/sample/f6ad10f51fa64e3ad77bcf8b60b24658", "HBM734.VNNV.644")</f>
        <v>HBM734.VNNV.644</v>
      </c>
      <c r="B90" s="6">
        <v>3.0</v>
      </c>
      <c r="C90" s="7" t="s">
        <v>198</v>
      </c>
      <c r="D90" s="8" t="s">
        <v>37</v>
      </c>
      <c r="E90" s="7" t="s">
        <v>44</v>
      </c>
      <c r="F90" s="7" t="s">
        <v>199</v>
      </c>
      <c r="G90" s="7" t="b">
        <v>1</v>
      </c>
      <c r="H90" s="5" t="str">
        <f t="shared" si="13"/>
        <v>HBM878.PGRH.747</v>
      </c>
      <c r="I90" s="7" t="s">
        <v>203</v>
      </c>
      <c r="J90" s="10" t="s">
        <v>40</v>
      </c>
      <c r="K90" s="10">
        <v>24.0</v>
      </c>
      <c r="N90" s="7" t="s">
        <v>201</v>
      </c>
      <c r="O90" s="7" t="s">
        <v>28</v>
      </c>
      <c r="P90" s="7" t="s">
        <v>29</v>
      </c>
      <c r="Q90" s="7" t="s">
        <v>30</v>
      </c>
      <c r="R90" s="7" t="b">
        <v>1</v>
      </c>
      <c r="S90" s="5" t="s">
        <v>147</v>
      </c>
      <c r="T90" s="7" t="s">
        <v>49</v>
      </c>
      <c r="U90" s="7" t="s">
        <v>67</v>
      </c>
      <c r="V90" s="7" t="s">
        <v>68</v>
      </c>
      <c r="W90" s="7" t="s">
        <v>69</v>
      </c>
      <c r="X90" s="9">
        <v>44606.17109457176</v>
      </c>
      <c r="Y90" s="9">
        <v>44606.19254555555</v>
      </c>
    </row>
    <row r="91" ht="15.75" customHeight="1">
      <c r="A91" s="5" t="str">
        <f>HYPERLINK("https://portal.hubmapconsortium.org/browse/sample/996c3ce64703c05416256f59e05ae960", "HBM383.FVQN.393")</f>
        <v>HBM383.FVQN.393</v>
      </c>
      <c r="B91" s="6">
        <v>3.0</v>
      </c>
      <c r="C91" s="7" t="s">
        <v>204</v>
      </c>
      <c r="D91" s="8" t="s">
        <v>25</v>
      </c>
      <c r="E91" s="7" t="s">
        <v>44</v>
      </c>
      <c r="F91" s="7" t="s">
        <v>205</v>
      </c>
      <c r="G91" s="7" t="b">
        <v>1</v>
      </c>
      <c r="H91" s="5" t="str">
        <f t="shared" ref="H91:H93" si="14">HYPERLINK("https://portal.hubmapconsortium.org/browse/sample/937073987c3b49313685f40991c5259a", "HBM598.WNXQ.998")</f>
        <v>HBM598.WNXQ.998</v>
      </c>
      <c r="I91" s="7" t="s">
        <v>206</v>
      </c>
      <c r="J91" s="10" t="s">
        <v>40</v>
      </c>
      <c r="K91" s="10">
        <v>22.0</v>
      </c>
      <c r="N91" s="7" t="s">
        <v>207</v>
      </c>
      <c r="O91" s="7" t="s">
        <v>28</v>
      </c>
      <c r="P91" s="7" t="s">
        <v>29</v>
      </c>
      <c r="Q91" s="7" t="s">
        <v>30</v>
      </c>
      <c r="R91" s="7" t="b">
        <v>1</v>
      </c>
      <c r="S91" s="5" t="s">
        <v>147</v>
      </c>
      <c r="T91" s="7" t="s">
        <v>49</v>
      </c>
      <c r="U91" s="7" t="s">
        <v>67</v>
      </c>
      <c r="V91" s="7" t="s">
        <v>68</v>
      </c>
      <c r="W91" s="7" t="s">
        <v>69</v>
      </c>
      <c r="X91" s="9">
        <v>44606.20414158565</v>
      </c>
      <c r="Y91" s="9">
        <v>44606.21965706019</v>
      </c>
    </row>
    <row r="92" ht="15.75" customHeight="1">
      <c r="A92" s="5" t="str">
        <f>HYPERLINK("https://portal.hubmapconsortium.org/browse/sample/939e91e879f33cc48c65ea9fc0140c57", "HBM299.BHKJ.645")</f>
        <v>HBM299.BHKJ.645</v>
      </c>
      <c r="B92" s="6">
        <v>3.0</v>
      </c>
      <c r="C92" s="7" t="s">
        <v>204</v>
      </c>
      <c r="D92" s="8" t="s">
        <v>25</v>
      </c>
      <c r="E92" s="7" t="s">
        <v>44</v>
      </c>
      <c r="F92" s="7" t="s">
        <v>205</v>
      </c>
      <c r="G92" s="7" t="b">
        <v>1</v>
      </c>
      <c r="H92" s="5" t="str">
        <f t="shared" si="14"/>
        <v>HBM598.WNXQ.998</v>
      </c>
      <c r="I92" s="7" t="s">
        <v>208</v>
      </c>
      <c r="J92" s="10" t="s">
        <v>40</v>
      </c>
      <c r="K92" s="10">
        <v>22.0</v>
      </c>
      <c r="O92" s="7" t="s">
        <v>28</v>
      </c>
      <c r="P92" s="7" t="s">
        <v>29</v>
      </c>
      <c r="Q92" s="7" t="s">
        <v>30</v>
      </c>
      <c r="R92" s="7" t="b">
        <v>1</v>
      </c>
      <c r="S92" s="5" t="s">
        <v>147</v>
      </c>
      <c r="T92" s="7" t="s">
        <v>49</v>
      </c>
      <c r="U92" s="7" t="s">
        <v>67</v>
      </c>
      <c r="V92" s="7" t="s">
        <v>68</v>
      </c>
      <c r="W92" s="7" t="s">
        <v>69</v>
      </c>
      <c r="X92" s="9">
        <v>44606.20414178241</v>
      </c>
      <c r="Y92" s="9">
        <v>44606.23295107639</v>
      </c>
    </row>
    <row r="93" ht="15.75" customHeight="1">
      <c r="A93" s="5" t="str">
        <f>HYPERLINK("https://portal.hubmapconsortium.org/browse/sample/5ec0906f45caefc20b1d129654abfc25", "HBM836.DCDH.644")</f>
        <v>HBM836.DCDH.644</v>
      </c>
      <c r="B93" s="6">
        <v>3.0</v>
      </c>
      <c r="C93" s="7" t="s">
        <v>204</v>
      </c>
      <c r="D93" s="8" t="s">
        <v>25</v>
      </c>
      <c r="E93" s="7" t="s">
        <v>44</v>
      </c>
      <c r="F93" s="7" t="s">
        <v>205</v>
      </c>
      <c r="G93" s="7" t="b">
        <v>1</v>
      </c>
      <c r="H93" s="5" t="str">
        <f t="shared" si="14"/>
        <v>HBM598.WNXQ.998</v>
      </c>
      <c r="I93" s="7" t="s">
        <v>209</v>
      </c>
      <c r="J93" s="10" t="s">
        <v>40</v>
      </c>
      <c r="K93" s="10">
        <v>22.0</v>
      </c>
      <c r="O93" s="7" t="s">
        <v>28</v>
      </c>
      <c r="P93" s="7" t="s">
        <v>29</v>
      </c>
      <c r="Q93" s="7" t="s">
        <v>30</v>
      </c>
      <c r="R93" s="7" t="b">
        <v>1</v>
      </c>
      <c r="S93" s="5" t="s">
        <v>147</v>
      </c>
      <c r="T93" s="7" t="s">
        <v>49</v>
      </c>
      <c r="U93" s="7" t="s">
        <v>67</v>
      </c>
      <c r="V93" s="7" t="s">
        <v>68</v>
      </c>
      <c r="W93" s="7" t="s">
        <v>69</v>
      </c>
      <c r="X93" s="9">
        <v>44606.20414197916</v>
      </c>
      <c r="Y93" s="9">
        <v>44606.23330667824</v>
      </c>
    </row>
    <row r="94" ht="15.75" customHeight="1">
      <c r="A94" s="5" t="str">
        <f>HYPERLINK("https://portal.hubmapconsortium.org/browse/sample/bc48ba9a3be9215229c0bec37913f700", "HBM968.QBGD.956")</f>
        <v>HBM968.QBGD.956</v>
      </c>
      <c r="B94" s="6">
        <v>3.0</v>
      </c>
      <c r="C94" s="7" t="s">
        <v>210</v>
      </c>
      <c r="D94" s="8" t="s">
        <v>25</v>
      </c>
      <c r="E94" s="7" t="s">
        <v>44</v>
      </c>
      <c r="F94" s="7" t="s">
        <v>211</v>
      </c>
      <c r="G94" s="7" t="b">
        <v>1</v>
      </c>
      <c r="H94" s="5" t="str">
        <f t="shared" ref="H94:H97" si="15">HYPERLINK("https://portal.hubmapconsortium.org/browse/sample/a20e2873d6c388393833fbc36bace964", "HBM823.KHCT.524")</f>
        <v>HBM823.KHCT.524</v>
      </c>
      <c r="I94" s="7" t="s">
        <v>212</v>
      </c>
      <c r="J94" s="10" t="s">
        <v>40</v>
      </c>
      <c r="K94" s="10">
        <v>28.0</v>
      </c>
      <c r="N94" s="7" t="s">
        <v>213</v>
      </c>
      <c r="O94" s="7" t="s">
        <v>28</v>
      </c>
      <c r="P94" s="7" t="s">
        <v>29</v>
      </c>
      <c r="Q94" s="7" t="s">
        <v>30</v>
      </c>
      <c r="R94" s="7" t="b">
        <v>1</v>
      </c>
      <c r="S94" s="5" t="s">
        <v>147</v>
      </c>
      <c r="T94" s="7" t="s">
        <v>49</v>
      </c>
      <c r="U94" s="7" t="s">
        <v>67</v>
      </c>
      <c r="V94" s="7" t="s">
        <v>68</v>
      </c>
      <c r="W94" s="7" t="s">
        <v>69</v>
      </c>
      <c r="X94" s="9">
        <v>44606.24264152778</v>
      </c>
      <c r="Y94" s="9">
        <v>44606.25438760417</v>
      </c>
    </row>
    <row r="95" ht="15.75" customHeight="1">
      <c r="A95" s="5" t="str">
        <f>HYPERLINK("https://portal.hubmapconsortium.org/browse/sample/e8a49e0148923fc059e289639c330c97", "HBM393.KPNS.368")</f>
        <v>HBM393.KPNS.368</v>
      </c>
      <c r="B95" s="6">
        <v>3.0</v>
      </c>
      <c r="C95" s="7" t="s">
        <v>210</v>
      </c>
      <c r="D95" s="8" t="s">
        <v>25</v>
      </c>
      <c r="E95" s="7" t="s">
        <v>44</v>
      </c>
      <c r="F95" s="7" t="s">
        <v>211</v>
      </c>
      <c r="G95" s="7" t="b">
        <v>1</v>
      </c>
      <c r="H95" s="5" t="str">
        <f t="shared" si="15"/>
        <v>HBM823.KHCT.524</v>
      </c>
      <c r="I95" s="7" t="s">
        <v>214</v>
      </c>
      <c r="J95" s="10" t="s">
        <v>40</v>
      </c>
      <c r="K95" s="10">
        <v>28.0</v>
      </c>
      <c r="N95" s="7" t="s">
        <v>213</v>
      </c>
      <c r="O95" s="7" t="s">
        <v>28</v>
      </c>
      <c r="P95" s="7" t="s">
        <v>29</v>
      </c>
      <c r="Q95" s="7" t="s">
        <v>30</v>
      </c>
      <c r="R95" s="7" t="b">
        <v>1</v>
      </c>
      <c r="S95" s="5" t="s">
        <v>147</v>
      </c>
      <c r="T95" s="7" t="s">
        <v>49</v>
      </c>
      <c r="U95" s="7" t="s">
        <v>67</v>
      </c>
      <c r="V95" s="7" t="s">
        <v>68</v>
      </c>
      <c r="W95" s="7" t="s">
        <v>69</v>
      </c>
      <c r="X95" s="9">
        <v>44606.24264180555</v>
      </c>
      <c r="Y95" s="9">
        <v>44606.25585194444</v>
      </c>
    </row>
    <row r="96" ht="15.75" customHeight="1">
      <c r="A96" s="5" t="str">
        <f>HYPERLINK("https://portal.hubmapconsortium.org/browse/sample/5afd1a10618185e894abb9b4170bcc38", "HBM543.TSLR.886")</f>
        <v>HBM543.TSLR.886</v>
      </c>
      <c r="B96" s="6">
        <v>3.0</v>
      </c>
      <c r="C96" s="7" t="s">
        <v>210</v>
      </c>
      <c r="D96" s="8" t="s">
        <v>25</v>
      </c>
      <c r="E96" s="7" t="s">
        <v>44</v>
      </c>
      <c r="F96" s="7" t="s">
        <v>211</v>
      </c>
      <c r="G96" s="7" t="b">
        <v>1</v>
      </c>
      <c r="H96" s="5" t="str">
        <f t="shared" si="15"/>
        <v>HBM823.KHCT.524</v>
      </c>
      <c r="I96" s="7" t="s">
        <v>215</v>
      </c>
      <c r="J96" s="10" t="s">
        <v>40</v>
      </c>
      <c r="K96" s="10">
        <v>28.0</v>
      </c>
      <c r="N96" s="7" t="s">
        <v>213</v>
      </c>
      <c r="O96" s="7" t="s">
        <v>28</v>
      </c>
      <c r="P96" s="7" t="s">
        <v>29</v>
      </c>
      <c r="Q96" s="7" t="s">
        <v>30</v>
      </c>
      <c r="R96" s="7" t="b">
        <v>1</v>
      </c>
      <c r="S96" s="5" t="s">
        <v>147</v>
      </c>
      <c r="T96" s="7" t="s">
        <v>49</v>
      </c>
      <c r="U96" s="7" t="s">
        <v>67</v>
      </c>
      <c r="V96" s="7" t="s">
        <v>68</v>
      </c>
      <c r="W96" s="7" t="s">
        <v>69</v>
      </c>
      <c r="X96" s="9">
        <v>44606.24264197917</v>
      </c>
      <c r="Y96" s="9">
        <v>44606.26240310185</v>
      </c>
    </row>
    <row r="97" ht="15.75" customHeight="1">
      <c r="A97" s="5" t="str">
        <f>HYPERLINK("https://portal.hubmapconsortium.org/browse/sample/6345845af038c4125a2cdfb5f63c2f03", "HBM326.WXZF.763")</f>
        <v>HBM326.WXZF.763</v>
      </c>
      <c r="B97" s="6">
        <v>3.0</v>
      </c>
      <c r="C97" s="7" t="s">
        <v>210</v>
      </c>
      <c r="D97" s="8" t="s">
        <v>25</v>
      </c>
      <c r="E97" s="7" t="s">
        <v>44</v>
      </c>
      <c r="F97" s="7" t="s">
        <v>211</v>
      </c>
      <c r="G97" s="7" t="b">
        <v>1</v>
      </c>
      <c r="H97" s="5" t="str">
        <f t="shared" si="15"/>
        <v>HBM823.KHCT.524</v>
      </c>
      <c r="I97" s="7" t="s">
        <v>216</v>
      </c>
      <c r="J97" s="10" t="s">
        <v>40</v>
      </c>
      <c r="K97" s="10">
        <v>28.0</v>
      </c>
      <c r="N97" s="7" t="s">
        <v>213</v>
      </c>
      <c r="O97" s="7" t="s">
        <v>28</v>
      </c>
      <c r="P97" s="7" t="s">
        <v>29</v>
      </c>
      <c r="Q97" s="7" t="s">
        <v>30</v>
      </c>
      <c r="R97" s="7" t="b">
        <v>1</v>
      </c>
      <c r="S97" s="5" t="s">
        <v>147</v>
      </c>
      <c r="T97" s="7" t="s">
        <v>49</v>
      </c>
      <c r="U97" s="7" t="s">
        <v>67</v>
      </c>
      <c r="V97" s="7" t="s">
        <v>68</v>
      </c>
      <c r="W97" s="7" t="s">
        <v>69</v>
      </c>
      <c r="X97" s="9">
        <v>44606.24264215278</v>
      </c>
      <c r="Y97" s="9">
        <v>44606.26651574074</v>
      </c>
    </row>
    <row r="98" ht="15.75" customHeight="1">
      <c r="A98" s="20" t="str">
        <f>HYPERLINK("https://portal.hubmapconsortium.org/browse/sample/9cc7c2c7351c720d69098c0380a27068", "HBM384.GKQW.539")</f>
        <v>HBM384.GKQW.539</v>
      </c>
      <c r="B98" s="21"/>
      <c r="C98" s="22" t="s">
        <v>217</v>
      </c>
      <c r="D98" s="21" t="s">
        <v>37</v>
      </c>
      <c r="E98" s="22" t="s">
        <v>44</v>
      </c>
      <c r="F98" s="22" t="s">
        <v>218</v>
      </c>
      <c r="G98" s="20" t="b">
        <v>0</v>
      </c>
      <c r="H98" s="20" t="str">
        <f>HYPERLINK("https://portal.hubmapconsortium.org/browse/sample/c02b6ebeab4d35ab4834f7b2cbb1bd06", "HBM546.SGVC.249")</f>
        <v>HBM546.SGVC.249</v>
      </c>
      <c r="I98" s="22" t="s">
        <v>219</v>
      </c>
      <c r="J98" s="22"/>
      <c r="K98" s="22" t="s">
        <v>47</v>
      </c>
      <c r="L98" s="22"/>
      <c r="M98" s="22"/>
      <c r="N98" s="22" t="s">
        <v>220</v>
      </c>
      <c r="O98" s="22" t="s">
        <v>28</v>
      </c>
      <c r="P98" s="22" t="s">
        <v>29</v>
      </c>
      <c r="Q98" s="22" t="s">
        <v>30</v>
      </c>
      <c r="R98" s="20" t="b">
        <v>0</v>
      </c>
      <c r="S98" s="20" t="s">
        <v>31</v>
      </c>
      <c r="T98" s="22" t="s">
        <v>49</v>
      </c>
      <c r="U98" s="22" t="s">
        <v>50</v>
      </c>
      <c r="V98" s="22" t="s">
        <v>51</v>
      </c>
      <c r="W98" s="22" t="s">
        <v>35</v>
      </c>
      <c r="X98" s="23">
        <v>45848.84168436343</v>
      </c>
      <c r="Y98" s="23">
        <v>45848.84168436343</v>
      </c>
      <c r="Z98" s="22"/>
      <c r="AA98" s="22"/>
    </row>
    <row r="99" ht="15.75" customHeight="1">
      <c r="A99" s="5" t="str">
        <f>HYPERLINK("https://portal.hubmapconsortium.org/browse/sample/dbed05568a60c996abf0411f163f5419", "HBM454.WCXN.634")</f>
        <v>HBM454.WCXN.634</v>
      </c>
      <c r="B99" s="6">
        <v>3.0</v>
      </c>
      <c r="C99" s="7" t="s">
        <v>217</v>
      </c>
      <c r="D99" s="8" t="s">
        <v>37</v>
      </c>
      <c r="E99" s="7" t="s">
        <v>44</v>
      </c>
      <c r="F99" s="7" t="s">
        <v>221</v>
      </c>
      <c r="G99" s="5" t="b">
        <v>0</v>
      </c>
      <c r="H99" s="5" t="str">
        <f t="shared" ref="H99:H112" si="16">HYPERLINK("https://portal.hubmapconsortium.org/browse/sample/bf6797891187c90525e7e2a4778f58a8", "HBM559.ZVDB.249")</f>
        <v>HBM559.ZVDB.249</v>
      </c>
      <c r="I99" s="7" t="s">
        <v>222</v>
      </c>
      <c r="K99" s="7">
        <v>22.0</v>
      </c>
      <c r="L99" s="7">
        <v>5.0</v>
      </c>
      <c r="M99" s="7">
        <v>4.0</v>
      </c>
      <c r="N99" s="7" t="s">
        <v>223</v>
      </c>
      <c r="O99" s="7" t="s">
        <v>28</v>
      </c>
      <c r="P99" s="7" t="s">
        <v>29</v>
      </c>
      <c r="Q99" s="7" t="s">
        <v>30</v>
      </c>
      <c r="R99" s="5" t="b">
        <v>0</v>
      </c>
      <c r="S99" s="5" t="s">
        <v>31</v>
      </c>
      <c r="T99" s="7" t="s">
        <v>49</v>
      </c>
      <c r="U99" s="7" t="s">
        <v>50</v>
      </c>
      <c r="V99" s="7" t="s">
        <v>51</v>
      </c>
      <c r="W99" s="7" t="s">
        <v>35</v>
      </c>
      <c r="X99" s="9">
        <v>45848.84169892361</v>
      </c>
      <c r="Y99" s="9">
        <v>45848.84169892361</v>
      </c>
    </row>
    <row r="100" ht="15.75" customHeight="1">
      <c r="A100" s="5" t="str">
        <f>HYPERLINK("https://portal.hubmapconsortium.org/browse/sample/1ae0ba156ba62d8933a6865ea7c30562", "HBM453.KCLH.673")</f>
        <v>HBM453.KCLH.673</v>
      </c>
      <c r="B100" s="6">
        <v>3.0</v>
      </c>
      <c r="C100" s="7" t="s">
        <v>217</v>
      </c>
      <c r="D100" s="8" t="s">
        <v>37</v>
      </c>
      <c r="E100" s="7" t="s">
        <v>44</v>
      </c>
      <c r="F100" s="7" t="s">
        <v>221</v>
      </c>
      <c r="G100" s="5" t="b">
        <v>0</v>
      </c>
      <c r="H100" s="5" t="str">
        <f t="shared" si="16"/>
        <v>HBM559.ZVDB.249</v>
      </c>
      <c r="I100" s="7" t="s">
        <v>224</v>
      </c>
      <c r="K100" s="7">
        <v>22.0</v>
      </c>
      <c r="L100" s="7">
        <v>5.0</v>
      </c>
      <c r="M100" s="7">
        <v>6.0</v>
      </c>
      <c r="N100" s="7" t="s">
        <v>225</v>
      </c>
      <c r="O100" s="7" t="s">
        <v>28</v>
      </c>
      <c r="P100" s="7" t="s">
        <v>29</v>
      </c>
      <c r="Q100" s="7" t="s">
        <v>30</v>
      </c>
      <c r="R100" s="5" t="b">
        <v>0</v>
      </c>
      <c r="S100" s="5" t="s">
        <v>31</v>
      </c>
      <c r="T100" s="7" t="s">
        <v>49</v>
      </c>
      <c r="U100" s="7" t="s">
        <v>50</v>
      </c>
      <c r="V100" s="7" t="s">
        <v>51</v>
      </c>
      <c r="W100" s="7" t="s">
        <v>35</v>
      </c>
      <c r="X100" s="9">
        <v>45819.77816541667</v>
      </c>
      <c r="Y100" s="9">
        <v>45819.77816541667</v>
      </c>
    </row>
    <row r="101" ht="15.75" customHeight="1">
      <c r="A101" s="5" t="str">
        <f>HYPERLINK("https://portal.hubmapconsortium.org/browse/sample/16125b9c405aa81e4d819912b32c82b3", "HBM877.SJLN.558")</f>
        <v>HBM877.SJLN.558</v>
      </c>
      <c r="B101" s="6">
        <v>3.0</v>
      </c>
      <c r="C101" s="7" t="s">
        <v>217</v>
      </c>
      <c r="D101" s="8" t="s">
        <v>37</v>
      </c>
      <c r="E101" s="7" t="s">
        <v>44</v>
      </c>
      <c r="F101" s="7" t="s">
        <v>221</v>
      </c>
      <c r="G101" s="5" t="b">
        <v>0</v>
      </c>
      <c r="H101" s="5" t="str">
        <f t="shared" si="16"/>
        <v>HBM559.ZVDB.249</v>
      </c>
      <c r="I101" s="7" t="s">
        <v>226</v>
      </c>
      <c r="K101" s="7">
        <v>22.0</v>
      </c>
      <c r="L101" s="7">
        <v>5.0</v>
      </c>
      <c r="M101" s="7">
        <v>5.0</v>
      </c>
      <c r="N101" s="7" t="s">
        <v>223</v>
      </c>
      <c r="O101" s="7" t="s">
        <v>28</v>
      </c>
      <c r="P101" s="7" t="s">
        <v>29</v>
      </c>
      <c r="Q101" s="7" t="s">
        <v>30</v>
      </c>
      <c r="R101" s="5" t="b">
        <v>0</v>
      </c>
      <c r="S101" s="5" t="s">
        <v>31</v>
      </c>
      <c r="T101" s="7" t="s">
        <v>49</v>
      </c>
      <c r="U101" s="7" t="s">
        <v>50</v>
      </c>
      <c r="V101" s="7" t="s">
        <v>51</v>
      </c>
      <c r="W101" s="7" t="s">
        <v>35</v>
      </c>
      <c r="X101" s="9">
        <v>45848.84171981482</v>
      </c>
      <c r="Y101" s="9">
        <v>45848.84171981482</v>
      </c>
    </row>
    <row r="102" ht="15.75" customHeight="1">
      <c r="A102" s="5" t="str">
        <f>HYPERLINK("https://portal.hubmapconsortium.org/browse/sample/8c7c3a8aeb68719f9a94fe6a7a29d874", "HBM467.FSJS.995")</f>
        <v>HBM467.FSJS.995</v>
      </c>
      <c r="B102" s="6">
        <v>3.0</v>
      </c>
      <c r="C102" s="7" t="s">
        <v>217</v>
      </c>
      <c r="D102" s="8" t="s">
        <v>37</v>
      </c>
      <c r="E102" s="7" t="s">
        <v>44</v>
      </c>
      <c r="F102" s="7" t="s">
        <v>221</v>
      </c>
      <c r="G102" s="5" t="b">
        <v>0</v>
      </c>
      <c r="H102" s="5" t="str">
        <f t="shared" si="16"/>
        <v>HBM559.ZVDB.249</v>
      </c>
      <c r="I102" s="7" t="s">
        <v>227</v>
      </c>
      <c r="K102" s="7">
        <v>22.0</v>
      </c>
      <c r="L102" s="7">
        <v>5.0</v>
      </c>
      <c r="M102" s="7">
        <v>4.0</v>
      </c>
      <c r="N102" s="7" t="s">
        <v>223</v>
      </c>
      <c r="O102" s="7" t="s">
        <v>28</v>
      </c>
      <c r="P102" s="7" t="s">
        <v>29</v>
      </c>
      <c r="Q102" s="7" t="s">
        <v>30</v>
      </c>
      <c r="R102" s="5" t="b">
        <v>0</v>
      </c>
      <c r="S102" s="5" t="s">
        <v>31</v>
      </c>
      <c r="T102" s="7" t="s">
        <v>49</v>
      </c>
      <c r="U102" s="7" t="s">
        <v>50</v>
      </c>
      <c r="V102" s="7" t="s">
        <v>51</v>
      </c>
      <c r="W102" s="7" t="s">
        <v>35</v>
      </c>
      <c r="X102" s="9">
        <v>45848.84175969908</v>
      </c>
      <c r="Y102" s="9">
        <v>45848.84175969908</v>
      </c>
    </row>
    <row r="103" ht="15.75" customHeight="1">
      <c r="A103" s="5" t="str">
        <f>HYPERLINK("https://portal.hubmapconsortium.org/browse/sample/a31266ee927f6f01001cf36416e0a323", "HBM967.CLZG.977")</f>
        <v>HBM967.CLZG.977</v>
      </c>
      <c r="B103" s="6">
        <v>3.0</v>
      </c>
      <c r="C103" s="7" t="s">
        <v>217</v>
      </c>
      <c r="D103" s="8" t="s">
        <v>37</v>
      </c>
      <c r="E103" s="7" t="s">
        <v>44</v>
      </c>
      <c r="F103" s="7" t="s">
        <v>221</v>
      </c>
      <c r="G103" s="5" t="b">
        <v>0</v>
      </c>
      <c r="H103" s="5" t="str">
        <f t="shared" si="16"/>
        <v>HBM559.ZVDB.249</v>
      </c>
      <c r="I103" s="7" t="s">
        <v>228</v>
      </c>
      <c r="K103" s="7">
        <v>22.0</v>
      </c>
      <c r="L103" s="7">
        <v>5.0</v>
      </c>
      <c r="M103" s="7">
        <v>8.0</v>
      </c>
      <c r="N103" s="7" t="s">
        <v>229</v>
      </c>
      <c r="O103" s="7" t="s">
        <v>28</v>
      </c>
      <c r="P103" s="7" t="s">
        <v>29</v>
      </c>
      <c r="Q103" s="7" t="s">
        <v>30</v>
      </c>
      <c r="R103" s="5" t="b">
        <v>0</v>
      </c>
      <c r="S103" s="5" t="s">
        <v>31</v>
      </c>
      <c r="T103" s="7" t="s">
        <v>32</v>
      </c>
      <c r="U103" s="7" t="s">
        <v>50</v>
      </c>
      <c r="V103" s="7" t="s">
        <v>51</v>
      </c>
      <c r="W103" s="7" t="s">
        <v>35</v>
      </c>
      <c r="X103" s="9">
        <v>45722.89107868056</v>
      </c>
      <c r="Y103" s="9">
        <v>45722.90393729167</v>
      </c>
    </row>
    <row r="104" ht="15.75" customHeight="1">
      <c r="A104" s="5" t="str">
        <f>HYPERLINK("https://portal.hubmapconsortium.org/browse/sample/61057e570ac5cf33f8592a6bd7ccbba6", "HBM784.SPZB.799")</f>
        <v>HBM784.SPZB.799</v>
      </c>
      <c r="B104" s="6">
        <v>2.0</v>
      </c>
      <c r="C104" s="7" t="s">
        <v>217</v>
      </c>
      <c r="D104" s="8" t="s">
        <v>37</v>
      </c>
      <c r="E104" s="7" t="s">
        <v>44</v>
      </c>
      <c r="F104" s="7" t="s">
        <v>221</v>
      </c>
      <c r="G104" s="7" t="b">
        <v>1</v>
      </c>
      <c r="H104" s="5" t="str">
        <f t="shared" si="16"/>
        <v>HBM559.ZVDB.249</v>
      </c>
      <c r="I104" s="7" t="s">
        <v>230</v>
      </c>
      <c r="J104" s="10" t="s">
        <v>40</v>
      </c>
      <c r="K104" s="10">
        <v>16.0</v>
      </c>
      <c r="N104" s="7" t="s">
        <v>231</v>
      </c>
      <c r="O104" s="7" t="s">
        <v>28</v>
      </c>
      <c r="P104" s="7" t="s">
        <v>29</v>
      </c>
      <c r="Q104" s="7" t="s">
        <v>30</v>
      </c>
      <c r="R104" s="7" t="b">
        <v>1</v>
      </c>
      <c r="S104" s="5" t="s">
        <v>118</v>
      </c>
      <c r="T104" s="7" t="s">
        <v>32</v>
      </c>
      <c r="U104" s="7" t="s">
        <v>67</v>
      </c>
      <c r="V104" s="7" t="s">
        <v>68</v>
      </c>
      <c r="W104" s="7" t="s">
        <v>69</v>
      </c>
      <c r="X104" s="9">
        <v>44704.10776714121</v>
      </c>
      <c r="Y104" s="9">
        <v>44733.08909282408</v>
      </c>
    </row>
    <row r="105" ht="15.75" customHeight="1">
      <c r="A105" s="5" t="str">
        <f>HYPERLINK("https://portal.hubmapconsortium.org/browse/sample/73811cc6ff2e339ce5f210b2e4e0b4d5", "HBM245.TZHD.382")</f>
        <v>HBM245.TZHD.382</v>
      </c>
      <c r="B105" s="6">
        <v>2.0</v>
      </c>
      <c r="C105" s="7" t="s">
        <v>217</v>
      </c>
      <c r="D105" s="8" t="s">
        <v>37</v>
      </c>
      <c r="E105" s="7" t="s">
        <v>44</v>
      </c>
      <c r="F105" s="7" t="s">
        <v>221</v>
      </c>
      <c r="G105" s="7" t="b">
        <v>1</v>
      </c>
      <c r="H105" s="5" t="str">
        <f t="shared" si="16"/>
        <v>HBM559.ZVDB.249</v>
      </c>
      <c r="I105" s="7" t="s">
        <v>232</v>
      </c>
      <c r="J105" s="10" t="s">
        <v>40</v>
      </c>
      <c r="K105" s="10">
        <v>16.0</v>
      </c>
      <c r="N105" s="7" t="s">
        <v>231</v>
      </c>
      <c r="O105" s="7" t="s">
        <v>28</v>
      </c>
      <c r="P105" s="7" t="s">
        <v>29</v>
      </c>
      <c r="Q105" s="7" t="s">
        <v>30</v>
      </c>
      <c r="R105" s="7" t="b">
        <v>1</v>
      </c>
      <c r="S105" s="5" t="s">
        <v>118</v>
      </c>
      <c r="T105" s="7" t="s">
        <v>32</v>
      </c>
      <c r="U105" s="7" t="s">
        <v>67</v>
      </c>
      <c r="V105" s="7" t="s">
        <v>68</v>
      </c>
      <c r="W105" s="7" t="s">
        <v>69</v>
      </c>
      <c r="X105" s="9">
        <v>44704.10776731482</v>
      </c>
      <c r="Y105" s="9">
        <v>44733.1133165625</v>
      </c>
    </row>
    <row r="106" ht="15.75" customHeight="1">
      <c r="A106" s="5" t="str">
        <f>HYPERLINK("https://portal.hubmapconsortium.org/browse/sample/f2deaab37fb026044244f2cbfa87d152", "HBM942.QQWW.939")</f>
        <v>HBM942.QQWW.939</v>
      </c>
      <c r="B106" s="6">
        <v>2.0</v>
      </c>
      <c r="C106" s="7" t="s">
        <v>217</v>
      </c>
      <c r="D106" s="8" t="s">
        <v>37</v>
      </c>
      <c r="E106" s="7" t="s">
        <v>44</v>
      </c>
      <c r="F106" s="7" t="s">
        <v>221</v>
      </c>
      <c r="G106" s="7" t="b">
        <v>1</v>
      </c>
      <c r="H106" s="5" t="str">
        <f t="shared" si="16"/>
        <v>HBM559.ZVDB.249</v>
      </c>
      <c r="I106" s="7" t="s">
        <v>233</v>
      </c>
      <c r="J106" s="10" t="s">
        <v>40</v>
      </c>
      <c r="K106" s="10">
        <v>16.0</v>
      </c>
      <c r="N106" s="7" t="s">
        <v>231</v>
      </c>
      <c r="O106" s="7" t="s">
        <v>28</v>
      </c>
      <c r="P106" s="7" t="s">
        <v>29</v>
      </c>
      <c r="Q106" s="7" t="s">
        <v>30</v>
      </c>
      <c r="R106" s="7" t="b">
        <v>1</v>
      </c>
      <c r="S106" s="5" t="s">
        <v>118</v>
      </c>
      <c r="T106" s="7" t="s">
        <v>32</v>
      </c>
      <c r="U106" s="7" t="s">
        <v>67</v>
      </c>
      <c r="V106" s="7" t="s">
        <v>68</v>
      </c>
      <c r="W106" s="7" t="s">
        <v>69</v>
      </c>
      <c r="X106" s="9">
        <v>44704.10776748843</v>
      </c>
      <c r="Y106" s="9">
        <v>44733.10638861111</v>
      </c>
    </row>
    <row r="107" ht="15.75" customHeight="1">
      <c r="A107" s="5" t="str">
        <f>HYPERLINK("https://portal.hubmapconsortium.org/browse/sample/a8f077a9814f91366ed0e1d6c533c60f", "HBM586.NMCP.494")</f>
        <v>HBM586.NMCP.494</v>
      </c>
      <c r="B107" s="6">
        <v>2.0</v>
      </c>
      <c r="C107" s="7" t="s">
        <v>217</v>
      </c>
      <c r="D107" s="8" t="s">
        <v>37</v>
      </c>
      <c r="E107" s="7" t="s">
        <v>44</v>
      </c>
      <c r="F107" s="7" t="s">
        <v>221</v>
      </c>
      <c r="G107" s="5" t="b">
        <v>0</v>
      </c>
      <c r="H107" s="5" t="str">
        <f t="shared" si="16"/>
        <v>HBM559.ZVDB.249</v>
      </c>
      <c r="I107" s="7" t="s">
        <v>234</v>
      </c>
      <c r="K107" s="7">
        <v>16.0</v>
      </c>
      <c r="L107" s="7">
        <v>3.0</v>
      </c>
      <c r="M107" s="7">
        <v>6.0</v>
      </c>
      <c r="N107" s="7" t="s">
        <v>235</v>
      </c>
      <c r="O107" s="7" t="s">
        <v>28</v>
      </c>
      <c r="P107" s="7" t="s">
        <v>29</v>
      </c>
      <c r="Q107" s="7" t="s">
        <v>30</v>
      </c>
      <c r="R107" s="5" t="b">
        <v>0</v>
      </c>
      <c r="S107" s="5" t="s">
        <v>31</v>
      </c>
      <c r="T107" s="7" t="s">
        <v>49</v>
      </c>
      <c r="U107" s="7" t="s">
        <v>50</v>
      </c>
      <c r="V107" s="7" t="s">
        <v>51</v>
      </c>
      <c r="W107" s="7" t="s">
        <v>35</v>
      </c>
      <c r="X107" s="9">
        <v>45819.77820503472</v>
      </c>
      <c r="Y107" s="9">
        <v>45819.77820503472</v>
      </c>
    </row>
    <row r="108" ht="15.75" customHeight="1">
      <c r="A108" s="5" t="str">
        <f>HYPERLINK("https://portal.hubmapconsortium.org/browse/sample/6cb2bc119ca865b8aa05f0e34ed8cc25", "HBM426.MRPF.254")</f>
        <v>HBM426.MRPF.254</v>
      </c>
      <c r="B108" s="6">
        <v>2.0</v>
      </c>
      <c r="C108" s="7" t="s">
        <v>217</v>
      </c>
      <c r="D108" s="8" t="s">
        <v>37</v>
      </c>
      <c r="E108" s="7" t="s">
        <v>44</v>
      </c>
      <c r="F108" s="7" t="s">
        <v>221</v>
      </c>
      <c r="G108" s="5" t="b">
        <v>0</v>
      </c>
      <c r="H108" s="5" t="str">
        <f t="shared" si="16"/>
        <v>HBM559.ZVDB.249</v>
      </c>
      <c r="I108" s="7" t="s">
        <v>236</v>
      </c>
      <c r="K108" s="7">
        <v>16.0</v>
      </c>
      <c r="L108" s="7">
        <v>3.0</v>
      </c>
      <c r="M108" s="7">
        <v>5.0</v>
      </c>
      <c r="N108" s="7" t="s">
        <v>237</v>
      </c>
      <c r="O108" s="7" t="s">
        <v>28</v>
      </c>
      <c r="P108" s="7" t="s">
        <v>29</v>
      </c>
      <c r="Q108" s="7" t="s">
        <v>30</v>
      </c>
      <c r="R108" s="5" t="b">
        <v>0</v>
      </c>
      <c r="S108" s="5" t="s">
        <v>31</v>
      </c>
      <c r="T108" s="7" t="s">
        <v>49</v>
      </c>
      <c r="U108" s="7" t="s">
        <v>50</v>
      </c>
      <c r="V108" s="7" t="s">
        <v>51</v>
      </c>
      <c r="W108" s="7" t="s">
        <v>35</v>
      </c>
      <c r="X108" s="9">
        <v>45848.84182912037</v>
      </c>
      <c r="Y108" s="9">
        <v>45848.84182912037</v>
      </c>
    </row>
    <row r="109" ht="15.75" customHeight="1">
      <c r="A109" s="5" t="str">
        <f>HYPERLINK("https://portal.hubmapconsortium.org/browse/sample/2fb1ec9f76583b47e9b38c5b0e2c1817", "HBM676.KFCH.765")</f>
        <v>HBM676.KFCH.765</v>
      </c>
      <c r="B109" s="6">
        <v>2.0</v>
      </c>
      <c r="C109" s="7" t="s">
        <v>217</v>
      </c>
      <c r="D109" s="8" t="s">
        <v>37</v>
      </c>
      <c r="E109" s="7" t="s">
        <v>44</v>
      </c>
      <c r="F109" s="7" t="s">
        <v>221</v>
      </c>
      <c r="G109" s="5" t="b">
        <v>0</v>
      </c>
      <c r="H109" s="5" t="str">
        <f t="shared" si="16"/>
        <v>HBM559.ZVDB.249</v>
      </c>
      <c r="I109" s="7" t="s">
        <v>238</v>
      </c>
      <c r="K109" s="7">
        <v>16.0</v>
      </c>
      <c r="L109" s="7">
        <v>3.0</v>
      </c>
      <c r="M109" s="7">
        <v>4.0</v>
      </c>
      <c r="N109" s="7" t="s">
        <v>237</v>
      </c>
      <c r="O109" s="7" t="s">
        <v>28</v>
      </c>
      <c r="P109" s="7" t="s">
        <v>29</v>
      </c>
      <c r="Q109" s="7" t="s">
        <v>30</v>
      </c>
      <c r="R109" s="5" t="b">
        <v>0</v>
      </c>
      <c r="S109" s="5" t="s">
        <v>31</v>
      </c>
      <c r="T109" s="7" t="s">
        <v>49</v>
      </c>
      <c r="U109" s="7" t="s">
        <v>50</v>
      </c>
      <c r="V109" s="7" t="s">
        <v>51</v>
      </c>
      <c r="W109" s="7" t="s">
        <v>35</v>
      </c>
      <c r="X109" s="9">
        <v>45848.84186614583</v>
      </c>
      <c r="Y109" s="9">
        <v>45848.84186614583</v>
      </c>
    </row>
    <row r="110" ht="15.75" customHeight="1">
      <c r="A110" s="5" t="str">
        <f>HYPERLINK("https://portal.hubmapconsortium.org/browse/sample/248b0fd5d87bdd9368ef0a398a5ebb70", "HBM998.VHPF.947")</f>
        <v>HBM998.VHPF.947</v>
      </c>
      <c r="B110" s="6">
        <v>2.0</v>
      </c>
      <c r="C110" s="7" t="s">
        <v>217</v>
      </c>
      <c r="D110" s="8" t="s">
        <v>37</v>
      </c>
      <c r="E110" s="7" t="s">
        <v>44</v>
      </c>
      <c r="F110" s="7" t="s">
        <v>221</v>
      </c>
      <c r="G110" s="7" t="b">
        <v>1</v>
      </c>
      <c r="H110" s="5" t="str">
        <f t="shared" si="16"/>
        <v>HBM559.ZVDB.249</v>
      </c>
      <c r="I110" s="7" t="s">
        <v>239</v>
      </c>
      <c r="J110" s="10" t="s">
        <v>40</v>
      </c>
      <c r="K110" s="10">
        <v>16.0</v>
      </c>
      <c r="N110" s="7" t="s">
        <v>231</v>
      </c>
      <c r="O110" s="7" t="s">
        <v>28</v>
      </c>
      <c r="P110" s="7" t="s">
        <v>29</v>
      </c>
      <c r="Q110" s="7" t="s">
        <v>30</v>
      </c>
      <c r="R110" s="7" t="b">
        <v>1</v>
      </c>
      <c r="S110" s="5" t="s">
        <v>118</v>
      </c>
      <c r="T110" s="7" t="s">
        <v>32</v>
      </c>
      <c r="U110" s="7" t="s">
        <v>67</v>
      </c>
      <c r="V110" s="7" t="s">
        <v>68</v>
      </c>
      <c r="W110" s="7" t="s">
        <v>69</v>
      </c>
      <c r="X110" s="9">
        <v>44704.10776767361</v>
      </c>
      <c r="Y110" s="9">
        <v>44733.11943174768</v>
      </c>
    </row>
    <row r="111" ht="15.75" customHeight="1">
      <c r="A111" s="5" t="str">
        <f>HYPERLINK("https://portal.hubmapconsortium.org/browse/sample/712112593e7dc4f80389c38c6ec0a4a3", "HBM892.JLHP.899")</f>
        <v>HBM892.JLHP.899</v>
      </c>
      <c r="B111" s="6">
        <v>2.0</v>
      </c>
      <c r="C111" s="7" t="s">
        <v>217</v>
      </c>
      <c r="D111" s="8" t="s">
        <v>37</v>
      </c>
      <c r="E111" s="7" t="s">
        <v>44</v>
      </c>
      <c r="F111" s="7" t="s">
        <v>221</v>
      </c>
      <c r="G111" s="7" t="b">
        <v>1</v>
      </c>
      <c r="H111" s="5" t="str">
        <f t="shared" si="16"/>
        <v>HBM559.ZVDB.249</v>
      </c>
      <c r="I111" s="7" t="s">
        <v>240</v>
      </c>
      <c r="J111" s="10" t="s">
        <v>40</v>
      </c>
      <c r="K111" s="10">
        <v>16.0</v>
      </c>
      <c r="N111" s="7" t="s">
        <v>231</v>
      </c>
      <c r="O111" s="7" t="s">
        <v>28</v>
      </c>
      <c r="P111" s="7" t="s">
        <v>29</v>
      </c>
      <c r="Q111" s="7" t="s">
        <v>30</v>
      </c>
      <c r="R111" s="7" t="b">
        <v>1</v>
      </c>
      <c r="S111" s="5" t="s">
        <v>118</v>
      </c>
      <c r="T111" s="7" t="s">
        <v>32</v>
      </c>
      <c r="U111" s="7" t="s">
        <v>67</v>
      </c>
      <c r="V111" s="7" t="s">
        <v>68</v>
      </c>
      <c r="W111" s="7" t="s">
        <v>69</v>
      </c>
      <c r="X111" s="9">
        <v>44704.10776784722</v>
      </c>
      <c r="Y111" s="9">
        <v>44733.13135949074</v>
      </c>
    </row>
    <row r="112" ht="15.75" customHeight="1">
      <c r="A112" s="5" t="str">
        <f>HYPERLINK("https://portal.hubmapconsortium.org/browse/sample/fca90c1aae343dab921575f3f40d9792", "HBM485.MFVF.256")</f>
        <v>HBM485.MFVF.256</v>
      </c>
      <c r="B112" s="6">
        <v>2.0</v>
      </c>
      <c r="C112" s="7" t="s">
        <v>217</v>
      </c>
      <c r="D112" s="8" t="s">
        <v>37</v>
      </c>
      <c r="E112" s="7" t="s">
        <v>44</v>
      </c>
      <c r="F112" s="7" t="s">
        <v>221</v>
      </c>
      <c r="G112" s="7" t="b">
        <v>1</v>
      </c>
      <c r="H112" s="5" t="str">
        <f t="shared" si="16"/>
        <v>HBM559.ZVDB.249</v>
      </c>
      <c r="I112" s="7" t="s">
        <v>241</v>
      </c>
      <c r="J112" s="10" t="s">
        <v>40</v>
      </c>
      <c r="K112" s="10">
        <v>16.0</v>
      </c>
      <c r="N112" s="7" t="s">
        <v>231</v>
      </c>
      <c r="O112" s="7" t="s">
        <v>28</v>
      </c>
      <c r="P112" s="7" t="s">
        <v>29</v>
      </c>
      <c r="Q112" s="7" t="s">
        <v>30</v>
      </c>
      <c r="R112" s="7" t="b">
        <v>1</v>
      </c>
      <c r="S112" s="5" t="s">
        <v>118</v>
      </c>
      <c r="T112" s="7" t="s">
        <v>32</v>
      </c>
      <c r="U112" s="7" t="s">
        <v>67</v>
      </c>
      <c r="V112" s="7" t="s">
        <v>68</v>
      </c>
      <c r="W112" s="7" t="s">
        <v>69</v>
      </c>
      <c r="X112" s="9">
        <v>44704.10776802083</v>
      </c>
      <c r="Y112" s="9">
        <v>44733.13916046296</v>
      </c>
    </row>
    <row r="113" ht="15.75" customHeight="1">
      <c r="A113" s="5" t="str">
        <f>HYPERLINK("https://portal.hubmapconsortium.org/browse/sample/baf46ce2b786c8e0bcd223db27d3bd09", "HBM694.DRBP.844")</f>
        <v>HBM694.DRBP.844</v>
      </c>
      <c r="B113" s="6">
        <v>3.0</v>
      </c>
      <c r="C113" s="7" t="s">
        <v>242</v>
      </c>
      <c r="D113" s="8" t="s">
        <v>25</v>
      </c>
      <c r="E113" s="7" t="s">
        <v>44</v>
      </c>
      <c r="F113" s="7" t="s">
        <v>243</v>
      </c>
      <c r="G113" s="5" t="b">
        <v>0</v>
      </c>
      <c r="H113" s="5" t="str">
        <f>HYPERLINK("https://portal.hubmapconsortium.org/browse/sample/9ea8bdc2c660a0da9d944e0b2da6b237", "HBM749.ZWMQ.359")</f>
        <v>HBM749.ZWMQ.359</v>
      </c>
      <c r="I113" s="7" t="s">
        <v>244</v>
      </c>
      <c r="K113" s="7">
        <v>28.0</v>
      </c>
      <c r="L113" s="7">
        <v>6.0</v>
      </c>
      <c r="M113" s="7">
        <v>8.0</v>
      </c>
      <c r="N113" s="7" t="s">
        <v>245</v>
      </c>
      <c r="O113" s="7" t="s">
        <v>28</v>
      </c>
      <c r="P113" s="7" t="s">
        <v>29</v>
      </c>
      <c r="Q113" s="7" t="s">
        <v>30</v>
      </c>
      <c r="R113" s="5" t="b">
        <v>0</v>
      </c>
      <c r="S113" s="5" t="s">
        <v>31</v>
      </c>
      <c r="T113" s="7" t="s">
        <v>32</v>
      </c>
      <c r="U113" s="7" t="s">
        <v>50</v>
      </c>
      <c r="V113" s="7" t="s">
        <v>51</v>
      </c>
      <c r="W113" s="7" t="s">
        <v>35</v>
      </c>
      <c r="X113" s="9">
        <v>45602.6608978125</v>
      </c>
      <c r="Y113" s="9">
        <v>45602.6608978125</v>
      </c>
    </row>
    <row r="114" ht="15.75" customHeight="1">
      <c r="A114" s="11" t="str">
        <f>HYPERLINK("https://portal.hubmapconsortium.org/browse/sample/c33eb59c346f2263bee337cb1551e678", "HBM876.STLF.442")</f>
        <v>HBM876.STLF.442</v>
      </c>
      <c r="B114" s="12"/>
      <c r="C114" s="13" t="s">
        <v>246</v>
      </c>
      <c r="D114" s="12" t="s">
        <v>25</v>
      </c>
      <c r="E114" s="7" t="s">
        <v>44</v>
      </c>
      <c r="F114" s="13" t="s">
        <v>247</v>
      </c>
      <c r="G114" s="11" t="b">
        <v>0</v>
      </c>
      <c r="H114" s="11" t="str">
        <f>HYPERLINK("https://portal.hubmapconsortium.org/browse/sample/3c3158470b8f6dedc828cbcf1d0c20df", "HBM665.TTZV.976")</f>
        <v>HBM665.TTZV.976</v>
      </c>
      <c r="I114" s="13" t="s">
        <v>248</v>
      </c>
      <c r="J114" s="13"/>
      <c r="K114" s="13" t="s">
        <v>47</v>
      </c>
      <c r="L114" s="13"/>
      <c r="M114" s="13"/>
      <c r="N114" s="13" t="s">
        <v>249</v>
      </c>
      <c r="O114" s="13" t="s">
        <v>28</v>
      </c>
      <c r="P114" s="13" t="s">
        <v>29</v>
      </c>
      <c r="Q114" s="13" t="s">
        <v>30</v>
      </c>
      <c r="R114" s="11" t="b">
        <v>0</v>
      </c>
      <c r="S114" s="11" t="s">
        <v>31</v>
      </c>
      <c r="T114" s="13" t="s">
        <v>49</v>
      </c>
      <c r="U114" s="13" t="s">
        <v>50</v>
      </c>
      <c r="V114" s="13" t="s">
        <v>51</v>
      </c>
      <c r="W114" s="13" t="s">
        <v>35</v>
      </c>
      <c r="X114" s="14">
        <v>45819.7782456713</v>
      </c>
      <c r="Y114" s="14">
        <v>45819.7782456713</v>
      </c>
      <c r="Z114" s="13"/>
      <c r="AA114" s="13"/>
    </row>
    <row r="115" ht="15.75" customHeight="1">
      <c r="A115" s="5" t="str">
        <f>HYPERLINK("https://portal.hubmapconsortium.org/browse/sample/df429f48328d5757f91ceba15d0d6174", "HBM665.HXJB.578")</f>
        <v>HBM665.HXJB.578</v>
      </c>
      <c r="B115" s="6">
        <v>3.0</v>
      </c>
      <c r="C115" s="7" t="s">
        <v>246</v>
      </c>
      <c r="D115" s="8" t="s">
        <v>25</v>
      </c>
      <c r="E115" s="7" t="s">
        <v>44</v>
      </c>
      <c r="F115" s="7" t="s">
        <v>250</v>
      </c>
      <c r="G115" s="5" t="b">
        <v>0</v>
      </c>
      <c r="H115" s="5" t="str">
        <f t="shared" ref="H115:H130" si="17">HYPERLINK("https://portal.hubmapconsortium.org/browse/sample/647bb669b1302c49cada4274553543e1", "HBM436.JQXP.677")</f>
        <v>HBM436.JQXP.677</v>
      </c>
      <c r="I115" s="24" t="s">
        <v>251</v>
      </c>
      <c r="J115" s="24"/>
      <c r="K115" s="7">
        <v>24.0</v>
      </c>
      <c r="L115" s="7">
        <v>4.0</v>
      </c>
      <c r="M115" s="7">
        <v>5.0</v>
      </c>
      <c r="N115" s="7" t="s">
        <v>252</v>
      </c>
      <c r="O115" s="7" t="s">
        <v>28</v>
      </c>
      <c r="P115" s="7" t="s">
        <v>29</v>
      </c>
      <c r="Q115" s="7" t="s">
        <v>30</v>
      </c>
      <c r="R115" s="5" t="b">
        <v>0</v>
      </c>
      <c r="S115" s="5" t="s">
        <v>131</v>
      </c>
      <c r="T115" s="7" t="s">
        <v>49</v>
      </c>
      <c r="U115" s="7" t="s">
        <v>50</v>
      </c>
      <c r="V115" s="7" t="s">
        <v>51</v>
      </c>
      <c r="W115" s="7" t="s">
        <v>35</v>
      </c>
      <c r="X115" s="9">
        <v>45714.92371394676</v>
      </c>
      <c r="Y115" s="9">
        <v>45714.92371394676</v>
      </c>
    </row>
    <row r="116" ht="15.75" customHeight="1">
      <c r="A116" s="5" t="str">
        <f>HYPERLINK("https://portal.hubmapconsortium.org/browse/sample/80442e949d5df4cbc0e5b320e215859a", "HBM652.HRCV.999")</f>
        <v>HBM652.HRCV.999</v>
      </c>
      <c r="B116" s="6">
        <v>3.0</v>
      </c>
      <c r="C116" s="7" t="s">
        <v>246</v>
      </c>
      <c r="D116" s="8" t="s">
        <v>25</v>
      </c>
      <c r="E116" s="7" t="s">
        <v>44</v>
      </c>
      <c r="F116" s="7" t="s">
        <v>250</v>
      </c>
      <c r="G116" s="5" t="b">
        <v>0</v>
      </c>
      <c r="H116" s="5" t="str">
        <f t="shared" si="17"/>
        <v>HBM436.JQXP.677</v>
      </c>
      <c r="I116" s="7" t="s">
        <v>253</v>
      </c>
      <c r="K116" s="7">
        <v>24.0</v>
      </c>
      <c r="L116" s="7">
        <v>4.0</v>
      </c>
      <c r="M116" s="7">
        <v>3.0</v>
      </c>
      <c r="N116" s="7" t="s">
        <v>254</v>
      </c>
      <c r="O116" s="7" t="s">
        <v>28</v>
      </c>
      <c r="P116" s="7" t="s">
        <v>29</v>
      </c>
      <c r="Q116" s="7" t="s">
        <v>30</v>
      </c>
      <c r="R116" s="5" t="b">
        <v>0</v>
      </c>
      <c r="S116" s="5" t="s">
        <v>31</v>
      </c>
      <c r="T116" s="7" t="s">
        <v>49</v>
      </c>
      <c r="U116" s="7" t="s">
        <v>33</v>
      </c>
      <c r="V116" s="7" t="s">
        <v>34</v>
      </c>
      <c r="W116" s="7" t="s">
        <v>35</v>
      </c>
      <c r="X116" s="9">
        <v>45852.783345625</v>
      </c>
      <c r="Y116" s="9">
        <v>45852.783345625</v>
      </c>
    </row>
    <row r="117" ht="15.75" customHeight="1">
      <c r="A117" s="5" t="str">
        <f>HYPERLINK("https://portal.hubmapconsortium.org/browse/sample/fc7cf76a2ff6bbfbb765ce2da6feaa66", "HBM299.QWHQ.472")</f>
        <v>HBM299.QWHQ.472</v>
      </c>
      <c r="B117" s="6">
        <v>3.0</v>
      </c>
      <c r="C117" s="7" t="s">
        <v>246</v>
      </c>
      <c r="D117" s="8" t="s">
        <v>25</v>
      </c>
      <c r="E117" s="7" t="s">
        <v>44</v>
      </c>
      <c r="F117" s="7" t="s">
        <v>250</v>
      </c>
      <c r="G117" s="5" t="b">
        <v>0</v>
      </c>
      <c r="H117" s="5" t="str">
        <f t="shared" si="17"/>
        <v>HBM436.JQXP.677</v>
      </c>
      <c r="I117" s="7" t="s">
        <v>255</v>
      </c>
      <c r="K117" s="7">
        <v>24.0</v>
      </c>
      <c r="L117" s="7">
        <v>4.0</v>
      </c>
      <c r="M117" s="7">
        <v>4.0</v>
      </c>
      <c r="N117" s="7" t="s">
        <v>256</v>
      </c>
      <c r="O117" s="7" t="s">
        <v>28</v>
      </c>
      <c r="P117" s="7" t="s">
        <v>29</v>
      </c>
      <c r="Q117" s="7" t="s">
        <v>30</v>
      </c>
      <c r="R117" s="5" t="b">
        <v>0</v>
      </c>
      <c r="S117" s="5" t="s">
        <v>31</v>
      </c>
      <c r="T117" s="7" t="s">
        <v>49</v>
      </c>
      <c r="U117" s="7" t="s">
        <v>50</v>
      </c>
      <c r="V117" s="7" t="s">
        <v>51</v>
      </c>
      <c r="W117" s="7" t="s">
        <v>35</v>
      </c>
      <c r="X117" s="9">
        <v>45848.84190204861</v>
      </c>
      <c r="Y117" s="9">
        <v>45848.84190204861</v>
      </c>
    </row>
    <row r="118" ht="15.75" customHeight="1">
      <c r="A118" s="5" t="str">
        <f>HYPERLINK("https://portal.hubmapconsortium.org/browse/sample/c48fe2fa73216fe1056fd8c78e3c7990", "HBM897.KTHH.426")</f>
        <v>HBM897.KTHH.426</v>
      </c>
      <c r="B118" s="6">
        <v>3.0</v>
      </c>
      <c r="C118" s="7" t="s">
        <v>246</v>
      </c>
      <c r="D118" s="8" t="s">
        <v>25</v>
      </c>
      <c r="E118" s="7" t="s">
        <v>44</v>
      </c>
      <c r="F118" s="7" t="s">
        <v>250</v>
      </c>
      <c r="G118" s="5" t="b">
        <v>0</v>
      </c>
      <c r="H118" s="5" t="str">
        <f t="shared" si="17"/>
        <v>HBM436.JQXP.677</v>
      </c>
      <c r="I118" s="7" t="s">
        <v>257</v>
      </c>
      <c r="K118" s="7">
        <v>24.0</v>
      </c>
      <c r="L118" s="7">
        <v>4.0</v>
      </c>
      <c r="M118" s="7">
        <v>6.0</v>
      </c>
      <c r="N118" s="7" t="s">
        <v>256</v>
      </c>
      <c r="O118" s="7" t="s">
        <v>28</v>
      </c>
      <c r="P118" s="7" t="s">
        <v>29</v>
      </c>
      <c r="Q118" s="7" t="s">
        <v>30</v>
      </c>
      <c r="R118" s="5" t="b">
        <v>0</v>
      </c>
      <c r="S118" s="5" t="s">
        <v>31</v>
      </c>
      <c r="T118" s="7" t="s">
        <v>49</v>
      </c>
      <c r="U118" s="7" t="s">
        <v>50</v>
      </c>
      <c r="V118" s="7" t="s">
        <v>51</v>
      </c>
      <c r="W118" s="7" t="s">
        <v>35</v>
      </c>
      <c r="X118" s="9">
        <v>45848.84195767361</v>
      </c>
      <c r="Y118" s="9">
        <v>45848.84195767361</v>
      </c>
    </row>
    <row r="119" ht="15.75" customHeight="1">
      <c r="A119" s="5" t="str">
        <f>HYPERLINK("https://portal.hubmapconsortium.org/browse/sample/02321c10cd0b2a2114cebcfe3fd21abb", "HBM472.CNKX.263")</f>
        <v>HBM472.CNKX.263</v>
      </c>
      <c r="B119" s="6">
        <v>3.0</v>
      </c>
      <c r="C119" s="7" t="s">
        <v>246</v>
      </c>
      <c r="D119" s="8" t="s">
        <v>25</v>
      </c>
      <c r="E119" s="7" t="s">
        <v>44</v>
      </c>
      <c r="F119" s="7" t="s">
        <v>250</v>
      </c>
      <c r="G119" s="5" t="b">
        <v>0</v>
      </c>
      <c r="H119" s="5" t="str">
        <f t="shared" si="17"/>
        <v>HBM436.JQXP.677</v>
      </c>
      <c r="I119" s="7" t="s">
        <v>258</v>
      </c>
      <c r="K119" s="7">
        <v>24.0</v>
      </c>
      <c r="L119" s="7">
        <v>4.0</v>
      </c>
      <c r="M119" s="7">
        <v>3.0</v>
      </c>
      <c r="N119" s="7" t="s">
        <v>259</v>
      </c>
      <c r="O119" s="7" t="s">
        <v>28</v>
      </c>
      <c r="P119" s="7" t="s">
        <v>29</v>
      </c>
      <c r="Q119" s="7" t="s">
        <v>30</v>
      </c>
      <c r="R119" s="5" t="b">
        <v>0</v>
      </c>
      <c r="S119" s="5" t="s">
        <v>31</v>
      </c>
      <c r="T119" s="7" t="s">
        <v>49</v>
      </c>
      <c r="U119" s="7" t="s">
        <v>50</v>
      </c>
      <c r="V119" s="7" t="s">
        <v>51</v>
      </c>
      <c r="W119" s="7" t="s">
        <v>35</v>
      </c>
      <c r="X119" s="9">
        <v>45819.77830835648</v>
      </c>
      <c r="Y119" s="9">
        <v>45819.77830835648</v>
      </c>
    </row>
    <row r="120" ht="15.75" customHeight="1">
      <c r="A120" s="5" t="str">
        <f>HYPERLINK("https://portal.hubmapconsortium.org/browse/sample/9ef7a44afb46c66de70a0e6c7d5412bc", "HBM924.LKTD.778")</f>
        <v>HBM924.LKTD.778</v>
      </c>
      <c r="B120" s="6">
        <v>3.0</v>
      </c>
      <c r="C120" s="7" t="s">
        <v>246</v>
      </c>
      <c r="D120" s="8" t="s">
        <v>25</v>
      </c>
      <c r="E120" s="7" t="s">
        <v>44</v>
      </c>
      <c r="F120" s="7" t="s">
        <v>250</v>
      </c>
      <c r="G120" s="5" t="b">
        <v>0</v>
      </c>
      <c r="H120" s="5" t="str">
        <f t="shared" si="17"/>
        <v>HBM436.JQXP.677</v>
      </c>
      <c r="I120" s="7" t="s">
        <v>260</v>
      </c>
      <c r="K120" s="7">
        <v>24.0</v>
      </c>
      <c r="L120" s="7">
        <v>5.0</v>
      </c>
      <c r="M120" s="7">
        <v>8.0</v>
      </c>
      <c r="N120" s="7" t="s">
        <v>256</v>
      </c>
      <c r="O120" s="7" t="s">
        <v>28</v>
      </c>
      <c r="P120" s="7" t="s">
        <v>29</v>
      </c>
      <c r="Q120" s="7" t="s">
        <v>30</v>
      </c>
      <c r="R120" s="5" t="b">
        <v>0</v>
      </c>
      <c r="S120" s="5" t="s">
        <v>31</v>
      </c>
      <c r="T120" s="7" t="s">
        <v>49</v>
      </c>
      <c r="U120" s="7" t="s">
        <v>50</v>
      </c>
      <c r="V120" s="7" t="s">
        <v>51</v>
      </c>
      <c r="W120" s="7" t="s">
        <v>35</v>
      </c>
      <c r="X120" s="9">
        <v>45848.84197170139</v>
      </c>
      <c r="Y120" s="9">
        <v>45848.84197170139</v>
      </c>
    </row>
    <row r="121" ht="15.75" customHeight="1">
      <c r="A121" s="5" t="str">
        <f>HYPERLINK("https://portal.hubmapconsortium.org/browse/sample/e6781b12194bb4fbf5c3cff824751175", "HBM965.ZLXX.544")</f>
        <v>HBM965.ZLXX.544</v>
      </c>
      <c r="B121" s="6">
        <v>3.0</v>
      </c>
      <c r="C121" s="7" t="s">
        <v>246</v>
      </c>
      <c r="D121" s="8" t="s">
        <v>25</v>
      </c>
      <c r="E121" s="7" t="s">
        <v>44</v>
      </c>
      <c r="F121" s="7" t="s">
        <v>250</v>
      </c>
      <c r="G121" s="5" t="b">
        <v>0</v>
      </c>
      <c r="H121" s="5" t="str">
        <f t="shared" si="17"/>
        <v>HBM436.JQXP.677</v>
      </c>
      <c r="I121" s="7" t="s">
        <v>261</v>
      </c>
      <c r="K121" s="7">
        <v>24.0</v>
      </c>
      <c r="L121" s="7">
        <v>4.0</v>
      </c>
      <c r="M121" s="7">
        <v>5.0</v>
      </c>
      <c r="N121" s="7" t="s">
        <v>262</v>
      </c>
      <c r="O121" s="7" t="s">
        <v>28</v>
      </c>
      <c r="P121" s="7" t="s">
        <v>29</v>
      </c>
      <c r="Q121" s="7" t="s">
        <v>30</v>
      </c>
      <c r="R121" s="5" t="b">
        <v>0</v>
      </c>
      <c r="S121" s="5" t="s">
        <v>31</v>
      </c>
      <c r="T121" s="7" t="s">
        <v>32</v>
      </c>
      <c r="U121" s="7" t="s">
        <v>50</v>
      </c>
      <c r="V121" s="7" t="s">
        <v>51</v>
      </c>
      <c r="W121" s="7" t="s">
        <v>35</v>
      </c>
      <c r="X121" s="9">
        <v>45741.6229990162</v>
      </c>
      <c r="Y121" s="9">
        <v>45741.6229990162</v>
      </c>
    </row>
    <row r="122" ht="15.75" customHeight="1">
      <c r="A122" s="5" t="str">
        <f>HYPERLINK("https://portal.hubmapconsortium.org/browse/sample/24508263d68acf455b7c279e03bcedbb", "HBM296.LBCM.745")</f>
        <v>HBM296.LBCM.745</v>
      </c>
      <c r="B122" s="6">
        <v>3.0</v>
      </c>
      <c r="C122" s="7" t="s">
        <v>246</v>
      </c>
      <c r="D122" s="8" t="s">
        <v>25</v>
      </c>
      <c r="E122" s="7" t="s">
        <v>44</v>
      </c>
      <c r="F122" s="7" t="s">
        <v>250</v>
      </c>
      <c r="G122" s="5" t="b">
        <v>0</v>
      </c>
      <c r="H122" s="5" t="str">
        <f t="shared" si="17"/>
        <v>HBM436.JQXP.677</v>
      </c>
      <c r="I122" s="7" t="s">
        <v>263</v>
      </c>
      <c r="K122" s="7">
        <v>24.0</v>
      </c>
      <c r="L122" s="7">
        <v>6.0</v>
      </c>
      <c r="M122" s="7">
        <v>6.0</v>
      </c>
      <c r="N122" s="7" t="s">
        <v>264</v>
      </c>
      <c r="O122" s="7" t="s">
        <v>28</v>
      </c>
      <c r="P122" s="7" t="s">
        <v>29</v>
      </c>
      <c r="Q122" s="7" t="s">
        <v>30</v>
      </c>
      <c r="R122" s="5" t="b">
        <v>0</v>
      </c>
      <c r="S122" s="5" t="s">
        <v>31</v>
      </c>
      <c r="T122" s="7" t="s">
        <v>32</v>
      </c>
      <c r="U122" s="7" t="s">
        <v>50</v>
      </c>
      <c r="V122" s="7" t="s">
        <v>51</v>
      </c>
      <c r="W122" s="7" t="s">
        <v>35</v>
      </c>
      <c r="X122" s="9">
        <v>45722.8911046875</v>
      </c>
      <c r="Y122" s="9">
        <v>45722.90410152778</v>
      </c>
    </row>
    <row r="123" ht="15.75" customHeight="1">
      <c r="A123" s="5" t="str">
        <f>HYPERLINK("https://portal.hubmapconsortium.org/browse/sample/b13245e551fa45a24b170ac11b01a264", "HBM695.BKXQ.562")</f>
        <v>HBM695.BKXQ.562</v>
      </c>
      <c r="B123" s="6">
        <v>3.0</v>
      </c>
      <c r="C123" s="7" t="s">
        <v>246</v>
      </c>
      <c r="D123" s="8" t="s">
        <v>25</v>
      </c>
      <c r="E123" s="7" t="s">
        <v>44</v>
      </c>
      <c r="F123" s="7" t="s">
        <v>250</v>
      </c>
      <c r="G123" s="7" t="b">
        <v>1</v>
      </c>
      <c r="H123" s="5" t="str">
        <f t="shared" si="17"/>
        <v>HBM436.JQXP.677</v>
      </c>
      <c r="I123" s="7" t="s">
        <v>265</v>
      </c>
      <c r="J123" s="10" t="s">
        <v>40</v>
      </c>
      <c r="K123" s="10">
        <v>17.0</v>
      </c>
      <c r="N123" s="7" t="s">
        <v>266</v>
      </c>
      <c r="O123" s="7" t="s">
        <v>28</v>
      </c>
      <c r="P123" s="7" t="s">
        <v>29</v>
      </c>
      <c r="Q123" s="7" t="s">
        <v>30</v>
      </c>
      <c r="R123" s="7" t="b">
        <v>1</v>
      </c>
      <c r="S123" s="5" t="s">
        <v>118</v>
      </c>
      <c r="T123" s="7" t="s">
        <v>32</v>
      </c>
      <c r="U123" s="7" t="s">
        <v>67</v>
      </c>
      <c r="V123" s="7" t="s">
        <v>68</v>
      </c>
      <c r="W123" s="7" t="s">
        <v>69</v>
      </c>
      <c r="X123" s="9">
        <v>44704.12808844908</v>
      </c>
      <c r="Y123" s="9">
        <v>44733.14889327547</v>
      </c>
    </row>
    <row r="124" ht="15.75" customHeight="1">
      <c r="A124" s="5" t="str">
        <f>HYPERLINK("https://portal.hubmapconsortium.org/browse/sample/7ab3d70585473e79dc516dbebadd84b1", "HBM996.XSFS.465")</f>
        <v>HBM996.XSFS.465</v>
      </c>
      <c r="B124" s="6">
        <v>3.0</v>
      </c>
      <c r="C124" s="7" t="s">
        <v>246</v>
      </c>
      <c r="D124" s="8" t="s">
        <v>25</v>
      </c>
      <c r="E124" s="7" t="s">
        <v>44</v>
      </c>
      <c r="F124" s="7" t="s">
        <v>250</v>
      </c>
      <c r="G124" s="7" t="b">
        <v>1</v>
      </c>
      <c r="H124" s="5" t="str">
        <f t="shared" si="17"/>
        <v>HBM436.JQXP.677</v>
      </c>
      <c r="I124" s="7" t="s">
        <v>267</v>
      </c>
      <c r="J124" s="10" t="s">
        <v>40</v>
      </c>
      <c r="K124" s="10">
        <v>17.0</v>
      </c>
      <c r="N124" s="7" t="s">
        <v>266</v>
      </c>
      <c r="O124" s="7" t="s">
        <v>28</v>
      </c>
      <c r="P124" s="7" t="s">
        <v>29</v>
      </c>
      <c r="Q124" s="7" t="s">
        <v>30</v>
      </c>
      <c r="R124" s="7" t="b">
        <v>1</v>
      </c>
      <c r="S124" s="5" t="s">
        <v>118</v>
      </c>
      <c r="T124" s="7" t="s">
        <v>32</v>
      </c>
      <c r="U124" s="7" t="s">
        <v>67</v>
      </c>
      <c r="V124" s="7" t="s">
        <v>68</v>
      </c>
      <c r="W124" s="7" t="s">
        <v>69</v>
      </c>
      <c r="X124" s="9">
        <v>44704.12808883102</v>
      </c>
      <c r="Y124" s="9">
        <v>44733.15843890046</v>
      </c>
    </row>
    <row r="125" ht="15.75" customHeight="1">
      <c r="A125" s="5" t="str">
        <f>HYPERLINK("https://portal.hubmapconsortium.org/browse/sample/6c2467c12e995a5f06596a2e142be852", "HBM469.DTGT.527")</f>
        <v>HBM469.DTGT.527</v>
      </c>
      <c r="B125" s="6">
        <v>3.0</v>
      </c>
      <c r="C125" s="7" t="s">
        <v>246</v>
      </c>
      <c r="D125" s="8" t="s">
        <v>25</v>
      </c>
      <c r="E125" s="7" t="s">
        <v>44</v>
      </c>
      <c r="F125" s="7" t="s">
        <v>250</v>
      </c>
      <c r="G125" s="5" t="b">
        <v>0</v>
      </c>
      <c r="H125" s="5" t="str">
        <f t="shared" si="17"/>
        <v>HBM436.JQXP.677</v>
      </c>
      <c r="I125" s="7" t="s">
        <v>268</v>
      </c>
      <c r="K125" s="7">
        <v>17.0</v>
      </c>
      <c r="L125" s="7">
        <v>4.0</v>
      </c>
      <c r="M125" s="7">
        <v>4.0</v>
      </c>
      <c r="N125" s="7" t="s">
        <v>269</v>
      </c>
      <c r="O125" s="7" t="s">
        <v>28</v>
      </c>
      <c r="P125" s="7" t="s">
        <v>29</v>
      </c>
      <c r="Q125" s="7" t="s">
        <v>30</v>
      </c>
      <c r="R125" s="5" t="b">
        <v>0</v>
      </c>
      <c r="S125" s="5" t="s">
        <v>31</v>
      </c>
      <c r="T125" s="7" t="s">
        <v>49</v>
      </c>
      <c r="U125" s="7" t="s">
        <v>50</v>
      </c>
      <c r="V125" s="7" t="s">
        <v>51</v>
      </c>
      <c r="W125" s="7" t="s">
        <v>35</v>
      </c>
      <c r="X125" s="9">
        <v>45819.7783612037</v>
      </c>
      <c r="Y125" s="9">
        <v>45819.7783612037</v>
      </c>
    </row>
    <row r="126" ht="15.75" customHeight="1">
      <c r="A126" s="5" t="str">
        <f>HYPERLINK("https://portal.hubmapconsortium.org/browse/sample/4f787d60fcafbcf789949d7ad3edf6f5", "HBM758.JFTQ.243")</f>
        <v>HBM758.JFTQ.243</v>
      </c>
      <c r="B126" s="6">
        <v>3.0</v>
      </c>
      <c r="C126" s="7" t="s">
        <v>246</v>
      </c>
      <c r="D126" s="8" t="s">
        <v>25</v>
      </c>
      <c r="E126" s="7" t="s">
        <v>44</v>
      </c>
      <c r="F126" s="7" t="s">
        <v>250</v>
      </c>
      <c r="G126" s="5" t="b">
        <v>0</v>
      </c>
      <c r="H126" s="5" t="str">
        <f t="shared" si="17"/>
        <v>HBM436.JQXP.677</v>
      </c>
      <c r="I126" s="7" t="s">
        <v>270</v>
      </c>
      <c r="K126" s="7">
        <v>17.0</v>
      </c>
      <c r="L126" s="7">
        <v>4.0</v>
      </c>
      <c r="M126" s="7">
        <v>6.0</v>
      </c>
      <c r="N126" s="7" t="s">
        <v>271</v>
      </c>
      <c r="O126" s="7" t="s">
        <v>28</v>
      </c>
      <c r="P126" s="7" t="s">
        <v>29</v>
      </c>
      <c r="Q126" s="7" t="s">
        <v>30</v>
      </c>
      <c r="R126" s="5" t="b">
        <v>0</v>
      </c>
      <c r="S126" s="5" t="s">
        <v>31</v>
      </c>
      <c r="T126" s="7" t="s">
        <v>49</v>
      </c>
      <c r="U126" s="7" t="s">
        <v>50</v>
      </c>
      <c r="V126" s="7" t="s">
        <v>51</v>
      </c>
      <c r="W126" s="7" t="s">
        <v>35</v>
      </c>
      <c r="X126" s="9">
        <v>45848.84199895833</v>
      </c>
      <c r="Y126" s="9">
        <v>45848.84199895833</v>
      </c>
    </row>
    <row r="127" ht="15.75" customHeight="1">
      <c r="A127" s="5" t="str">
        <f>HYPERLINK("https://portal.hubmapconsortium.org/browse/sample/e918d7e723b6ed9a2a5666f765db6560", "HBM466.MHPZ.936")</f>
        <v>HBM466.MHPZ.936</v>
      </c>
      <c r="B127" s="6">
        <v>3.0</v>
      </c>
      <c r="C127" s="7" t="s">
        <v>246</v>
      </c>
      <c r="D127" s="8" t="s">
        <v>25</v>
      </c>
      <c r="E127" s="7" t="s">
        <v>44</v>
      </c>
      <c r="F127" s="7" t="s">
        <v>250</v>
      </c>
      <c r="G127" s="5" t="b">
        <v>0</v>
      </c>
      <c r="H127" s="5" t="str">
        <f t="shared" si="17"/>
        <v>HBM436.JQXP.677</v>
      </c>
      <c r="I127" s="7" t="s">
        <v>272</v>
      </c>
      <c r="K127" s="7">
        <v>17.0</v>
      </c>
      <c r="L127" s="7">
        <v>4.0</v>
      </c>
      <c r="M127" s="7">
        <v>6.0</v>
      </c>
      <c r="N127" s="7" t="s">
        <v>271</v>
      </c>
      <c r="O127" s="7" t="s">
        <v>28</v>
      </c>
      <c r="P127" s="7" t="s">
        <v>29</v>
      </c>
      <c r="Q127" s="7" t="s">
        <v>30</v>
      </c>
      <c r="R127" s="5" t="b">
        <v>0</v>
      </c>
      <c r="S127" s="5" t="s">
        <v>31</v>
      </c>
      <c r="T127" s="7" t="s">
        <v>49</v>
      </c>
      <c r="U127" s="7" t="s">
        <v>50</v>
      </c>
      <c r="V127" s="7" t="s">
        <v>51</v>
      </c>
      <c r="W127" s="7" t="s">
        <v>35</v>
      </c>
      <c r="X127" s="9">
        <v>45848.84205990741</v>
      </c>
      <c r="Y127" s="9">
        <v>45848.84205990741</v>
      </c>
    </row>
    <row r="128" ht="15.75" customHeight="1">
      <c r="A128" s="5" t="str">
        <f>HYPERLINK("https://portal.hubmapconsortium.org/browse/sample/6ec99a89367a84e4bb8cdcc9785c7cd8", "HBM836.CBDH.338")</f>
        <v>HBM836.CBDH.338</v>
      </c>
      <c r="B128" s="6">
        <v>3.0</v>
      </c>
      <c r="C128" s="7" t="s">
        <v>246</v>
      </c>
      <c r="D128" s="8" t="s">
        <v>25</v>
      </c>
      <c r="E128" s="7" t="s">
        <v>44</v>
      </c>
      <c r="F128" s="7" t="s">
        <v>250</v>
      </c>
      <c r="G128" s="5" t="b">
        <v>0</v>
      </c>
      <c r="H128" s="5" t="str">
        <f t="shared" si="17"/>
        <v>HBM436.JQXP.677</v>
      </c>
      <c r="I128" s="7" t="s">
        <v>273</v>
      </c>
      <c r="K128" s="7">
        <v>17.0</v>
      </c>
      <c r="L128" s="7">
        <v>4.0</v>
      </c>
      <c r="M128" s="7">
        <v>4.0</v>
      </c>
      <c r="N128" s="7" t="s">
        <v>271</v>
      </c>
      <c r="O128" s="7" t="s">
        <v>28</v>
      </c>
      <c r="P128" s="7" t="s">
        <v>29</v>
      </c>
      <c r="Q128" s="7" t="s">
        <v>30</v>
      </c>
      <c r="R128" s="5" t="b">
        <v>0</v>
      </c>
      <c r="S128" s="5" t="s">
        <v>31</v>
      </c>
      <c r="T128" s="7" t="s">
        <v>49</v>
      </c>
      <c r="U128" s="7" t="s">
        <v>50</v>
      </c>
      <c r="V128" s="7" t="s">
        <v>51</v>
      </c>
      <c r="W128" s="7" t="s">
        <v>35</v>
      </c>
      <c r="X128" s="9">
        <v>45848.84214827546</v>
      </c>
      <c r="Y128" s="9">
        <v>45848.84214827546</v>
      </c>
    </row>
    <row r="129" ht="15.75" customHeight="1">
      <c r="A129" s="5" t="str">
        <f>HYPERLINK("https://portal.hubmapconsortium.org/browse/sample/7525947ef401f6d2c1f8b1708a7eb2f4", "HBM725.PZJL.434")</f>
        <v>HBM725.PZJL.434</v>
      </c>
      <c r="B129" s="6">
        <v>3.0</v>
      </c>
      <c r="C129" s="7" t="s">
        <v>246</v>
      </c>
      <c r="D129" s="8" t="s">
        <v>25</v>
      </c>
      <c r="E129" s="7" t="s">
        <v>44</v>
      </c>
      <c r="F129" s="7" t="s">
        <v>250</v>
      </c>
      <c r="G129" s="7" t="b">
        <v>1</v>
      </c>
      <c r="H129" s="5" t="str">
        <f t="shared" si="17"/>
        <v>HBM436.JQXP.677</v>
      </c>
      <c r="I129" s="7" t="s">
        <v>274</v>
      </c>
      <c r="J129" s="10" t="s">
        <v>40</v>
      </c>
      <c r="K129" s="10">
        <v>17.0</v>
      </c>
      <c r="N129" s="7" t="s">
        <v>266</v>
      </c>
      <c r="O129" s="7" t="s">
        <v>28</v>
      </c>
      <c r="P129" s="7" t="s">
        <v>29</v>
      </c>
      <c r="Q129" s="7" t="s">
        <v>30</v>
      </c>
      <c r="R129" s="7" t="b">
        <v>1</v>
      </c>
      <c r="S129" s="5" t="s">
        <v>118</v>
      </c>
      <c r="T129" s="7" t="s">
        <v>32</v>
      </c>
      <c r="U129" s="7" t="s">
        <v>67</v>
      </c>
      <c r="V129" s="7" t="s">
        <v>68</v>
      </c>
      <c r="W129" s="7" t="s">
        <v>69</v>
      </c>
      <c r="X129" s="9">
        <v>44704.12808924769</v>
      </c>
      <c r="Y129" s="9">
        <v>44733.1652953125</v>
      </c>
    </row>
    <row r="130" ht="15.75" customHeight="1">
      <c r="A130" s="5" t="str">
        <f>HYPERLINK("https://portal.hubmapconsortium.org/browse/sample/2d12da4d0e33de3e1eb5a786159ca50a", "HBM848.PRTH.942")</f>
        <v>HBM848.PRTH.942</v>
      </c>
      <c r="B130" s="6">
        <v>3.0</v>
      </c>
      <c r="C130" s="7" t="s">
        <v>246</v>
      </c>
      <c r="D130" s="8" t="s">
        <v>25</v>
      </c>
      <c r="E130" s="7" t="s">
        <v>44</v>
      </c>
      <c r="F130" s="7" t="s">
        <v>250</v>
      </c>
      <c r="G130" s="7" t="b">
        <v>1</v>
      </c>
      <c r="H130" s="5" t="str">
        <f t="shared" si="17"/>
        <v>HBM436.JQXP.677</v>
      </c>
      <c r="I130" s="7" t="s">
        <v>275</v>
      </c>
      <c r="J130" s="10" t="s">
        <v>40</v>
      </c>
      <c r="K130" s="10">
        <v>17.0</v>
      </c>
      <c r="N130" s="7" t="s">
        <v>266</v>
      </c>
      <c r="O130" s="7" t="s">
        <v>28</v>
      </c>
      <c r="P130" s="7" t="s">
        <v>29</v>
      </c>
      <c r="Q130" s="7" t="s">
        <v>30</v>
      </c>
      <c r="R130" s="7" t="b">
        <v>1</v>
      </c>
      <c r="S130" s="5" t="s">
        <v>118</v>
      </c>
      <c r="T130" s="7" t="s">
        <v>32</v>
      </c>
      <c r="U130" s="7" t="s">
        <v>67</v>
      </c>
      <c r="V130" s="7" t="s">
        <v>68</v>
      </c>
      <c r="W130" s="7" t="s">
        <v>69</v>
      </c>
      <c r="X130" s="9">
        <v>44704.12808949074</v>
      </c>
      <c r="Y130" s="9">
        <v>44733.1710911574</v>
      </c>
    </row>
    <row r="131" ht="15.75" customHeight="1">
      <c r="A131" s="5" t="str">
        <f>HYPERLINK("https://portal.hubmapconsortium.org/browse/sample/8348400d78c5f2f6c9bca965ab7bf35a", "HBM848.MCDW.627")</f>
        <v>HBM848.MCDW.627</v>
      </c>
      <c r="B131" s="6">
        <v>3.0</v>
      </c>
      <c r="C131" s="7" t="s">
        <v>276</v>
      </c>
      <c r="D131" s="8" t="s">
        <v>37</v>
      </c>
      <c r="E131" s="7" t="s">
        <v>44</v>
      </c>
      <c r="F131" s="7" t="s">
        <v>277</v>
      </c>
      <c r="G131" s="5" t="b">
        <v>0</v>
      </c>
      <c r="H131" s="5" t="str">
        <f t="shared" ref="H131:H136" si="18">HYPERLINK("https://portal.hubmapconsortium.org/browse/sample/d8d8a01808460212f824348ccb643839", "HBM566.VHMC.724")</f>
        <v>HBM566.VHMC.724</v>
      </c>
      <c r="I131" s="7" t="s">
        <v>278</v>
      </c>
      <c r="K131" s="7">
        <v>23.0</v>
      </c>
      <c r="L131" s="7">
        <v>5.0</v>
      </c>
      <c r="M131" s="7">
        <v>6.0</v>
      </c>
      <c r="N131" s="7" t="s">
        <v>279</v>
      </c>
      <c r="O131" s="7" t="s">
        <v>28</v>
      </c>
      <c r="P131" s="7" t="s">
        <v>29</v>
      </c>
      <c r="Q131" s="7" t="s">
        <v>30</v>
      </c>
      <c r="R131" s="5" t="b">
        <v>0</v>
      </c>
      <c r="S131" s="5" t="s">
        <v>31</v>
      </c>
      <c r="T131" s="7" t="s">
        <v>32</v>
      </c>
      <c r="U131" s="7" t="s">
        <v>50</v>
      </c>
      <c r="V131" s="7" t="s">
        <v>51</v>
      </c>
      <c r="W131" s="7" t="s">
        <v>35</v>
      </c>
      <c r="X131" s="9">
        <v>45741.62301930555</v>
      </c>
      <c r="Y131" s="9">
        <v>45741.62301930555</v>
      </c>
    </row>
    <row r="132" ht="15.75" customHeight="1">
      <c r="A132" s="5" t="str">
        <f>HYPERLINK("https://portal.hubmapconsortium.org/browse/sample/9d9ba926979b14d6ef55332654f140fa", "HBM365.VQCJ.346")</f>
        <v>HBM365.VQCJ.346</v>
      </c>
      <c r="B132" s="6">
        <v>3.0</v>
      </c>
      <c r="C132" s="7" t="s">
        <v>276</v>
      </c>
      <c r="D132" s="8" t="s">
        <v>37</v>
      </c>
      <c r="E132" s="7" t="s">
        <v>44</v>
      </c>
      <c r="F132" s="7" t="s">
        <v>277</v>
      </c>
      <c r="G132" s="5" t="b">
        <v>0</v>
      </c>
      <c r="H132" s="5" t="str">
        <f t="shared" si="18"/>
        <v>HBM566.VHMC.724</v>
      </c>
      <c r="I132" s="7" t="s">
        <v>280</v>
      </c>
      <c r="K132" s="7">
        <v>23.0</v>
      </c>
      <c r="L132" s="7">
        <v>5.0</v>
      </c>
      <c r="M132" s="7">
        <v>8.0</v>
      </c>
      <c r="N132" s="7" t="s">
        <v>281</v>
      </c>
      <c r="O132" s="7" t="s">
        <v>28</v>
      </c>
      <c r="P132" s="7" t="s">
        <v>29</v>
      </c>
      <c r="Q132" s="7" t="s">
        <v>30</v>
      </c>
      <c r="R132" s="5" t="b">
        <v>0</v>
      </c>
      <c r="S132" s="5" t="s">
        <v>131</v>
      </c>
      <c r="T132" s="7" t="s">
        <v>32</v>
      </c>
      <c r="U132" s="7" t="s">
        <v>33</v>
      </c>
      <c r="V132" s="7" t="s">
        <v>34</v>
      </c>
      <c r="W132" s="7" t="s">
        <v>35</v>
      </c>
      <c r="X132" s="9">
        <v>45316.63163476852</v>
      </c>
      <c r="Y132" s="9">
        <v>45316.63163476852</v>
      </c>
    </row>
    <row r="133" ht="15.75" customHeight="1">
      <c r="A133" s="5" t="str">
        <f>HYPERLINK("https://portal.hubmapconsortium.org/browse/sample/1e0932bd7d6b6aa743e28332f9727b30", "HBM434.BZFM.259")</f>
        <v>HBM434.BZFM.259</v>
      </c>
      <c r="B133" s="6">
        <v>3.0</v>
      </c>
      <c r="C133" s="7" t="s">
        <v>276</v>
      </c>
      <c r="D133" s="8" t="s">
        <v>37</v>
      </c>
      <c r="E133" s="7" t="s">
        <v>44</v>
      </c>
      <c r="F133" s="7" t="s">
        <v>277</v>
      </c>
      <c r="G133" s="7" t="b">
        <v>1</v>
      </c>
      <c r="H133" s="5" t="str">
        <f t="shared" si="18"/>
        <v>HBM566.VHMC.724</v>
      </c>
      <c r="I133" s="7" t="s">
        <v>282</v>
      </c>
      <c r="J133" s="10" t="s">
        <v>40</v>
      </c>
      <c r="K133" s="10">
        <v>18.0</v>
      </c>
      <c r="N133" s="7" t="s">
        <v>283</v>
      </c>
      <c r="O133" s="7" t="s">
        <v>28</v>
      </c>
      <c r="P133" s="7" t="s">
        <v>29</v>
      </c>
      <c r="Q133" s="7" t="s">
        <v>30</v>
      </c>
      <c r="R133" s="7" t="b">
        <v>1</v>
      </c>
      <c r="S133" s="5" t="s">
        <v>118</v>
      </c>
      <c r="T133" s="7" t="s">
        <v>32</v>
      </c>
      <c r="U133" s="7" t="s">
        <v>67</v>
      </c>
      <c r="V133" s="7" t="s">
        <v>68</v>
      </c>
      <c r="W133" s="7" t="s">
        <v>69</v>
      </c>
      <c r="X133" s="9">
        <v>44704.1392152199</v>
      </c>
      <c r="Y133" s="9">
        <v>44733.18048337963</v>
      </c>
    </row>
    <row r="134" ht="15.75" customHeight="1">
      <c r="A134" s="5" t="str">
        <f>HYPERLINK("https://portal.hubmapconsortium.org/browse/sample/d70713396f2dc6660dce41530e1ba652", "HBM447.SVDJ.994")</f>
        <v>HBM447.SVDJ.994</v>
      </c>
      <c r="B134" s="6">
        <v>3.0</v>
      </c>
      <c r="C134" s="7" t="s">
        <v>276</v>
      </c>
      <c r="D134" s="8" t="s">
        <v>37</v>
      </c>
      <c r="E134" s="7" t="s">
        <v>44</v>
      </c>
      <c r="F134" s="7" t="s">
        <v>277</v>
      </c>
      <c r="G134" s="7" t="b">
        <v>1</v>
      </c>
      <c r="H134" s="5" t="str">
        <f t="shared" si="18"/>
        <v>HBM566.VHMC.724</v>
      </c>
      <c r="I134" s="7" t="s">
        <v>284</v>
      </c>
      <c r="J134" s="10" t="s">
        <v>40</v>
      </c>
      <c r="K134" s="10">
        <v>18.0</v>
      </c>
      <c r="N134" s="7" t="s">
        <v>283</v>
      </c>
      <c r="O134" s="7" t="s">
        <v>28</v>
      </c>
      <c r="P134" s="7" t="s">
        <v>29</v>
      </c>
      <c r="Q134" s="7" t="s">
        <v>30</v>
      </c>
      <c r="R134" s="7" t="b">
        <v>1</v>
      </c>
      <c r="S134" s="5" t="s">
        <v>118</v>
      </c>
      <c r="T134" s="7" t="s">
        <v>32</v>
      </c>
      <c r="U134" s="7" t="s">
        <v>67</v>
      </c>
      <c r="V134" s="7" t="s">
        <v>68</v>
      </c>
      <c r="W134" s="7" t="s">
        <v>69</v>
      </c>
      <c r="X134" s="9">
        <v>44704.13921542824</v>
      </c>
      <c r="Y134" s="9">
        <v>44932.17230832176</v>
      </c>
    </row>
    <row r="135" ht="15.75" customHeight="1">
      <c r="A135" s="5" t="str">
        <f>HYPERLINK("https://portal.hubmapconsortium.org/browse/sample/5d85b297472384ebe01ccc55f9edb3a3", "HBM657.XJJJ.655")</f>
        <v>HBM657.XJJJ.655</v>
      </c>
      <c r="B135" s="6">
        <v>3.0</v>
      </c>
      <c r="C135" s="7" t="s">
        <v>276</v>
      </c>
      <c r="D135" s="8" t="s">
        <v>37</v>
      </c>
      <c r="E135" s="7" t="s">
        <v>44</v>
      </c>
      <c r="F135" s="7" t="s">
        <v>277</v>
      </c>
      <c r="G135" s="7" t="b">
        <v>1</v>
      </c>
      <c r="H135" s="5" t="str">
        <f t="shared" si="18"/>
        <v>HBM566.VHMC.724</v>
      </c>
      <c r="I135" s="7" t="s">
        <v>285</v>
      </c>
      <c r="J135" s="10" t="s">
        <v>40</v>
      </c>
      <c r="K135" s="10">
        <v>18.0</v>
      </c>
      <c r="N135" s="7" t="s">
        <v>283</v>
      </c>
      <c r="O135" s="7" t="s">
        <v>28</v>
      </c>
      <c r="P135" s="7" t="s">
        <v>29</v>
      </c>
      <c r="Q135" s="7" t="s">
        <v>30</v>
      </c>
      <c r="R135" s="7" t="b">
        <v>1</v>
      </c>
      <c r="S135" s="5" t="s">
        <v>118</v>
      </c>
      <c r="T135" s="7" t="s">
        <v>32</v>
      </c>
      <c r="U135" s="7" t="s">
        <v>67</v>
      </c>
      <c r="V135" s="7" t="s">
        <v>68</v>
      </c>
      <c r="W135" s="7" t="s">
        <v>69</v>
      </c>
      <c r="X135" s="9">
        <v>44704.13921563658</v>
      </c>
      <c r="Y135" s="9">
        <v>44733.19326153935</v>
      </c>
    </row>
    <row r="136" ht="15.75" customHeight="1">
      <c r="A136" s="5" t="str">
        <f>HYPERLINK("https://portal.hubmapconsortium.org/browse/sample/9676700b170c789e5d30815f314820a2", "HBM465.JWQL.645")</f>
        <v>HBM465.JWQL.645</v>
      </c>
      <c r="B136" s="6">
        <v>3.0</v>
      </c>
      <c r="C136" s="7" t="s">
        <v>276</v>
      </c>
      <c r="D136" s="8" t="s">
        <v>37</v>
      </c>
      <c r="E136" s="7" t="s">
        <v>44</v>
      </c>
      <c r="F136" s="7" t="s">
        <v>277</v>
      </c>
      <c r="G136" s="7" t="b">
        <v>1</v>
      </c>
      <c r="H136" s="5" t="str">
        <f t="shared" si="18"/>
        <v>HBM566.VHMC.724</v>
      </c>
      <c r="I136" s="7" t="s">
        <v>286</v>
      </c>
      <c r="J136" s="10" t="s">
        <v>40</v>
      </c>
      <c r="K136" s="10">
        <v>18.0</v>
      </c>
      <c r="N136" s="7" t="s">
        <v>283</v>
      </c>
      <c r="O136" s="7" t="s">
        <v>28</v>
      </c>
      <c r="P136" s="7" t="s">
        <v>29</v>
      </c>
      <c r="Q136" s="7" t="s">
        <v>30</v>
      </c>
      <c r="R136" s="7" t="b">
        <v>1</v>
      </c>
      <c r="S136" s="5" t="s">
        <v>118</v>
      </c>
      <c r="T136" s="7" t="s">
        <v>32</v>
      </c>
      <c r="U136" s="7" t="s">
        <v>67</v>
      </c>
      <c r="V136" s="7" t="s">
        <v>68</v>
      </c>
      <c r="W136" s="7" t="s">
        <v>69</v>
      </c>
      <c r="X136" s="9">
        <v>44704.13921586805</v>
      </c>
      <c r="Y136" s="9">
        <v>44733.19618807871</v>
      </c>
    </row>
    <row r="137" ht="15.75" customHeight="1">
      <c r="A137" s="11" t="str">
        <f>HYPERLINK("https://portal.hubmapconsortium.org/browse/sample/f3bf36fe68379c44b26269b8badce798", "HBM824.BLFP.695")</f>
        <v>HBM824.BLFP.695</v>
      </c>
      <c r="B137" s="12"/>
      <c r="C137" s="13" t="s">
        <v>287</v>
      </c>
      <c r="D137" s="12" t="s">
        <v>37</v>
      </c>
      <c r="E137" s="7" t="s">
        <v>44</v>
      </c>
      <c r="F137" s="13" t="s">
        <v>288</v>
      </c>
      <c r="G137" s="11" t="b">
        <v>0</v>
      </c>
      <c r="H137" s="11" t="str">
        <f t="shared" ref="H137:H145" si="19">HYPERLINK("https://portal.hubmapconsortium.org/browse/sample/74aeefbc8e5eb1ab9adba5bf2fd8be8b", "HBM652.DLTR.837")</f>
        <v>HBM652.DLTR.837</v>
      </c>
      <c r="I137" s="13" t="s">
        <v>289</v>
      </c>
      <c r="J137" s="25" t="s">
        <v>290</v>
      </c>
      <c r="K137" s="13"/>
      <c r="L137" s="13"/>
      <c r="M137" s="13"/>
      <c r="N137" s="13" t="s">
        <v>291</v>
      </c>
      <c r="O137" s="13" t="s">
        <v>28</v>
      </c>
      <c r="P137" s="13" t="s">
        <v>29</v>
      </c>
      <c r="Q137" s="13" t="s">
        <v>30</v>
      </c>
      <c r="R137" s="11" t="b">
        <v>0</v>
      </c>
      <c r="S137" s="11" t="s">
        <v>31</v>
      </c>
      <c r="T137" s="13" t="s">
        <v>49</v>
      </c>
      <c r="U137" s="13" t="s">
        <v>50</v>
      </c>
      <c r="V137" s="13" t="s">
        <v>51</v>
      </c>
      <c r="W137" s="13" t="s">
        <v>35</v>
      </c>
      <c r="X137" s="14">
        <v>45848.84224986111</v>
      </c>
      <c r="Y137" s="14">
        <v>45848.84224986111</v>
      </c>
      <c r="Z137" s="13"/>
      <c r="AA137" s="13"/>
    </row>
    <row r="138" ht="15.75" customHeight="1">
      <c r="A138" s="11" t="str">
        <f>HYPERLINK("https://portal.hubmapconsortium.org/browse/sample/12538fe0b937affb330e9da0bda255e8", "HBM724.LXMB.478")</f>
        <v>HBM724.LXMB.478</v>
      </c>
      <c r="B138" s="12"/>
      <c r="C138" s="13" t="s">
        <v>287</v>
      </c>
      <c r="D138" s="12" t="s">
        <v>37</v>
      </c>
      <c r="E138" s="7" t="s">
        <v>44</v>
      </c>
      <c r="F138" s="13" t="s">
        <v>288</v>
      </c>
      <c r="G138" s="11" t="b">
        <v>0</v>
      </c>
      <c r="H138" s="11" t="str">
        <f t="shared" si="19"/>
        <v>HBM652.DLTR.837</v>
      </c>
      <c r="I138" s="13" t="s">
        <v>292</v>
      </c>
      <c r="J138" s="13"/>
      <c r="K138" s="13"/>
      <c r="L138" s="13"/>
      <c r="M138" s="13"/>
      <c r="N138" s="13" t="s">
        <v>293</v>
      </c>
      <c r="O138" s="13" t="s">
        <v>28</v>
      </c>
      <c r="P138" s="13" t="s">
        <v>29</v>
      </c>
      <c r="Q138" s="13" t="s">
        <v>30</v>
      </c>
      <c r="R138" s="11" t="b">
        <v>0</v>
      </c>
      <c r="S138" s="11" t="s">
        <v>85</v>
      </c>
      <c r="T138" s="13" t="s">
        <v>49</v>
      </c>
      <c r="U138" s="13" t="s">
        <v>50</v>
      </c>
      <c r="V138" s="13" t="s">
        <v>51</v>
      </c>
      <c r="W138" s="13" t="s">
        <v>35</v>
      </c>
      <c r="X138" s="14">
        <v>45513.84555644676</v>
      </c>
      <c r="Y138" s="14">
        <v>45513.84555644676</v>
      </c>
      <c r="Z138" s="13"/>
      <c r="AA138" s="13"/>
    </row>
    <row r="139" ht="15.75" customHeight="1">
      <c r="A139" s="11" t="str">
        <f>HYPERLINK("https://portal.hubmapconsortium.org/browse/sample/c5081ca7115c66337a01970ac1729d7e", "HBM247.TLGL.355")</f>
        <v>HBM247.TLGL.355</v>
      </c>
      <c r="B139" s="12"/>
      <c r="C139" s="13" t="s">
        <v>287</v>
      </c>
      <c r="D139" s="12" t="s">
        <v>37</v>
      </c>
      <c r="E139" s="7" t="s">
        <v>44</v>
      </c>
      <c r="F139" s="13" t="s">
        <v>288</v>
      </c>
      <c r="G139" s="11" t="b">
        <v>0</v>
      </c>
      <c r="H139" s="11" t="str">
        <f t="shared" si="19"/>
        <v>HBM652.DLTR.837</v>
      </c>
      <c r="I139" s="13" t="s">
        <v>294</v>
      </c>
      <c r="J139" s="13"/>
      <c r="K139" s="13"/>
      <c r="L139" s="13"/>
      <c r="M139" s="13"/>
      <c r="N139" s="13" t="s">
        <v>295</v>
      </c>
      <c r="O139" s="13" t="s">
        <v>28</v>
      </c>
      <c r="P139" s="13" t="s">
        <v>29</v>
      </c>
      <c r="Q139" s="13" t="s">
        <v>30</v>
      </c>
      <c r="R139" s="11" t="b">
        <v>0</v>
      </c>
      <c r="S139" s="11" t="s">
        <v>85</v>
      </c>
      <c r="T139" s="13" t="s">
        <v>49</v>
      </c>
      <c r="U139" s="13" t="s">
        <v>50</v>
      </c>
      <c r="V139" s="13" t="s">
        <v>51</v>
      </c>
      <c r="W139" s="13" t="s">
        <v>35</v>
      </c>
      <c r="X139" s="14">
        <v>45513.84557275463</v>
      </c>
      <c r="Y139" s="14">
        <v>45513.84557275463</v>
      </c>
      <c r="Z139" s="13"/>
      <c r="AA139" s="13"/>
    </row>
    <row r="140" ht="15.75" customHeight="1">
      <c r="A140" s="11" t="str">
        <f>HYPERLINK("https://portal.hubmapconsortium.org/browse/sample/367ea6b7432f6b79c118de57492ce5d8", "HBM543.GCFT.362")</f>
        <v>HBM543.GCFT.362</v>
      </c>
      <c r="B140" s="12"/>
      <c r="C140" s="13" t="s">
        <v>287</v>
      </c>
      <c r="D140" s="12" t="s">
        <v>37</v>
      </c>
      <c r="E140" s="7" t="s">
        <v>44</v>
      </c>
      <c r="F140" s="13" t="s">
        <v>288</v>
      </c>
      <c r="G140" s="11" t="b">
        <v>0</v>
      </c>
      <c r="H140" s="11" t="str">
        <f t="shared" si="19"/>
        <v>HBM652.DLTR.837</v>
      </c>
      <c r="I140" s="13" t="s">
        <v>296</v>
      </c>
      <c r="J140" s="13"/>
      <c r="K140" s="13"/>
      <c r="L140" s="13"/>
      <c r="M140" s="13"/>
      <c r="N140" s="13" t="s">
        <v>297</v>
      </c>
      <c r="O140" s="13" t="s">
        <v>28</v>
      </c>
      <c r="P140" s="13" t="s">
        <v>29</v>
      </c>
      <c r="Q140" s="13" t="s">
        <v>30</v>
      </c>
      <c r="R140" s="11" t="b">
        <v>0</v>
      </c>
      <c r="S140" s="11" t="s">
        <v>85</v>
      </c>
      <c r="T140" s="13" t="s">
        <v>49</v>
      </c>
      <c r="U140" s="13" t="s">
        <v>50</v>
      </c>
      <c r="V140" s="13" t="s">
        <v>51</v>
      </c>
      <c r="W140" s="13" t="s">
        <v>35</v>
      </c>
      <c r="X140" s="14">
        <v>45513.84558748842</v>
      </c>
      <c r="Y140" s="14">
        <v>45513.84558748842</v>
      </c>
      <c r="Z140" s="13"/>
      <c r="AA140" s="13"/>
    </row>
    <row r="141" ht="15.75" customHeight="1">
      <c r="A141" s="11" t="str">
        <f>HYPERLINK("https://portal.hubmapconsortium.org/browse/sample/26ad781b889338e646abb34b382e4c03", "HBM337.PMNN.554")</f>
        <v>HBM337.PMNN.554</v>
      </c>
      <c r="B141" s="12"/>
      <c r="C141" s="13" t="s">
        <v>287</v>
      </c>
      <c r="D141" s="12" t="s">
        <v>37</v>
      </c>
      <c r="E141" s="7" t="s">
        <v>44</v>
      </c>
      <c r="F141" s="13" t="s">
        <v>288</v>
      </c>
      <c r="G141" s="11" t="b">
        <v>0</v>
      </c>
      <c r="H141" s="11" t="str">
        <f t="shared" si="19"/>
        <v>HBM652.DLTR.837</v>
      </c>
      <c r="I141" s="13" t="s">
        <v>298</v>
      </c>
      <c r="J141" s="13"/>
      <c r="K141" s="13"/>
      <c r="L141" s="13"/>
      <c r="M141" s="13"/>
      <c r="N141" s="13" t="s">
        <v>299</v>
      </c>
      <c r="O141" s="13" t="s">
        <v>28</v>
      </c>
      <c r="P141" s="13" t="s">
        <v>29</v>
      </c>
      <c r="Q141" s="13" t="s">
        <v>30</v>
      </c>
      <c r="R141" s="11" t="b">
        <v>0</v>
      </c>
      <c r="S141" s="11" t="s">
        <v>85</v>
      </c>
      <c r="T141" s="13" t="s">
        <v>32</v>
      </c>
      <c r="U141" s="13" t="s">
        <v>50</v>
      </c>
      <c r="V141" s="13" t="s">
        <v>51</v>
      </c>
      <c r="W141" s="13" t="s">
        <v>35</v>
      </c>
      <c r="X141" s="14">
        <v>45513.84560219907</v>
      </c>
      <c r="Y141" s="14">
        <v>45513.84560219907</v>
      </c>
      <c r="Z141" s="13"/>
      <c r="AA141" s="13"/>
    </row>
    <row r="142" ht="15.75" customHeight="1">
      <c r="A142" s="11" t="str">
        <f>HYPERLINK("https://portal.hubmapconsortium.org/browse/sample/5ce62fb96ee614514ef296dbdd946c7b", "HBM743.RBVN.888")</f>
        <v>HBM743.RBVN.888</v>
      </c>
      <c r="B142" s="12"/>
      <c r="C142" s="13" t="s">
        <v>287</v>
      </c>
      <c r="D142" s="12" t="s">
        <v>37</v>
      </c>
      <c r="E142" s="7" t="s">
        <v>44</v>
      </c>
      <c r="F142" s="13" t="s">
        <v>288</v>
      </c>
      <c r="G142" s="11" t="b">
        <v>0</v>
      </c>
      <c r="H142" s="11" t="str">
        <f t="shared" si="19"/>
        <v>HBM652.DLTR.837</v>
      </c>
      <c r="I142" s="13" t="s">
        <v>300</v>
      </c>
      <c r="J142" s="13"/>
      <c r="K142" s="13"/>
      <c r="L142" s="13"/>
      <c r="M142" s="13"/>
      <c r="N142" s="13" t="s">
        <v>293</v>
      </c>
      <c r="O142" s="13" t="s">
        <v>28</v>
      </c>
      <c r="P142" s="13" t="s">
        <v>29</v>
      </c>
      <c r="Q142" s="13" t="s">
        <v>30</v>
      </c>
      <c r="R142" s="11" t="b">
        <v>0</v>
      </c>
      <c r="S142" s="11" t="s">
        <v>85</v>
      </c>
      <c r="T142" s="13" t="s">
        <v>49</v>
      </c>
      <c r="U142" s="13" t="s">
        <v>50</v>
      </c>
      <c r="V142" s="13" t="s">
        <v>51</v>
      </c>
      <c r="W142" s="13" t="s">
        <v>35</v>
      </c>
      <c r="X142" s="14">
        <v>45513.84561751157</v>
      </c>
      <c r="Y142" s="14">
        <v>45513.84561751157</v>
      </c>
      <c r="Z142" s="13"/>
      <c r="AA142" s="13"/>
    </row>
    <row r="143" ht="15.75" customHeight="1">
      <c r="A143" s="11" t="str">
        <f>HYPERLINK("https://portal.hubmapconsortium.org/browse/sample/144c9542f3b7314d3eb8af16815f2b48", "HBM268.MRDT.978")</f>
        <v>HBM268.MRDT.978</v>
      </c>
      <c r="B143" s="12"/>
      <c r="C143" s="13" t="s">
        <v>287</v>
      </c>
      <c r="D143" s="12" t="s">
        <v>37</v>
      </c>
      <c r="E143" s="7" t="s">
        <v>44</v>
      </c>
      <c r="F143" s="13" t="s">
        <v>288</v>
      </c>
      <c r="G143" s="11" t="b">
        <v>0</v>
      </c>
      <c r="H143" s="11" t="str">
        <f t="shared" si="19"/>
        <v>HBM652.DLTR.837</v>
      </c>
      <c r="I143" s="13" t="s">
        <v>301</v>
      </c>
      <c r="J143" s="13"/>
      <c r="K143" s="13"/>
      <c r="L143" s="13"/>
      <c r="M143" s="13"/>
      <c r="N143" s="13" t="s">
        <v>295</v>
      </c>
      <c r="O143" s="13" t="s">
        <v>28</v>
      </c>
      <c r="P143" s="13" t="s">
        <v>29</v>
      </c>
      <c r="Q143" s="13" t="s">
        <v>30</v>
      </c>
      <c r="R143" s="11" t="b">
        <v>0</v>
      </c>
      <c r="S143" s="11" t="s">
        <v>85</v>
      </c>
      <c r="T143" s="13" t="s">
        <v>49</v>
      </c>
      <c r="U143" s="13" t="s">
        <v>50</v>
      </c>
      <c r="V143" s="13" t="s">
        <v>51</v>
      </c>
      <c r="W143" s="13" t="s">
        <v>35</v>
      </c>
      <c r="X143" s="14">
        <v>45513.84563216435</v>
      </c>
      <c r="Y143" s="14">
        <v>45513.84563216435</v>
      </c>
      <c r="Z143" s="13"/>
      <c r="AA143" s="13"/>
    </row>
    <row r="144" ht="15.75" customHeight="1">
      <c r="A144" s="11" t="str">
        <f>HYPERLINK("https://portal.hubmapconsortium.org/browse/sample/11ec76dbd11a0809082e4a6c8c17b0c3", "HBM598.QJCR.348")</f>
        <v>HBM598.QJCR.348</v>
      </c>
      <c r="B144" s="12"/>
      <c r="C144" s="13" t="s">
        <v>287</v>
      </c>
      <c r="D144" s="12" t="s">
        <v>37</v>
      </c>
      <c r="E144" s="7" t="s">
        <v>44</v>
      </c>
      <c r="F144" s="13" t="s">
        <v>288</v>
      </c>
      <c r="G144" s="11" t="b">
        <v>0</v>
      </c>
      <c r="H144" s="11" t="str">
        <f t="shared" si="19"/>
        <v>HBM652.DLTR.837</v>
      </c>
      <c r="I144" s="13" t="s">
        <v>302</v>
      </c>
      <c r="J144" s="13"/>
      <c r="K144" s="13"/>
      <c r="L144" s="13"/>
      <c r="M144" s="13"/>
      <c r="N144" s="13" t="s">
        <v>297</v>
      </c>
      <c r="O144" s="13" t="s">
        <v>28</v>
      </c>
      <c r="P144" s="13" t="s">
        <v>29</v>
      </c>
      <c r="Q144" s="13" t="s">
        <v>30</v>
      </c>
      <c r="R144" s="11" t="b">
        <v>0</v>
      </c>
      <c r="S144" s="11" t="s">
        <v>85</v>
      </c>
      <c r="T144" s="13" t="s">
        <v>49</v>
      </c>
      <c r="U144" s="13" t="s">
        <v>50</v>
      </c>
      <c r="V144" s="13" t="s">
        <v>51</v>
      </c>
      <c r="W144" s="13" t="s">
        <v>35</v>
      </c>
      <c r="X144" s="14">
        <v>45513.84564619213</v>
      </c>
      <c r="Y144" s="14">
        <v>45513.84564619213</v>
      </c>
      <c r="Z144" s="13"/>
      <c r="AA144" s="13"/>
    </row>
    <row r="145" ht="15.75" customHeight="1">
      <c r="A145" s="11" t="str">
        <f>HYPERLINK("https://portal.hubmapconsortium.org/browse/sample/10e8f7ed1ccc2cc2c878b364ac3048b4", "HBM236.HRDG.789")</f>
        <v>HBM236.HRDG.789</v>
      </c>
      <c r="B145" s="12"/>
      <c r="C145" s="13" t="s">
        <v>287</v>
      </c>
      <c r="D145" s="12" t="s">
        <v>37</v>
      </c>
      <c r="E145" s="7" t="s">
        <v>44</v>
      </c>
      <c r="F145" s="13" t="s">
        <v>288</v>
      </c>
      <c r="G145" s="11" t="b">
        <v>0</v>
      </c>
      <c r="H145" s="11" t="str">
        <f t="shared" si="19"/>
        <v>HBM652.DLTR.837</v>
      </c>
      <c r="I145" s="13" t="s">
        <v>303</v>
      </c>
      <c r="J145" s="13"/>
      <c r="K145" s="13"/>
      <c r="L145" s="13"/>
      <c r="M145" s="13"/>
      <c r="N145" s="13" t="s">
        <v>299</v>
      </c>
      <c r="O145" s="13" t="s">
        <v>28</v>
      </c>
      <c r="P145" s="13" t="s">
        <v>29</v>
      </c>
      <c r="Q145" s="13" t="s">
        <v>30</v>
      </c>
      <c r="R145" s="11" t="b">
        <v>0</v>
      </c>
      <c r="S145" s="11" t="s">
        <v>85</v>
      </c>
      <c r="T145" s="13" t="s">
        <v>32</v>
      </c>
      <c r="U145" s="13" t="s">
        <v>50</v>
      </c>
      <c r="V145" s="13" t="s">
        <v>51</v>
      </c>
      <c r="W145" s="13" t="s">
        <v>35</v>
      </c>
      <c r="X145" s="14">
        <v>45513.84565998842</v>
      </c>
      <c r="Y145" s="14">
        <v>45513.84565998842</v>
      </c>
      <c r="Z145" s="13"/>
      <c r="AA145" s="13"/>
    </row>
    <row r="146" ht="15.75" customHeight="1">
      <c r="A146" s="11" t="str">
        <f>HYPERLINK("https://portal.hubmapconsortium.org/browse/sample/96b89fa74e81b2c38dbe4cc93c25ad19", "HBM787.QKSJ.738")</f>
        <v>HBM787.QKSJ.738</v>
      </c>
      <c r="B146" s="12"/>
      <c r="C146" s="13" t="s">
        <v>287</v>
      </c>
      <c r="D146" s="12" t="s">
        <v>37</v>
      </c>
      <c r="E146" s="7" t="s">
        <v>44</v>
      </c>
      <c r="F146" s="13" t="s">
        <v>304</v>
      </c>
      <c r="G146" s="11" t="b">
        <v>0</v>
      </c>
      <c r="H146" s="11" t="str">
        <f t="shared" ref="H146:H209" si="20">HYPERLINK("https://portal.hubmapconsortium.org/browse/sample/6d3a61d32c777efa3bef04dc1f698e91", "HBM657.BGFJ.898")</f>
        <v>HBM657.BGFJ.898</v>
      </c>
      <c r="I146" s="13" t="s">
        <v>305</v>
      </c>
      <c r="J146" s="13"/>
      <c r="K146" s="13"/>
      <c r="L146" s="13"/>
      <c r="M146" s="13"/>
      <c r="N146" s="13" t="s">
        <v>306</v>
      </c>
      <c r="O146" s="13" t="s">
        <v>28</v>
      </c>
      <c r="P146" s="13" t="s">
        <v>29</v>
      </c>
      <c r="Q146" s="13" t="s">
        <v>30</v>
      </c>
      <c r="R146" s="11" t="b">
        <v>0</v>
      </c>
      <c r="S146" s="11" t="s">
        <v>85</v>
      </c>
      <c r="T146" s="13" t="s">
        <v>49</v>
      </c>
      <c r="U146" s="13" t="s">
        <v>50</v>
      </c>
      <c r="V146" s="13" t="s">
        <v>51</v>
      </c>
      <c r="W146" s="13" t="s">
        <v>35</v>
      </c>
      <c r="X146" s="14">
        <v>45513.84621693287</v>
      </c>
      <c r="Y146" s="14">
        <v>45513.84621693287</v>
      </c>
      <c r="Z146" s="13"/>
      <c r="AA146" s="13"/>
    </row>
    <row r="147" ht="15.75" customHeight="1">
      <c r="A147" s="11" t="str">
        <f>HYPERLINK("https://portal.hubmapconsortium.org/browse/sample/8f5af50879bc82c8cdbed97b782409d8", "HBM542.VKPQ.794")</f>
        <v>HBM542.VKPQ.794</v>
      </c>
      <c r="B147" s="12"/>
      <c r="C147" s="13" t="s">
        <v>287</v>
      </c>
      <c r="D147" s="12" t="s">
        <v>37</v>
      </c>
      <c r="E147" s="7" t="s">
        <v>44</v>
      </c>
      <c r="F147" s="13" t="s">
        <v>304</v>
      </c>
      <c r="G147" s="11" t="b">
        <v>0</v>
      </c>
      <c r="H147" s="11" t="str">
        <f t="shared" si="20"/>
        <v>HBM657.BGFJ.898</v>
      </c>
      <c r="I147" s="13" t="s">
        <v>307</v>
      </c>
      <c r="J147" s="13"/>
      <c r="K147" s="13"/>
      <c r="L147" s="13"/>
      <c r="M147" s="13"/>
      <c r="N147" s="13" t="s">
        <v>308</v>
      </c>
      <c r="O147" s="13" t="s">
        <v>28</v>
      </c>
      <c r="P147" s="13" t="s">
        <v>29</v>
      </c>
      <c r="Q147" s="13" t="s">
        <v>30</v>
      </c>
      <c r="R147" s="11" t="b">
        <v>0</v>
      </c>
      <c r="S147" s="11" t="s">
        <v>85</v>
      </c>
      <c r="T147" s="13" t="s">
        <v>49</v>
      </c>
      <c r="U147" s="13" t="s">
        <v>50</v>
      </c>
      <c r="V147" s="13" t="s">
        <v>51</v>
      </c>
      <c r="W147" s="13" t="s">
        <v>35</v>
      </c>
      <c r="X147" s="14">
        <v>45513.84623108796</v>
      </c>
      <c r="Y147" s="14">
        <v>45513.84623108796</v>
      </c>
      <c r="Z147" s="13"/>
      <c r="AA147" s="13"/>
    </row>
    <row r="148" ht="15.75" customHeight="1">
      <c r="A148" s="11" t="str">
        <f>HYPERLINK("https://portal.hubmapconsortium.org/browse/sample/582acaba214813f1dfdd8fa932b21f15", "HBM245.HKZM.836")</f>
        <v>HBM245.HKZM.836</v>
      </c>
      <c r="B148" s="12"/>
      <c r="C148" s="13" t="s">
        <v>287</v>
      </c>
      <c r="D148" s="12" t="s">
        <v>37</v>
      </c>
      <c r="E148" s="7" t="s">
        <v>44</v>
      </c>
      <c r="F148" s="13" t="s">
        <v>304</v>
      </c>
      <c r="G148" s="11" t="b">
        <v>0</v>
      </c>
      <c r="H148" s="11" t="str">
        <f t="shared" si="20"/>
        <v>HBM657.BGFJ.898</v>
      </c>
      <c r="I148" s="13" t="s">
        <v>309</v>
      </c>
      <c r="J148" s="13"/>
      <c r="K148" s="13"/>
      <c r="L148" s="13"/>
      <c r="M148" s="13"/>
      <c r="N148" s="13" t="s">
        <v>310</v>
      </c>
      <c r="O148" s="13" t="s">
        <v>28</v>
      </c>
      <c r="P148" s="13" t="s">
        <v>29</v>
      </c>
      <c r="Q148" s="13" t="s">
        <v>30</v>
      </c>
      <c r="R148" s="11" t="b">
        <v>0</v>
      </c>
      <c r="S148" s="11" t="s">
        <v>85</v>
      </c>
      <c r="T148" s="13" t="s">
        <v>49</v>
      </c>
      <c r="U148" s="13" t="s">
        <v>50</v>
      </c>
      <c r="V148" s="13" t="s">
        <v>51</v>
      </c>
      <c r="W148" s="13" t="s">
        <v>35</v>
      </c>
      <c r="X148" s="14">
        <v>45513.84624547454</v>
      </c>
      <c r="Y148" s="14">
        <v>45513.84624547454</v>
      </c>
      <c r="Z148" s="13"/>
      <c r="AA148" s="13"/>
    </row>
    <row r="149" ht="15.75" customHeight="1">
      <c r="A149" s="11" t="str">
        <f>HYPERLINK("https://portal.hubmapconsortium.org/browse/sample/88044b3c26790134b7334662308d7b77", "HBM952.VCLV.974")</f>
        <v>HBM952.VCLV.974</v>
      </c>
      <c r="B149" s="12"/>
      <c r="C149" s="13" t="s">
        <v>287</v>
      </c>
      <c r="D149" s="12" t="s">
        <v>37</v>
      </c>
      <c r="E149" s="7" t="s">
        <v>44</v>
      </c>
      <c r="F149" s="13" t="s">
        <v>304</v>
      </c>
      <c r="G149" s="11" t="b">
        <v>0</v>
      </c>
      <c r="H149" s="11" t="str">
        <f t="shared" si="20"/>
        <v>HBM657.BGFJ.898</v>
      </c>
      <c r="I149" s="13" t="s">
        <v>311</v>
      </c>
      <c r="J149" s="13"/>
      <c r="K149" s="13"/>
      <c r="L149" s="13"/>
      <c r="M149" s="13"/>
      <c r="N149" s="13" t="s">
        <v>312</v>
      </c>
      <c r="O149" s="13" t="s">
        <v>28</v>
      </c>
      <c r="P149" s="13" t="s">
        <v>29</v>
      </c>
      <c r="Q149" s="13" t="s">
        <v>30</v>
      </c>
      <c r="R149" s="11" t="b">
        <v>0</v>
      </c>
      <c r="S149" s="11" t="s">
        <v>85</v>
      </c>
      <c r="T149" s="13" t="s">
        <v>32</v>
      </c>
      <c r="U149" s="13" t="s">
        <v>50</v>
      </c>
      <c r="V149" s="13" t="s">
        <v>51</v>
      </c>
      <c r="W149" s="13" t="s">
        <v>35</v>
      </c>
      <c r="X149" s="14">
        <v>45513.84626018519</v>
      </c>
      <c r="Y149" s="14">
        <v>45513.84626018519</v>
      </c>
      <c r="Z149" s="13"/>
      <c r="AA149" s="13"/>
    </row>
    <row r="150" ht="15.75" customHeight="1">
      <c r="A150" s="11" t="str">
        <f>HYPERLINK("https://portal.hubmapconsortium.org/browse/sample/383173d49fb0fe2edeb50982d464d09b", "HBM847.HJKP.447")</f>
        <v>HBM847.HJKP.447</v>
      </c>
      <c r="B150" s="12"/>
      <c r="C150" s="13" t="s">
        <v>287</v>
      </c>
      <c r="D150" s="12" t="s">
        <v>37</v>
      </c>
      <c r="E150" s="7" t="s">
        <v>44</v>
      </c>
      <c r="F150" s="13" t="s">
        <v>304</v>
      </c>
      <c r="G150" s="11" t="b">
        <v>0</v>
      </c>
      <c r="H150" s="11" t="str">
        <f t="shared" si="20"/>
        <v>HBM657.BGFJ.898</v>
      </c>
      <c r="I150" s="13" t="s">
        <v>313</v>
      </c>
      <c r="J150" s="13"/>
      <c r="K150" s="13"/>
      <c r="L150" s="13"/>
      <c r="M150" s="13"/>
      <c r="N150" s="13" t="s">
        <v>314</v>
      </c>
      <c r="O150" s="13" t="s">
        <v>28</v>
      </c>
      <c r="P150" s="13" t="s">
        <v>29</v>
      </c>
      <c r="Q150" s="13" t="s">
        <v>30</v>
      </c>
      <c r="R150" s="11" t="b">
        <v>0</v>
      </c>
      <c r="S150" s="11" t="s">
        <v>85</v>
      </c>
      <c r="T150" s="13" t="s">
        <v>49</v>
      </c>
      <c r="U150" s="13" t="s">
        <v>50</v>
      </c>
      <c r="V150" s="13" t="s">
        <v>51</v>
      </c>
      <c r="W150" s="13" t="s">
        <v>35</v>
      </c>
      <c r="X150" s="14">
        <v>45513.84627543981</v>
      </c>
      <c r="Y150" s="14">
        <v>45513.84627543981</v>
      </c>
      <c r="Z150" s="13"/>
      <c r="AA150" s="13"/>
    </row>
    <row r="151" ht="15.75" customHeight="1">
      <c r="A151" s="11" t="str">
        <f>HYPERLINK("https://portal.hubmapconsortium.org/browse/sample/2e2f7f959256a73b08a130a771bdb9fc", "HBM365.RNDV.248")</f>
        <v>HBM365.RNDV.248</v>
      </c>
      <c r="B151" s="12"/>
      <c r="C151" s="13" t="s">
        <v>287</v>
      </c>
      <c r="D151" s="12" t="s">
        <v>37</v>
      </c>
      <c r="E151" s="7" t="s">
        <v>44</v>
      </c>
      <c r="F151" s="13" t="s">
        <v>304</v>
      </c>
      <c r="G151" s="11" t="b">
        <v>0</v>
      </c>
      <c r="H151" s="11" t="str">
        <f t="shared" si="20"/>
        <v>HBM657.BGFJ.898</v>
      </c>
      <c r="I151" s="13" t="s">
        <v>315</v>
      </c>
      <c r="J151" s="13"/>
      <c r="K151" s="13"/>
      <c r="L151" s="13"/>
      <c r="M151" s="13"/>
      <c r="N151" s="13" t="s">
        <v>316</v>
      </c>
      <c r="O151" s="13" t="s">
        <v>28</v>
      </c>
      <c r="P151" s="13" t="s">
        <v>29</v>
      </c>
      <c r="Q151" s="13" t="s">
        <v>30</v>
      </c>
      <c r="R151" s="11" t="b">
        <v>0</v>
      </c>
      <c r="S151" s="11" t="s">
        <v>85</v>
      </c>
      <c r="T151" s="13" t="s">
        <v>49</v>
      </c>
      <c r="U151" s="13" t="s">
        <v>50</v>
      </c>
      <c r="V151" s="13" t="s">
        <v>51</v>
      </c>
      <c r="W151" s="13" t="s">
        <v>35</v>
      </c>
      <c r="X151" s="14">
        <v>45513.84628982639</v>
      </c>
      <c r="Y151" s="14">
        <v>45513.84628982639</v>
      </c>
      <c r="Z151" s="13"/>
      <c r="AA151" s="13"/>
    </row>
    <row r="152" ht="15.75" customHeight="1">
      <c r="A152" s="11" t="str">
        <f>HYPERLINK("https://portal.hubmapconsortium.org/browse/sample/a8f65fa831f4a055a19b1f37eaa4a0c4", "HBM782.BRXG.984")</f>
        <v>HBM782.BRXG.984</v>
      </c>
      <c r="B152" s="12"/>
      <c r="C152" s="13" t="s">
        <v>287</v>
      </c>
      <c r="D152" s="12" t="s">
        <v>37</v>
      </c>
      <c r="E152" s="7" t="s">
        <v>44</v>
      </c>
      <c r="F152" s="13" t="s">
        <v>304</v>
      </c>
      <c r="G152" s="11" t="b">
        <v>0</v>
      </c>
      <c r="H152" s="11" t="str">
        <f t="shared" si="20"/>
        <v>HBM657.BGFJ.898</v>
      </c>
      <c r="I152" s="13" t="s">
        <v>317</v>
      </c>
      <c r="J152" s="13"/>
      <c r="K152" s="13"/>
      <c r="L152" s="13"/>
      <c r="M152" s="13"/>
      <c r="N152" s="13" t="s">
        <v>318</v>
      </c>
      <c r="O152" s="13" t="s">
        <v>28</v>
      </c>
      <c r="P152" s="13" t="s">
        <v>29</v>
      </c>
      <c r="Q152" s="13" t="s">
        <v>30</v>
      </c>
      <c r="R152" s="11" t="b">
        <v>0</v>
      </c>
      <c r="S152" s="11" t="s">
        <v>85</v>
      </c>
      <c r="T152" s="13" t="s">
        <v>49</v>
      </c>
      <c r="U152" s="13" t="s">
        <v>50</v>
      </c>
      <c r="V152" s="13" t="s">
        <v>51</v>
      </c>
      <c r="W152" s="13" t="s">
        <v>35</v>
      </c>
      <c r="X152" s="14">
        <v>45513.84630378473</v>
      </c>
      <c r="Y152" s="14">
        <v>45513.84630378473</v>
      </c>
      <c r="Z152" s="13"/>
      <c r="AA152" s="13"/>
    </row>
    <row r="153" ht="15.75" customHeight="1">
      <c r="A153" s="11" t="str">
        <f>HYPERLINK("https://portal.hubmapconsortium.org/browse/sample/a8f2a415eef022571671cb508d826371", "HBM553.WMVW.532")</f>
        <v>HBM553.WMVW.532</v>
      </c>
      <c r="B153" s="12"/>
      <c r="C153" s="13" t="s">
        <v>287</v>
      </c>
      <c r="D153" s="12" t="s">
        <v>37</v>
      </c>
      <c r="E153" s="7" t="s">
        <v>44</v>
      </c>
      <c r="F153" s="13" t="s">
        <v>304</v>
      </c>
      <c r="G153" s="11" t="b">
        <v>0</v>
      </c>
      <c r="H153" s="11" t="str">
        <f t="shared" si="20"/>
        <v>HBM657.BGFJ.898</v>
      </c>
      <c r="I153" s="13" t="s">
        <v>319</v>
      </c>
      <c r="J153" s="13"/>
      <c r="K153" s="13"/>
      <c r="L153" s="13"/>
      <c r="M153" s="13"/>
      <c r="N153" s="13" t="s">
        <v>320</v>
      </c>
      <c r="O153" s="13" t="s">
        <v>28</v>
      </c>
      <c r="P153" s="13" t="s">
        <v>29</v>
      </c>
      <c r="Q153" s="13" t="s">
        <v>30</v>
      </c>
      <c r="R153" s="11" t="b">
        <v>0</v>
      </c>
      <c r="S153" s="11" t="s">
        <v>85</v>
      </c>
      <c r="T153" s="13" t="s">
        <v>32</v>
      </c>
      <c r="U153" s="13" t="s">
        <v>50</v>
      </c>
      <c r="V153" s="13" t="s">
        <v>51</v>
      </c>
      <c r="W153" s="13" t="s">
        <v>35</v>
      </c>
      <c r="X153" s="14">
        <v>45513.84631872685</v>
      </c>
      <c r="Y153" s="14">
        <v>45513.84631872685</v>
      </c>
      <c r="Z153" s="13"/>
      <c r="AA153" s="13"/>
    </row>
    <row r="154" ht="15.75" customHeight="1">
      <c r="A154" s="11" t="str">
        <f>HYPERLINK("https://portal.hubmapconsortium.org/browse/sample/805f079c7010a2c65251d5ae8d149ace", "HBM834.TWLT.567")</f>
        <v>HBM834.TWLT.567</v>
      </c>
      <c r="B154" s="12"/>
      <c r="C154" s="13" t="s">
        <v>287</v>
      </c>
      <c r="D154" s="12" t="s">
        <v>37</v>
      </c>
      <c r="E154" s="7" t="s">
        <v>44</v>
      </c>
      <c r="F154" s="13" t="s">
        <v>304</v>
      </c>
      <c r="G154" s="11" t="b">
        <v>0</v>
      </c>
      <c r="H154" s="11" t="str">
        <f t="shared" si="20"/>
        <v>HBM657.BGFJ.898</v>
      </c>
      <c r="I154" s="13" t="s">
        <v>321</v>
      </c>
      <c r="J154" s="13"/>
      <c r="K154" s="13"/>
      <c r="L154" s="13"/>
      <c r="M154" s="13"/>
      <c r="N154" s="13" t="s">
        <v>322</v>
      </c>
      <c r="O154" s="13" t="s">
        <v>28</v>
      </c>
      <c r="P154" s="13" t="s">
        <v>29</v>
      </c>
      <c r="Q154" s="13" t="s">
        <v>30</v>
      </c>
      <c r="R154" s="11" t="b">
        <v>0</v>
      </c>
      <c r="S154" s="11" t="s">
        <v>85</v>
      </c>
      <c r="T154" s="13" t="s">
        <v>49</v>
      </c>
      <c r="U154" s="13" t="s">
        <v>50</v>
      </c>
      <c r="V154" s="13" t="s">
        <v>51</v>
      </c>
      <c r="W154" s="13" t="s">
        <v>35</v>
      </c>
      <c r="X154" s="14">
        <v>45513.84633311343</v>
      </c>
      <c r="Y154" s="14">
        <v>45513.84633311343</v>
      </c>
      <c r="Z154" s="13"/>
      <c r="AA154" s="13"/>
    </row>
    <row r="155" ht="15.75" customHeight="1">
      <c r="A155" s="11" t="str">
        <f>HYPERLINK("https://portal.hubmapconsortium.org/browse/sample/223ba3fcfc3d823b445c6c7ded3efda2", "HBM445.QFQM.779")</f>
        <v>HBM445.QFQM.779</v>
      </c>
      <c r="B155" s="12"/>
      <c r="C155" s="13" t="s">
        <v>287</v>
      </c>
      <c r="D155" s="12" t="s">
        <v>37</v>
      </c>
      <c r="E155" s="7" t="s">
        <v>44</v>
      </c>
      <c r="F155" s="13" t="s">
        <v>304</v>
      </c>
      <c r="G155" s="11" t="b">
        <v>0</v>
      </c>
      <c r="H155" s="11" t="str">
        <f t="shared" si="20"/>
        <v>HBM657.BGFJ.898</v>
      </c>
      <c r="I155" s="13" t="s">
        <v>323</v>
      </c>
      <c r="J155" s="13"/>
      <c r="K155" s="13"/>
      <c r="L155" s="13"/>
      <c r="M155" s="13"/>
      <c r="N155" s="13" t="s">
        <v>324</v>
      </c>
      <c r="O155" s="13" t="s">
        <v>28</v>
      </c>
      <c r="P155" s="13" t="s">
        <v>29</v>
      </c>
      <c r="Q155" s="13" t="s">
        <v>30</v>
      </c>
      <c r="R155" s="11" t="b">
        <v>0</v>
      </c>
      <c r="S155" s="11" t="s">
        <v>85</v>
      </c>
      <c r="T155" s="13" t="s">
        <v>49</v>
      </c>
      <c r="U155" s="13" t="s">
        <v>50</v>
      </c>
      <c r="V155" s="13" t="s">
        <v>51</v>
      </c>
      <c r="W155" s="13" t="s">
        <v>35</v>
      </c>
      <c r="X155" s="14">
        <v>45513.84634731481</v>
      </c>
      <c r="Y155" s="14">
        <v>45513.84634731481</v>
      </c>
      <c r="Z155" s="13"/>
      <c r="AA155" s="13"/>
    </row>
    <row r="156" ht="15.75" customHeight="1">
      <c r="A156" s="11" t="str">
        <f>HYPERLINK("https://portal.hubmapconsortium.org/browse/sample/92413957de301d8b74aad2e9b78fe78d", "HBM857.QWST.373")</f>
        <v>HBM857.QWST.373</v>
      </c>
      <c r="B156" s="12"/>
      <c r="C156" s="13" t="s">
        <v>287</v>
      </c>
      <c r="D156" s="12" t="s">
        <v>37</v>
      </c>
      <c r="E156" s="7" t="s">
        <v>44</v>
      </c>
      <c r="F156" s="13" t="s">
        <v>304</v>
      </c>
      <c r="G156" s="11" t="b">
        <v>0</v>
      </c>
      <c r="H156" s="11" t="str">
        <f t="shared" si="20"/>
        <v>HBM657.BGFJ.898</v>
      </c>
      <c r="I156" s="13" t="s">
        <v>325</v>
      </c>
      <c r="J156" s="13"/>
      <c r="K156" s="13"/>
      <c r="L156" s="13"/>
      <c r="M156" s="13"/>
      <c r="N156" s="13" t="s">
        <v>326</v>
      </c>
      <c r="O156" s="13" t="s">
        <v>28</v>
      </c>
      <c r="P156" s="13" t="s">
        <v>29</v>
      </c>
      <c r="Q156" s="13" t="s">
        <v>30</v>
      </c>
      <c r="R156" s="11" t="b">
        <v>0</v>
      </c>
      <c r="S156" s="11" t="s">
        <v>85</v>
      </c>
      <c r="T156" s="13" t="s">
        <v>49</v>
      </c>
      <c r="U156" s="13" t="s">
        <v>50</v>
      </c>
      <c r="V156" s="13" t="s">
        <v>51</v>
      </c>
      <c r="W156" s="13" t="s">
        <v>35</v>
      </c>
      <c r="X156" s="14">
        <v>45513.84636344908</v>
      </c>
      <c r="Y156" s="14">
        <v>45513.84636344908</v>
      </c>
      <c r="Z156" s="13"/>
      <c r="AA156" s="13"/>
    </row>
    <row r="157" ht="15.75" customHeight="1">
      <c r="A157" s="11" t="str">
        <f>HYPERLINK("https://portal.hubmapconsortium.org/browse/sample/4649e917a2bf578e129e25c30295aa6d", "HBM422.SLBD.425")</f>
        <v>HBM422.SLBD.425</v>
      </c>
      <c r="B157" s="12"/>
      <c r="C157" s="13" t="s">
        <v>287</v>
      </c>
      <c r="D157" s="12" t="s">
        <v>37</v>
      </c>
      <c r="E157" s="7" t="s">
        <v>44</v>
      </c>
      <c r="F157" s="13" t="s">
        <v>304</v>
      </c>
      <c r="G157" s="11" t="b">
        <v>0</v>
      </c>
      <c r="H157" s="11" t="str">
        <f t="shared" si="20"/>
        <v>HBM657.BGFJ.898</v>
      </c>
      <c r="I157" s="13" t="s">
        <v>327</v>
      </c>
      <c r="J157" s="13"/>
      <c r="K157" s="13"/>
      <c r="L157" s="13"/>
      <c r="M157" s="13"/>
      <c r="N157" s="13" t="s">
        <v>328</v>
      </c>
      <c r="O157" s="13" t="s">
        <v>28</v>
      </c>
      <c r="P157" s="13" t="s">
        <v>29</v>
      </c>
      <c r="Q157" s="13" t="s">
        <v>30</v>
      </c>
      <c r="R157" s="11" t="b">
        <v>0</v>
      </c>
      <c r="S157" s="11" t="s">
        <v>85</v>
      </c>
      <c r="T157" s="13" t="s">
        <v>32</v>
      </c>
      <c r="U157" s="13" t="s">
        <v>50</v>
      </c>
      <c r="V157" s="13" t="s">
        <v>51</v>
      </c>
      <c r="W157" s="13" t="s">
        <v>35</v>
      </c>
      <c r="X157" s="14">
        <v>45513.84637787037</v>
      </c>
      <c r="Y157" s="14">
        <v>45513.84637787037</v>
      </c>
      <c r="Z157" s="13"/>
      <c r="AA157" s="13"/>
    </row>
    <row r="158" ht="15.75" customHeight="1">
      <c r="A158" s="11" t="str">
        <f>HYPERLINK("https://portal.hubmapconsortium.org/browse/sample/383e0e20762acde9b21601a897d1a826", "HBM457.XVMG.386")</f>
        <v>HBM457.XVMG.386</v>
      </c>
      <c r="B158" s="12"/>
      <c r="C158" s="13" t="s">
        <v>287</v>
      </c>
      <c r="D158" s="12" t="s">
        <v>37</v>
      </c>
      <c r="E158" s="7" t="s">
        <v>44</v>
      </c>
      <c r="F158" s="13" t="s">
        <v>304</v>
      </c>
      <c r="G158" s="11" t="b">
        <v>0</v>
      </c>
      <c r="H158" s="11" t="str">
        <f t="shared" si="20"/>
        <v>HBM657.BGFJ.898</v>
      </c>
      <c r="I158" s="13" t="s">
        <v>329</v>
      </c>
      <c r="J158" s="13"/>
      <c r="K158" s="13"/>
      <c r="L158" s="13"/>
      <c r="M158" s="13"/>
      <c r="N158" s="13" t="s">
        <v>330</v>
      </c>
      <c r="O158" s="13" t="s">
        <v>28</v>
      </c>
      <c r="P158" s="13" t="s">
        <v>29</v>
      </c>
      <c r="Q158" s="13" t="s">
        <v>30</v>
      </c>
      <c r="R158" s="11" t="b">
        <v>0</v>
      </c>
      <c r="S158" s="11" t="s">
        <v>85</v>
      </c>
      <c r="T158" s="13" t="s">
        <v>49</v>
      </c>
      <c r="U158" s="13" t="s">
        <v>50</v>
      </c>
      <c r="V158" s="13" t="s">
        <v>51</v>
      </c>
      <c r="W158" s="13" t="s">
        <v>35</v>
      </c>
      <c r="X158" s="14">
        <v>45513.84639337963</v>
      </c>
      <c r="Y158" s="14">
        <v>45513.84639337963</v>
      </c>
      <c r="Z158" s="13"/>
      <c r="AA158" s="13"/>
    </row>
    <row r="159" ht="15.75" customHeight="1">
      <c r="A159" s="11" t="str">
        <f>HYPERLINK("https://portal.hubmapconsortium.org/browse/sample/d4e60712c52914725ccc046766d59daf", "HBM379.RLSZ.656")</f>
        <v>HBM379.RLSZ.656</v>
      </c>
      <c r="B159" s="12"/>
      <c r="C159" s="13" t="s">
        <v>287</v>
      </c>
      <c r="D159" s="12" t="s">
        <v>37</v>
      </c>
      <c r="E159" s="7" t="s">
        <v>44</v>
      </c>
      <c r="F159" s="13" t="s">
        <v>304</v>
      </c>
      <c r="G159" s="11" t="b">
        <v>0</v>
      </c>
      <c r="H159" s="11" t="str">
        <f t="shared" si="20"/>
        <v>HBM657.BGFJ.898</v>
      </c>
      <c r="I159" s="13" t="s">
        <v>331</v>
      </c>
      <c r="J159" s="13"/>
      <c r="K159" s="13"/>
      <c r="L159" s="13"/>
      <c r="M159" s="13"/>
      <c r="N159" s="13" t="s">
        <v>332</v>
      </c>
      <c r="O159" s="13" t="s">
        <v>28</v>
      </c>
      <c r="P159" s="13" t="s">
        <v>29</v>
      </c>
      <c r="Q159" s="13" t="s">
        <v>30</v>
      </c>
      <c r="R159" s="11" t="b">
        <v>0</v>
      </c>
      <c r="S159" s="11" t="s">
        <v>85</v>
      </c>
      <c r="T159" s="13" t="s">
        <v>49</v>
      </c>
      <c r="U159" s="13" t="s">
        <v>50</v>
      </c>
      <c r="V159" s="13" t="s">
        <v>51</v>
      </c>
      <c r="W159" s="13" t="s">
        <v>35</v>
      </c>
      <c r="X159" s="14">
        <v>45513.84640827547</v>
      </c>
      <c r="Y159" s="14">
        <v>45513.84640827547</v>
      </c>
      <c r="Z159" s="13"/>
      <c r="AA159" s="13"/>
    </row>
    <row r="160" ht="15.75" customHeight="1">
      <c r="A160" s="11" t="str">
        <f>HYPERLINK("https://portal.hubmapconsortium.org/browse/sample/c2f9c093632889711e91dea17a31d379", "HBM857.BSZM.395")</f>
        <v>HBM857.BSZM.395</v>
      </c>
      <c r="B160" s="12"/>
      <c r="C160" s="13" t="s">
        <v>287</v>
      </c>
      <c r="D160" s="12" t="s">
        <v>37</v>
      </c>
      <c r="E160" s="7" t="s">
        <v>44</v>
      </c>
      <c r="F160" s="13" t="s">
        <v>304</v>
      </c>
      <c r="G160" s="11" t="b">
        <v>0</v>
      </c>
      <c r="H160" s="11" t="str">
        <f t="shared" si="20"/>
        <v>HBM657.BGFJ.898</v>
      </c>
      <c r="I160" s="13" t="s">
        <v>333</v>
      </c>
      <c r="J160" s="13"/>
      <c r="K160" s="13"/>
      <c r="L160" s="13"/>
      <c r="M160" s="13"/>
      <c r="N160" s="13" t="s">
        <v>334</v>
      </c>
      <c r="O160" s="13" t="s">
        <v>28</v>
      </c>
      <c r="P160" s="13" t="s">
        <v>29</v>
      </c>
      <c r="Q160" s="13" t="s">
        <v>30</v>
      </c>
      <c r="R160" s="11" t="b">
        <v>0</v>
      </c>
      <c r="S160" s="11" t="s">
        <v>85</v>
      </c>
      <c r="T160" s="13" t="s">
        <v>49</v>
      </c>
      <c r="U160" s="13" t="s">
        <v>50</v>
      </c>
      <c r="V160" s="13" t="s">
        <v>51</v>
      </c>
      <c r="W160" s="13" t="s">
        <v>35</v>
      </c>
      <c r="X160" s="14">
        <v>45513.84642368055</v>
      </c>
      <c r="Y160" s="14">
        <v>45513.84642368055</v>
      </c>
      <c r="Z160" s="13"/>
      <c r="AA160" s="13"/>
    </row>
    <row r="161" ht="15.75" customHeight="1">
      <c r="A161" s="11" t="str">
        <f>HYPERLINK("https://portal.hubmapconsortium.org/browse/sample/609894646e9ad6b880409478dbed3c15", "HBM285.QRGK.979")</f>
        <v>HBM285.QRGK.979</v>
      </c>
      <c r="B161" s="12"/>
      <c r="C161" s="13" t="s">
        <v>287</v>
      </c>
      <c r="D161" s="12" t="s">
        <v>37</v>
      </c>
      <c r="E161" s="7" t="s">
        <v>44</v>
      </c>
      <c r="F161" s="13" t="s">
        <v>304</v>
      </c>
      <c r="G161" s="11" t="b">
        <v>0</v>
      </c>
      <c r="H161" s="11" t="str">
        <f t="shared" si="20"/>
        <v>HBM657.BGFJ.898</v>
      </c>
      <c r="I161" s="13" t="s">
        <v>335</v>
      </c>
      <c r="J161" s="13"/>
      <c r="K161" s="13"/>
      <c r="L161" s="13"/>
      <c r="M161" s="13"/>
      <c r="N161" s="13" t="s">
        <v>336</v>
      </c>
      <c r="O161" s="13" t="s">
        <v>28</v>
      </c>
      <c r="P161" s="13" t="s">
        <v>29</v>
      </c>
      <c r="Q161" s="13" t="s">
        <v>30</v>
      </c>
      <c r="R161" s="11" t="b">
        <v>0</v>
      </c>
      <c r="S161" s="11" t="s">
        <v>85</v>
      </c>
      <c r="T161" s="13" t="s">
        <v>32</v>
      </c>
      <c r="U161" s="13" t="s">
        <v>50</v>
      </c>
      <c r="V161" s="13" t="s">
        <v>51</v>
      </c>
      <c r="W161" s="13" t="s">
        <v>35</v>
      </c>
      <c r="X161" s="14">
        <v>45513.84643932871</v>
      </c>
      <c r="Y161" s="14">
        <v>45513.84643932871</v>
      </c>
      <c r="Z161" s="13"/>
      <c r="AA161" s="13"/>
    </row>
    <row r="162" ht="15.75" customHeight="1">
      <c r="A162" s="11" t="str">
        <f>HYPERLINK("https://portal.hubmapconsortium.org/browse/sample/d0962f978e5403dda48e254a85aa7f5e", "HBM959.CLLS.628")</f>
        <v>HBM959.CLLS.628</v>
      </c>
      <c r="B162" s="12"/>
      <c r="C162" s="13" t="s">
        <v>287</v>
      </c>
      <c r="D162" s="12" t="s">
        <v>37</v>
      </c>
      <c r="E162" s="7" t="s">
        <v>44</v>
      </c>
      <c r="F162" s="13" t="s">
        <v>304</v>
      </c>
      <c r="G162" s="11" t="b">
        <v>0</v>
      </c>
      <c r="H162" s="11" t="str">
        <f t="shared" si="20"/>
        <v>HBM657.BGFJ.898</v>
      </c>
      <c r="I162" s="13" t="s">
        <v>337</v>
      </c>
      <c r="J162" s="13"/>
      <c r="K162" s="13"/>
      <c r="L162" s="13"/>
      <c r="M162" s="13"/>
      <c r="N162" s="13" t="s">
        <v>306</v>
      </c>
      <c r="O162" s="13" t="s">
        <v>28</v>
      </c>
      <c r="P162" s="13" t="s">
        <v>29</v>
      </c>
      <c r="Q162" s="13" t="s">
        <v>30</v>
      </c>
      <c r="R162" s="11" t="b">
        <v>0</v>
      </c>
      <c r="S162" s="11" t="s">
        <v>85</v>
      </c>
      <c r="T162" s="13" t="s">
        <v>49</v>
      </c>
      <c r="U162" s="13" t="s">
        <v>50</v>
      </c>
      <c r="V162" s="13" t="s">
        <v>51</v>
      </c>
      <c r="W162" s="13" t="s">
        <v>35</v>
      </c>
      <c r="X162" s="14">
        <v>45513.84645436343</v>
      </c>
      <c r="Y162" s="14">
        <v>45513.84645436343</v>
      </c>
      <c r="Z162" s="13"/>
      <c r="AA162" s="13"/>
    </row>
    <row r="163" ht="15.75" customHeight="1">
      <c r="A163" s="11" t="str">
        <f>HYPERLINK("https://portal.hubmapconsortium.org/browse/sample/7c30ca90ac6de576b0e147ab9dc0a359", "HBM963.RBMV.922")</f>
        <v>HBM963.RBMV.922</v>
      </c>
      <c r="B163" s="12"/>
      <c r="C163" s="13" t="s">
        <v>287</v>
      </c>
      <c r="D163" s="12" t="s">
        <v>37</v>
      </c>
      <c r="E163" s="7" t="s">
        <v>44</v>
      </c>
      <c r="F163" s="13" t="s">
        <v>304</v>
      </c>
      <c r="G163" s="11" t="b">
        <v>0</v>
      </c>
      <c r="H163" s="11" t="str">
        <f t="shared" si="20"/>
        <v>HBM657.BGFJ.898</v>
      </c>
      <c r="I163" s="13" t="s">
        <v>338</v>
      </c>
      <c r="J163" s="13"/>
      <c r="K163" s="13"/>
      <c r="L163" s="13"/>
      <c r="M163" s="13"/>
      <c r="N163" s="13" t="s">
        <v>308</v>
      </c>
      <c r="O163" s="13" t="s">
        <v>28</v>
      </c>
      <c r="P163" s="13" t="s">
        <v>29</v>
      </c>
      <c r="Q163" s="13" t="s">
        <v>30</v>
      </c>
      <c r="R163" s="11" t="b">
        <v>0</v>
      </c>
      <c r="S163" s="11" t="s">
        <v>85</v>
      </c>
      <c r="T163" s="13" t="s">
        <v>49</v>
      </c>
      <c r="U163" s="13" t="s">
        <v>50</v>
      </c>
      <c r="V163" s="13" t="s">
        <v>51</v>
      </c>
      <c r="W163" s="13" t="s">
        <v>35</v>
      </c>
      <c r="X163" s="14">
        <v>45513.84647021991</v>
      </c>
      <c r="Y163" s="14">
        <v>45513.84647021991</v>
      </c>
      <c r="Z163" s="13"/>
      <c r="AA163" s="13"/>
    </row>
    <row r="164" ht="15.75" customHeight="1">
      <c r="A164" s="11" t="str">
        <f>HYPERLINK("https://portal.hubmapconsortium.org/browse/sample/711b64d4b6cd82f397d11ba2501bd818", "HBM568.SRJH.998")</f>
        <v>HBM568.SRJH.998</v>
      </c>
      <c r="B164" s="12"/>
      <c r="C164" s="13" t="s">
        <v>287</v>
      </c>
      <c r="D164" s="12" t="s">
        <v>37</v>
      </c>
      <c r="E164" s="7" t="s">
        <v>44</v>
      </c>
      <c r="F164" s="13" t="s">
        <v>304</v>
      </c>
      <c r="G164" s="11" t="b">
        <v>0</v>
      </c>
      <c r="H164" s="11" t="str">
        <f t="shared" si="20"/>
        <v>HBM657.BGFJ.898</v>
      </c>
      <c r="I164" s="13" t="s">
        <v>339</v>
      </c>
      <c r="J164" s="13"/>
      <c r="K164" s="13"/>
      <c r="L164" s="13"/>
      <c r="M164" s="13"/>
      <c r="N164" s="13" t="s">
        <v>310</v>
      </c>
      <c r="O164" s="13" t="s">
        <v>28</v>
      </c>
      <c r="P164" s="13" t="s">
        <v>29</v>
      </c>
      <c r="Q164" s="13" t="s">
        <v>30</v>
      </c>
      <c r="R164" s="11" t="b">
        <v>0</v>
      </c>
      <c r="S164" s="11" t="s">
        <v>85</v>
      </c>
      <c r="T164" s="13" t="s">
        <v>49</v>
      </c>
      <c r="U164" s="13" t="s">
        <v>50</v>
      </c>
      <c r="V164" s="13" t="s">
        <v>51</v>
      </c>
      <c r="W164" s="13" t="s">
        <v>35</v>
      </c>
      <c r="X164" s="14">
        <v>45513.84648527778</v>
      </c>
      <c r="Y164" s="14">
        <v>45513.84648527778</v>
      </c>
      <c r="Z164" s="13"/>
      <c r="AA164" s="13"/>
    </row>
    <row r="165" ht="15.75" customHeight="1">
      <c r="A165" s="11" t="str">
        <f>HYPERLINK("https://portal.hubmapconsortium.org/browse/sample/f3db3d9d35e77a5ee6c7137a1307240f", "HBM237.CVQN.634")</f>
        <v>HBM237.CVQN.634</v>
      </c>
      <c r="B165" s="12"/>
      <c r="C165" s="13" t="s">
        <v>287</v>
      </c>
      <c r="D165" s="12" t="s">
        <v>37</v>
      </c>
      <c r="E165" s="7" t="s">
        <v>44</v>
      </c>
      <c r="F165" s="13" t="s">
        <v>304</v>
      </c>
      <c r="G165" s="11" t="b">
        <v>0</v>
      </c>
      <c r="H165" s="11" t="str">
        <f t="shared" si="20"/>
        <v>HBM657.BGFJ.898</v>
      </c>
      <c r="I165" s="13" t="s">
        <v>340</v>
      </c>
      <c r="J165" s="13"/>
      <c r="K165" s="13"/>
      <c r="L165" s="13"/>
      <c r="M165" s="13"/>
      <c r="N165" s="13" t="s">
        <v>312</v>
      </c>
      <c r="O165" s="13" t="s">
        <v>28</v>
      </c>
      <c r="P165" s="13" t="s">
        <v>29</v>
      </c>
      <c r="Q165" s="13" t="s">
        <v>30</v>
      </c>
      <c r="R165" s="11" t="b">
        <v>0</v>
      </c>
      <c r="S165" s="11" t="s">
        <v>85</v>
      </c>
      <c r="T165" s="13" t="s">
        <v>32</v>
      </c>
      <c r="U165" s="13" t="s">
        <v>50</v>
      </c>
      <c r="V165" s="13" t="s">
        <v>51</v>
      </c>
      <c r="W165" s="13" t="s">
        <v>35</v>
      </c>
      <c r="X165" s="14">
        <v>45513.8465008912</v>
      </c>
      <c r="Y165" s="14">
        <v>45513.8465008912</v>
      </c>
      <c r="Z165" s="13"/>
      <c r="AA165" s="13"/>
    </row>
    <row r="166" ht="15.75" customHeight="1">
      <c r="A166" s="11" t="str">
        <f>HYPERLINK("https://portal.hubmapconsortium.org/browse/sample/92651fccdd142c1eba18032b0a492db8", "HBM335.XNDG.798")</f>
        <v>HBM335.XNDG.798</v>
      </c>
      <c r="B166" s="12"/>
      <c r="C166" s="13" t="s">
        <v>287</v>
      </c>
      <c r="D166" s="12" t="s">
        <v>37</v>
      </c>
      <c r="E166" s="7" t="s">
        <v>44</v>
      </c>
      <c r="F166" s="13" t="s">
        <v>304</v>
      </c>
      <c r="G166" s="11" t="b">
        <v>0</v>
      </c>
      <c r="H166" s="11" t="str">
        <f t="shared" si="20"/>
        <v>HBM657.BGFJ.898</v>
      </c>
      <c r="I166" s="13" t="s">
        <v>341</v>
      </c>
      <c r="J166" s="13"/>
      <c r="K166" s="13"/>
      <c r="L166" s="13"/>
      <c r="M166" s="13"/>
      <c r="N166" s="13" t="s">
        <v>314</v>
      </c>
      <c r="O166" s="13" t="s">
        <v>28</v>
      </c>
      <c r="P166" s="13" t="s">
        <v>29</v>
      </c>
      <c r="Q166" s="13" t="s">
        <v>30</v>
      </c>
      <c r="R166" s="11" t="b">
        <v>0</v>
      </c>
      <c r="S166" s="11" t="s">
        <v>85</v>
      </c>
      <c r="T166" s="13" t="s">
        <v>49</v>
      </c>
      <c r="U166" s="13" t="s">
        <v>50</v>
      </c>
      <c r="V166" s="13" t="s">
        <v>51</v>
      </c>
      <c r="W166" s="13" t="s">
        <v>35</v>
      </c>
      <c r="X166" s="14">
        <v>45513.84651517361</v>
      </c>
      <c r="Y166" s="14">
        <v>45513.84651517361</v>
      </c>
      <c r="Z166" s="13"/>
      <c r="AA166" s="13"/>
    </row>
    <row r="167" ht="15.75" customHeight="1">
      <c r="A167" s="11" t="str">
        <f>HYPERLINK("https://portal.hubmapconsortium.org/browse/sample/2732ee7d023853957e71946d95e8ca34", "HBM522.SLTF.265")</f>
        <v>HBM522.SLTF.265</v>
      </c>
      <c r="B167" s="12"/>
      <c r="C167" s="13" t="s">
        <v>287</v>
      </c>
      <c r="D167" s="12" t="s">
        <v>37</v>
      </c>
      <c r="E167" s="7" t="s">
        <v>44</v>
      </c>
      <c r="F167" s="13" t="s">
        <v>304</v>
      </c>
      <c r="G167" s="11" t="b">
        <v>0</v>
      </c>
      <c r="H167" s="11" t="str">
        <f t="shared" si="20"/>
        <v>HBM657.BGFJ.898</v>
      </c>
      <c r="I167" s="13" t="s">
        <v>342</v>
      </c>
      <c r="J167" s="13"/>
      <c r="K167" s="13"/>
      <c r="L167" s="13"/>
      <c r="M167" s="13"/>
      <c r="N167" s="13" t="s">
        <v>316</v>
      </c>
      <c r="O167" s="13" t="s">
        <v>28</v>
      </c>
      <c r="P167" s="13" t="s">
        <v>29</v>
      </c>
      <c r="Q167" s="13" t="s">
        <v>30</v>
      </c>
      <c r="R167" s="11" t="b">
        <v>0</v>
      </c>
      <c r="S167" s="11" t="s">
        <v>85</v>
      </c>
      <c r="T167" s="13" t="s">
        <v>49</v>
      </c>
      <c r="U167" s="13" t="s">
        <v>50</v>
      </c>
      <c r="V167" s="13" t="s">
        <v>51</v>
      </c>
      <c r="W167" s="13" t="s">
        <v>35</v>
      </c>
      <c r="X167" s="14">
        <v>45513.84653033565</v>
      </c>
      <c r="Y167" s="14">
        <v>45513.84653033565</v>
      </c>
      <c r="Z167" s="13"/>
      <c r="AA167" s="13"/>
    </row>
    <row r="168" ht="15.75" customHeight="1">
      <c r="A168" s="11" t="str">
        <f>HYPERLINK("https://portal.hubmapconsortium.org/browse/sample/3e1916c4ccc34296a0fb04c65b37f474", "HBM527.JMGR.583")</f>
        <v>HBM527.JMGR.583</v>
      </c>
      <c r="B168" s="12"/>
      <c r="C168" s="13" t="s">
        <v>287</v>
      </c>
      <c r="D168" s="12" t="s">
        <v>37</v>
      </c>
      <c r="E168" s="7" t="s">
        <v>44</v>
      </c>
      <c r="F168" s="13" t="s">
        <v>304</v>
      </c>
      <c r="G168" s="11" t="b">
        <v>0</v>
      </c>
      <c r="H168" s="11" t="str">
        <f t="shared" si="20"/>
        <v>HBM657.BGFJ.898</v>
      </c>
      <c r="I168" s="13" t="s">
        <v>343</v>
      </c>
      <c r="J168" s="13"/>
      <c r="K168" s="13"/>
      <c r="L168" s="13"/>
      <c r="M168" s="13"/>
      <c r="N168" s="13" t="s">
        <v>318</v>
      </c>
      <c r="O168" s="13" t="s">
        <v>28</v>
      </c>
      <c r="P168" s="13" t="s">
        <v>29</v>
      </c>
      <c r="Q168" s="13" t="s">
        <v>30</v>
      </c>
      <c r="R168" s="11" t="b">
        <v>0</v>
      </c>
      <c r="S168" s="11" t="s">
        <v>85</v>
      </c>
      <c r="T168" s="13" t="s">
        <v>49</v>
      </c>
      <c r="U168" s="13" t="s">
        <v>50</v>
      </c>
      <c r="V168" s="13" t="s">
        <v>51</v>
      </c>
      <c r="W168" s="13" t="s">
        <v>35</v>
      </c>
      <c r="X168" s="14">
        <v>45513.84654574074</v>
      </c>
      <c r="Y168" s="14">
        <v>45513.84654574074</v>
      </c>
      <c r="Z168" s="13"/>
      <c r="AA168" s="13"/>
    </row>
    <row r="169" ht="15.75" customHeight="1">
      <c r="A169" s="11" t="str">
        <f>HYPERLINK("https://portal.hubmapconsortium.org/browse/sample/1393a82c63d1c8b20f08e098bc978c2f", "HBM462.XMMT.445")</f>
        <v>HBM462.XMMT.445</v>
      </c>
      <c r="B169" s="12"/>
      <c r="C169" s="13" t="s">
        <v>287</v>
      </c>
      <c r="D169" s="12" t="s">
        <v>37</v>
      </c>
      <c r="E169" s="7" t="s">
        <v>44</v>
      </c>
      <c r="F169" s="13" t="s">
        <v>304</v>
      </c>
      <c r="G169" s="11" t="b">
        <v>0</v>
      </c>
      <c r="H169" s="11" t="str">
        <f t="shared" si="20"/>
        <v>HBM657.BGFJ.898</v>
      </c>
      <c r="I169" s="13" t="s">
        <v>344</v>
      </c>
      <c r="J169" s="13"/>
      <c r="K169" s="13"/>
      <c r="L169" s="13"/>
      <c r="M169" s="13"/>
      <c r="N169" s="13" t="s">
        <v>320</v>
      </c>
      <c r="O169" s="13" t="s">
        <v>28</v>
      </c>
      <c r="P169" s="13" t="s">
        <v>29</v>
      </c>
      <c r="Q169" s="13" t="s">
        <v>30</v>
      </c>
      <c r="R169" s="11" t="b">
        <v>0</v>
      </c>
      <c r="S169" s="11" t="s">
        <v>85</v>
      </c>
      <c r="T169" s="13" t="s">
        <v>32</v>
      </c>
      <c r="U169" s="13" t="s">
        <v>50</v>
      </c>
      <c r="V169" s="13" t="s">
        <v>51</v>
      </c>
      <c r="W169" s="13" t="s">
        <v>35</v>
      </c>
      <c r="X169" s="14">
        <v>45513.84656078704</v>
      </c>
      <c r="Y169" s="14">
        <v>45513.84656078704</v>
      </c>
      <c r="Z169" s="13"/>
      <c r="AA169" s="13"/>
    </row>
    <row r="170" ht="15.75" customHeight="1">
      <c r="A170" s="11" t="str">
        <f>HYPERLINK("https://portal.hubmapconsortium.org/browse/sample/588c99cee9327d5044befce725d810f1", "HBM684.TJHV.775")</f>
        <v>HBM684.TJHV.775</v>
      </c>
      <c r="B170" s="12"/>
      <c r="C170" s="13" t="s">
        <v>287</v>
      </c>
      <c r="D170" s="12" t="s">
        <v>37</v>
      </c>
      <c r="E170" s="7" t="s">
        <v>44</v>
      </c>
      <c r="F170" s="13" t="s">
        <v>304</v>
      </c>
      <c r="G170" s="11" t="b">
        <v>0</v>
      </c>
      <c r="H170" s="11" t="str">
        <f t="shared" si="20"/>
        <v>HBM657.BGFJ.898</v>
      </c>
      <c r="I170" s="13" t="s">
        <v>345</v>
      </c>
      <c r="J170" s="13"/>
      <c r="K170" s="13"/>
      <c r="L170" s="13"/>
      <c r="M170" s="13"/>
      <c r="N170" s="13" t="s">
        <v>322</v>
      </c>
      <c r="O170" s="13" t="s">
        <v>28</v>
      </c>
      <c r="P170" s="13" t="s">
        <v>29</v>
      </c>
      <c r="Q170" s="13" t="s">
        <v>30</v>
      </c>
      <c r="R170" s="11" t="b">
        <v>0</v>
      </c>
      <c r="S170" s="11" t="s">
        <v>85</v>
      </c>
      <c r="T170" s="13" t="s">
        <v>49</v>
      </c>
      <c r="U170" s="13" t="s">
        <v>50</v>
      </c>
      <c r="V170" s="13" t="s">
        <v>51</v>
      </c>
      <c r="W170" s="13" t="s">
        <v>35</v>
      </c>
      <c r="X170" s="14">
        <v>45513.84657609954</v>
      </c>
      <c r="Y170" s="14">
        <v>45513.84657609954</v>
      </c>
      <c r="Z170" s="13"/>
      <c r="AA170" s="13"/>
    </row>
    <row r="171" ht="15.75" customHeight="1">
      <c r="A171" s="11" t="str">
        <f>HYPERLINK("https://portal.hubmapconsortium.org/browse/sample/78b92f5d0d69df25a4384cf7abf2439c", "HBM826.SVSN.356")</f>
        <v>HBM826.SVSN.356</v>
      </c>
      <c r="B171" s="12"/>
      <c r="C171" s="13" t="s">
        <v>287</v>
      </c>
      <c r="D171" s="12" t="s">
        <v>37</v>
      </c>
      <c r="E171" s="7" t="s">
        <v>44</v>
      </c>
      <c r="F171" s="13" t="s">
        <v>304</v>
      </c>
      <c r="G171" s="11" t="b">
        <v>0</v>
      </c>
      <c r="H171" s="11" t="str">
        <f t="shared" si="20"/>
        <v>HBM657.BGFJ.898</v>
      </c>
      <c r="I171" s="13" t="s">
        <v>346</v>
      </c>
      <c r="J171" s="13"/>
      <c r="K171" s="13"/>
      <c r="L171" s="13"/>
      <c r="M171" s="13"/>
      <c r="N171" s="13" t="s">
        <v>324</v>
      </c>
      <c r="O171" s="13" t="s">
        <v>28</v>
      </c>
      <c r="P171" s="13" t="s">
        <v>29</v>
      </c>
      <c r="Q171" s="13" t="s">
        <v>30</v>
      </c>
      <c r="R171" s="11" t="b">
        <v>0</v>
      </c>
      <c r="S171" s="11" t="s">
        <v>85</v>
      </c>
      <c r="T171" s="13" t="s">
        <v>49</v>
      </c>
      <c r="U171" s="13" t="s">
        <v>50</v>
      </c>
      <c r="V171" s="13" t="s">
        <v>51</v>
      </c>
      <c r="W171" s="13" t="s">
        <v>35</v>
      </c>
      <c r="X171" s="14">
        <v>45513.84659083333</v>
      </c>
      <c r="Y171" s="14">
        <v>45513.84659083333</v>
      </c>
      <c r="Z171" s="13"/>
      <c r="AA171" s="13"/>
    </row>
    <row r="172" ht="15.75" customHeight="1">
      <c r="A172" s="11" t="str">
        <f>HYPERLINK("https://portal.hubmapconsortium.org/browse/sample/c0ca6c5e72c124051bd710aa513d7528", "HBM967.TTZH.632")</f>
        <v>HBM967.TTZH.632</v>
      </c>
      <c r="B172" s="12"/>
      <c r="C172" s="13" t="s">
        <v>287</v>
      </c>
      <c r="D172" s="12" t="s">
        <v>37</v>
      </c>
      <c r="E172" s="7" t="s">
        <v>44</v>
      </c>
      <c r="F172" s="13" t="s">
        <v>304</v>
      </c>
      <c r="G172" s="11" t="b">
        <v>0</v>
      </c>
      <c r="H172" s="11" t="str">
        <f t="shared" si="20"/>
        <v>HBM657.BGFJ.898</v>
      </c>
      <c r="I172" s="13" t="s">
        <v>347</v>
      </c>
      <c r="J172" s="13"/>
      <c r="K172" s="13"/>
      <c r="L172" s="13"/>
      <c r="M172" s="13"/>
      <c r="N172" s="13" t="s">
        <v>326</v>
      </c>
      <c r="O172" s="13" t="s">
        <v>28</v>
      </c>
      <c r="P172" s="13" t="s">
        <v>29</v>
      </c>
      <c r="Q172" s="13" t="s">
        <v>30</v>
      </c>
      <c r="R172" s="11" t="b">
        <v>0</v>
      </c>
      <c r="S172" s="11" t="s">
        <v>85</v>
      </c>
      <c r="T172" s="13" t="s">
        <v>49</v>
      </c>
      <c r="U172" s="13" t="s">
        <v>50</v>
      </c>
      <c r="V172" s="13" t="s">
        <v>51</v>
      </c>
      <c r="W172" s="13" t="s">
        <v>35</v>
      </c>
      <c r="X172" s="14">
        <v>45513.846606875</v>
      </c>
      <c r="Y172" s="14">
        <v>45513.846606875</v>
      </c>
      <c r="Z172" s="13"/>
      <c r="AA172" s="13"/>
    </row>
    <row r="173" ht="15.75" customHeight="1">
      <c r="A173" s="11" t="str">
        <f>HYPERLINK("https://portal.hubmapconsortium.org/browse/sample/0f2dbd0a98c70585fe618b4303ddf84b", "HBM286.FHCL.374")</f>
        <v>HBM286.FHCL.374</v>
      </c>
      <c r="B173" s="12"/>
      <c r="C173" s="13" t="s">
        <v>287</v>
      </c>
      <c r="D173" s="12" t="s">
        <v>37</v>
      </c>
      <c r="E173" s="7" t="s">
        <v>44</v>
      </c>
      <c r="F173" s="13" t="s">
        <v>304</v>
      </c>
      <c r="G173" s="11" t="b">
        <v>0</v>
      </c>
      <c r="H173" s="11" t="str">
        <f t="shared" si="20"/>
        <v>HBM657.BGFJ.898</v>
      </c>
      <c r="I173" s="13" t="s">
        <v>348</v>
      </c>
      <c r="J173" s="13"/>
      <c r="K173" s="13"/>
      <c r="L173" s="13"/>
      <c r="M173" s="13"/>
      <c r="N173" s="13" t="s">
        <v>328</v>
      </c>
      <c r="O173" s="13" t="s">
        <v>28</v>
      </c>
      <c r="P173" s="13" t="s">
        <v>29</v>
      </c>
      <c r="Q173" s="13" t="s">
        <v>30</v>
      </c>
      <c r="R173" s="11" t="b">
        <v>0</v>
      </c>
      <c r="S173" s="11" t="s">
        <v>85</v>
      </c>
      <c r="T173" s="13" t="s">
        <v>32</v>
      </c>
      <c r="U173" s="13" t="s">
        <v>50</v>
      </c>
      <c r="V173" s="13" t="s">
        <v>51</v>
      </c>
      <c r="W173" s="13" t="s">
        <v>35</v>
      </c>
      <c r="X173" s="14">
        <v>45513.84662229167</v>
      </c>
      <c r="Y173" s="14">
        <v>45513.84662229167</v>
      </c>
      <c r="Z173" s="13"/>
      <c r="AA173" s="13"/>
    </row>
    <row r="174" ht="15.75" customHeight="1">
      <c r="A174" s="11" t="str">
        <f>HYPERLINK("https://portal.hubmapconsortium.org/browse/sample/a7ade5a562d02adfb1f98f1bc8ea6acb", "HBM739.GCMQ.896")</f>
        <v>HBM739.GCMQ.896</v>
      </c>
      <c r="B174" s="12"/>
      <c r="C174" s="13" t="s">
        <v>287</v>
      </c>
      <c r="D174" s="12" t="s">
        <v>37</v>
      </c>
      <c r="E174" s="7" t="s">
        <v>44</v>
      </c>
      <c r="F174" s="13" t="s">
        <v>304</v>
      </c>
      <c r="G174" s="11" t="b">
        <v>0</v>
      </c>
      <c r="H174" s="11" t="str">
        <f t="shared" si="20"/>
        <v>HBM657.BGFJ.898</v>
      </c>
      <c r="I174" s="13" t="s">
        <v>349</v>
      </c>
      <c r="J174" s="13"/>
      <c r="K174" s="13"/>
      <c r="L174" s="13"/>
      <c r="M174" s="13"/>
      <c r="N174" s="13" t="s">
        <v>330</v>
      </c>
      <c r="O174" s="13" t="s">
        <v>28</v>
      </c>
      <c r="P174" s="13" t="s">
        <v>29</v>
      </c>
      <c r="Q174" s="13" t="s">
        <v>30</v>
      </c>
      <c r="R174" s="11" t="b">
        <v>0</v>
      </c>
      <c r="S174" s="11" t="s">
        <v>85</v>
      </c>
      <c r="T174" s="13" t="s">
        <v>49</v>
      </c>
      <c r="U174" s="13" t="s">
        <v>50</v>
      </c>
      <c r="V174" s="13" t="s">
        <v>51</v>
      </c>
      <c r="W174" s="13" t="s">
        <v>35</v>
      </c>
      <c r="X174" s="14">
        <v>45513.84663752315</v>
      </c>
      <c r="Y174" s="14">
        <v>45513.84663752315</v>
      </c>
      <c r="Z174" s="13"/>
      <c r="AA174" s="13"/>
    </row>
    <row r="175" ht="15.75" customHeight="1">
      <c r="A175" s="11" t="str">
        <f>HYPERLINK("https://portal.hubmapconsortium.org/browse/sample/09ad36e7bf68ebeb97d6d4dcd4c69152", "HBM565.GPDR.678")</f>
        <v>HBM565.GPDR.678</v>
      </c>
      <c r="B175" s="12"/>
      <c r="C175" s="13" t="s">
        <v>287</v>
      </c>
      <c r="D175" s="12" t="s">
        <v>37</v>
      </c>
      <c r="E175" s="7" t="s">
        <v>44</v>
      </c>
      <c r="F175" s="13" t="s">
        <v>304</v>
      </c>
      <c r="G175" s="11" t="b">
        <v>0</v>
      </c>
      <c r="H175" s="11" t="str">
        <f t="shared" si="20"/>
        <v>HBM657.BGFJ.898</v>
      </c>
      <c r="I175" s="13" t="s">
        <v>350</v>
      </c>
      <c r="J175" s="13"/>
      <c r="K175" s="13"/>
      <c r="L175" s="13"/>
      <c r="M175" s="13"/>
      <c r="N175" s="13" t="s">
        <v>332</v>
      </c>
      <c r="O175" s="13" t="s">
        <v>28</v>
      </c>
      <c r="P175" s="13" t="s">
        <v>29</v>
      </c>
      <c r="Q175" s="13" t="s">
        <v>30</v>
      </c>
      <c r="R175" s="11" t="b">
        <v>0</v>
      </c>
      <c r="S175" s="11" t="s">
        <v>85</v>
      </c>
      <c r="T175" s="13" t="s">
        <v>49</v>
      </c>
      <c r="U175" s="13" t="s">
        <v>50</v>
      </c>
      <c r="V175" s="13" t="s">
        <v>51</v>
      </c>
      <c r="W175" s="13" t="s">
        <v>35</v>
      </c>
      <c r="X175" s="14">
        <v>45513.84665328704</v>
      </c>
      <c r="Y175" s="14">
        <v>45513.84665328704</v>
      </c>
      <c r="Z175" s="13"/>
      <c r="AA175" s="13"/>
    </row>
    <row r="176" ht="15.75" customHeight="1">
      <c r="A176" s="11" t="str">
        <f>HYPERLINK("https://portal.hubmapconsortium.org/browse/sample/6b173a888f822d0dad6e2ef2b86f4bf5", "HBM582.LKSJ.442")</f>
        <v>HBM582.LKSJ.442</v>
      </c>
      <c r="B176" s="12"/>
      <c r="C176" s="13" t="s">
        <v>287</v>
      </c>
      <c r="D176" s="12" t="s">
        <v>37</v>
      </c>
      <c r="E176" s="7" t="s">
        <v>44</v>
      </c>
      <c r="F176" s="13" t="s">
        <v>304</v>
      </c>
      <c r="G176" s="11" t="b">
        <v>0</v>
      </c>
      <c r="H176" s="11" t="str">
        <f t="shared" si="20"/>
        <v>HBM657.BGFJ.898</v>
      </c>
      <c r="I176" s="13" t="s">
        <v>351</v>
      </c>
      <c r="J176" s="13"/>
      <c r="K176" s="13"/>
      <c r="L176" s="13"/>
      <c r="M176" s="13"/>
      <c r="N176" s="13" t="s">
        <v>334</v>
      </c>
      <c r="O176" s="13" t="s">
        <v>28</v>
      </c>
      <c r="P176" s="13" t="s">
        <v>29</v>
      </c>
      <c r="Q176" s="13" t="s">
        <v>30</v>
      </c>
      <c r="R176" s="11" t="b">
        <v>0</v>
      </c>
      <c r="S176" s="11" t="s">
        <v>85</v>
      </c>
      <c r="T176" s="13" t="s">
        <v>49</v>
      </c>
      <c r="U176" s="13" t="s">
        <v>50</v>
      </c>
      <c r="V176" s="13" t="s">
        <v>51</v>
      </c>
      <c r="W176" s="13" t="s">
        <v>35</v>
      </c>
      <c r="X176" s="14">
        <v>45513.84666930555</v>
      </c>
      <c r="Y176" s="14">
        <v>45513.84666930555</v>
      </c>
      <c r="Z176" s="13"/>
      <c r="AA176" s="13"/>
    </row>
    <row r="177" ht="15.75" customHeight="1">
      <c r="A177" s="11" t="str">
        <f>HYPERLINK("https://portal.hubmapconsortium.org/browse/sample/da17b40ba97eabfacb4d4a88fbd63d7e", "HBM297.JWDV.999")</f>
        <v>HBM297.JWDV.999</v>
      </c>
      <c r="B177" s="12"/>
      <c r="C177" s="13" t="s">
        <v>287</v>
      </c>
      <c r="D177" s="12" t="s">
        <v>37</v>
      </c>
      <c r="E177" s="7" t="s">
        <v>44</v>
      </c>
      <c r="F177" s="13" t="s">
        <v>304</v>
      </c>
      <c r="G177" s="11" t="b">
        <v>0</v>
      </c>
      <c r="H177" s="11" t="str">
        <f t="shared" si="20"/>
        <v>HBM657.BGFJ.898</v>
      </c>
      <c r="I177" s="13" t="s">
        <v>352</v>
      </c>
      <c r="J177" s="13"/>
      <c r="K177" s="13"/>
      <c r="L177" s="13"/>
      <c r="M177" s="13"/>
      <c r="N177" s="13" t="s">
        <v>336</v>
      </c>
      <c r="O177" s="13" t="s">
        <v>28</v>
      </c>
      <c r="P177" s="13" t="s">
        <v>29</v>
      </c>
      <c r="Q177" s="13" t="s">
        <v>30</v>
      </c>
      <c r="R177" s="11" t="b">
        <v>0</v>
      </c>
      <c r="S177" s="11" t="s">
        <v>85</v>
      </c>
      <c r="T177" s="13" t="s">
        <v>32</v>
      </c>
      <c r="U177" s="13" t="s">
        <v>50</v>
      </c>
      <c r="V177" s="13" t="s">
        <v>51</v>
      </c>
      <c r="W177" s="13" t="s">
        <v>35</v>
      </c>
      <c r="X177" s="14">
        <v>45513.84668409723</v>
      </c>
      <c r="Y177" s="14">
        <v>45513.84668409723</v>
      </c>
      <c r="Z177" s="13"/>
      <c r="AA177" s="13"/>
    </row>
    <row r="178" ht="15.75" customHeight="1">
      <c r="A178" s="11" t="str">
        <f>HYPERLINK("https://portal.hubmapconsortium.org/browse/sample/c4153a2e139c3087ed83be0ca612d93a", "HBM569.NFDB.445")</f>
        <v>HBM569.NFDB.445</v>
      </c>
      <c r="B178" s="12"/>
      <c r="C178" s="13" t="s">
        <v>287</v>
      </c>
      <c r="D178" s="12" t="s">
        <v>37</v>
      </c>
      <c r="E178" s="7" t="s">
        <v>44</v>
      </c>
      <c r="F178" s="13" t="s">
        <v>304</v>
      </c>
      <c r="G178" s="11" t="b">
        <v>0</v>
      </c>
      <c r="H178" s="11" t="str">
        <f t="shared" si="20"/>
        <v>HBM657.BGFJ.898</v>
      </c>
      <c r="I178" s="13" t="s">
        <v>353</v>
      </c>
      <c r="J178" s="13"/>
      <c r="K178" s="13"/>
      <c r="L178" s="13"/>
      <c r="M178" s="13"/>
      <c r="N178" s="13" t="s">
        <v>354</v>
      </c>
      <c r="O178" s="13" t="s">
        <v>28</v>
      </c>
      <c r="P178" s="13" t="s">
        <v>29</v>
      </c>
      <c r="Q178" s="13" t="s">
        <v>30</v>
      </c>
      <c r="R178" s="11" t="b">
        <v>0</v>
      </c>
      <c r="S178" s="11" t="s">
        <v>85</v>
      </c>
      <c r="T178" s="13" t="s">
        <v>49</v>
      </c>
      <c r="U178" s="13" t="s">
        <v>50</v>
      </c>
      <c r="V178" s="13" t="s">
        <v>51</v>
      </c>
      <c r="W178" s="13" t="s">
        <v>35</v>
      </c>
      <c r="X178" s="14">
        <v>45513.84761221065</v>
      </c>
      <c r="Y178" s="14">
        <v>45513.84761221065</v>
      </c>
      <c r="Z178" s="13"/>
      <c r="AA178" s="13"/>
    </row>
    <row r="179" ht="15.75" customHeight="1">
      <c r="A179" s="11" t="str">
        <f>HYPERLINK("https://portal.hubmapconsortium.org/browse/sample/2aea6e69f20750048b1df497b0a888c2", "HBM455.JSLS.453")</f>
        <v>HBM455.JSLS.453</v>
      </c>
      <c r="B179" s="12"/>
      <c r="C179" s="13" t="s">
        <v>287</v>
      </c>
      <c r="D179" s="12" t="s">
        <v>37</v>
      </c>
      <c r="E179" s="7" t="s">
        <v>44</v>
      </c>
      <c r="F179" s="13" t="s">
        <v>304</v>
      </c>
      <c r="G179" s="11" t="b">
        <v>0</v>
      </c>
      <c r="H179" s="11" t="str">
        <f t="shared" si="20"/>
        <v>HBM657.BGFJ.898</v>
      </c>
      <c r="I179" s="13" t="s">
        <v>355</v>
      </c>
      <c r="J179" s="13"/>
      <c r="K179" s="13"/>
      <c r="L179" s="13"/>
      <c r="M179" s="13"/>
      <c r="N179" s="13" t="s">
        <v>356</v>
      </c>
      <c r="O179" s="13" t="s">
        <v>28</v>
      </c>
      <c r="P179" s="13" t="s">
        <v>29</v>
      </c>
      <c r="Q179" s="13" t="s">
        <v>30</v>
      </c>
      <c r="R179" s="11" t="b">
        <v>0</v>
      </c>
      <c r="S179" s="11" t="s">
        <v>85</v>
      </c>
      <c r="T179" s="13" t="s">
        <v>49</v>
      </c>
      <c r="U179" s="13" t="s">
        <v>50</v>
      </c>
      <c r="V179" s="13" t="s">
        <v>51</v>
      </c>
      <c r="W179" s="13" t="s">
        <v>35</v>
      </c>
      <c r="X179" s="14">
        <v>45513.84762608796</v>
      </c>
      <c r="Y179" s="14">
        <v>45513.84762608796</v>
      </c>
      <c r="Z179" s="13"/>
      <c r="AA179" s="13"/>
    </row>
    <row r="180" ht="15.75" customHeight="1">
      <c r="A180" s="11" t="str">
        <f>HYPERLINK("https://portal.hubmapconsortium.org/browse/sample/928c801b4418e926671357abd3706559", "HBM525.TRFD.676")</f>
        <v>HBM525.TRFD.676</v>
      </c>
      <c r="B180" s="12"/>
      <c r="C180" s="13" t="s">
        <v>287</v>
      </c>
      <c r="D180" s="12" t="s">
        <v>37</v>
      </c>
      <c r="E180" s="7" t="s">
        <v>44</v>
      </c>
      <c r="F180" s="13" t="s">
        <v>304</v>
      </c>
      <c r="G180" s="11" t="b">
        <v>0</v>
      </c>
      <c r="H180" s="11" t="str">
        <f t="shared" si="20"/>
        <v>HBM657.BGFJ.898</v>
      </c>
      <c r="I180" s="13" t="s">
        <v>357</v>
      </c>
      <c r="J180" s="13"/>
      <c r="K180" s="13"/>
      <c r="L180" s="13"/>
      <c r="M180" s="13"/>
      <c r="N180" s="13" t="s">
        <v>358</v>
      </c>
      <c r="O180" s="13" t="s">
        <v>28</v>
      </c>
      <c r="P180" s="13" t="s">
        <v>29</v>
      </c>
      <c r="Q180" s="13" t="s">
        <v>30</v>
      </c>
      <c r="R180" s="11" t="b">
        <v>0</v>
      </c>
      <c r="S180" s="11" t="s">
        <v>85</v>
      </c>
      <c r="T180" s="13" t="s">
        <v>49</v>
      </c>
      <c r="U180" s="13" t="s">
        <v>50</v>
      </c>
      <c r="V180" s="13" t="s">
        <v>51</v>
      </c>
      <c r="W180" s="13" t="s">
        <v>35</v>
      </c>
      <c r="X180" s="14">
        <v>45513.84764061343</v>
      </c>
      <c r="Y180" s="14">
        <v>45513.84764061343</v>
      </c>
      <c r="Z180" s="13"/>
      <c r="AA180" s="13"/>
    </row>
    <row r="181" ht="15.75" customHeight="1">
      <c r="A181" s="11" t="str">
        <f>HYPERLINK("https://portal.hubmapconsortium.org/browse/sample/7ee7a34b152809d7277ce4e09ea9645d", "HBM569.DVLL.486")</f>
        <v>HBM569.DVLL.486</v>
      </c>
      <c r="B181" s="12"/>
      <c r="C181" s="13" t="s">
        <v>287</v>
      </c>
      <c r="D181" s="12" t="s">
        <v>37</v>
      </c>
      <c r="E181" s="7" t="s">
        <v>44</v>
      </c>
      <c r="F181" s="13" t="s">
        <v>304</v>
      </c>
      <c r="G181" s="11" t="b">
        <v>0</v>
      </c>
      <c r="H181" s="11" t="str">
        <f t="shared" si="20"/>
        <v>HBM657.BGFJ.898</v>
      </c>
      <c r="I181" s="13" t="s">
        <v>359</v>
      </c>
      <c r="J181" s="13"/>
      <c r="K181" s="13"/>
      <c r="L181" s="13"/>
      <c r="M181" s="13"/>
      <c r="N181" s="13" t="s">
        <v>360</v>
      </c>
      <c r="O181" s="13" t="s">
        <v>28</v>
      </c>
      <c r="P181" s="13" t="s">
        <v>29</v>
      </c>
      <c r="Q181" s="13" t="s">
        <v>30</v>
      </c>
      <c r="R181" s="11" t="b">
        <v>0</v>
      </c>
      <c r="S181" s="11" t="s">
        <v>85</v>
      </c>
      <c r="T181" s="13" t="s">
        <v>32</v>
      </c>
      <c r="U181" s="13" t="s">
        <v>50</v>
      </c>
      <c r="V181" s="13" t="s">
        <v>51</v>
      </c>
      <c r="W181" s="13" t="s">
        <v>35</v>
      </c>
      <c r="X181" s="14">
        <v>45513.84765504629</v>
      </c>
      <c r="Y181" s="14">
        <v>45513.84765504629</v>
      </c>
      <c r="Z181" s="13"/>
      <c r="AA181" s="13"/>
    </row>
    <row r="182" ht="15.75" customHeight="1">
      <c r="A182" s="11" t="str">
        <f>HYPERLINK("https://portal.hubmapconsortium.org/browse/sample/ba9f56dad442d25e83c3f92ee2a17590", "HBM265.BBSQ.477")</f>
        <v>HBM265.BBSQ.477</v>
      </c>
      <c r="B182" s="12"/>
      <c r="C182" s="13" t="s">
        <v>287</v>
      </c>
      <c r="D182" s="12" t="s">
        <v>37</v>
      </c>
      <c r="E182" s="7" t="s">
        <v>44</v>
      </c>
      <c r="F182" s="13" t="s">
        <v>304</v>
      </c>
      <c r="G182" s="11" t="b">
        <v>0</v>
      </c>
      <c r="H182" s="11" t="str">
        <f t="shared" si="20"/>
        <v>HBM657.BGFJ.898</v>
      </c>
      <c r="I182" s="13" t="s">
        <v>361</v>
      </c>
      <c r="J182" s="13"/>
      <c r="K182" s="13"/>
      <c r="L182" s="13"/>
      <c r="M182" s="13"/>
      <c r="N182" s="13" t="s">
        <v>362</v>
      </c>
      <c r="O182" s="13" t="s">
        <v>28</v>
      </c>
      <c r="P182" s="13" t="s">
        <v>29</v>
      </c>
      <c r="Q182" s="13" t="s">
        <v>30</v>
      </c>
      <c r="R182" s="11" t="b">
        <v>0</v>
      </c>
      <c r="S182" s="11" t="s">
        <v>85</v>
      </c>
      <c r="T182" s="13" t="s">
        <v>49</v>
      </c>
      <c r="U182" s="13" t="s">
        <v>50</v>
      </c>
      <c r="V182" s="13" t="s">
        <v>51</v>
      </c>
      <c r="W182" s="13" t="s">
        <v>35</v>
      </c>
      <c r="X182" s="14">
        <v>45513.84767148148</v>
      </c>
      <c r="Y182" s="14">
        <v>45513.84767148148</v>
      </c>
      <c r="Z182" s="13"/>
      <c r="AA182" s="13"/>
    </row>
    <row r="183" ht="15.75" customHeight="1">
      <c r="A183" s="11" t="str">
        <f>HYPERLINK("https://portal.hubmapconsortium.org/browse/sample/4481b46b67556fc71141202955b9ef71", "HBM736.QNHQ.585")</f>
        <v>HBM736.QNHQ.585</v>
      </c>
      <c r="B183" s="12"/>
      <c r="C183" s="13" t="s">
        <v>287</v>
      </c>
      <c r="D183" s="12" t="s">
        <v>37</v>
      </c>
      <c r="E183" s="7" t="s">
        <v>44</v>
      </c>
      <c r="F183" s="13" t="s">
        <v>304</v>
      </c>
      <c r="G183" s="11" t="b">
        <v>0</v>
      </c>
      <c r="H183" s="11" t="str">
        <f t="shared" si="20"/>
        <v>HBM657.BGFJ.898</v>
      </c>
      <c r="I183" s="13" t="s">
        <v>363</v>
      </c>
      <c r="J183" s="13"/>
      <c r="K183" s="13"/>
      <c r="L183" s="13"/>
      <c r="M183" s="13"/>
      <c r="N183" s="13" t="s">
        <v>364</v>
      </c>
      <c r="O183" s="13" t="s">
        <v>28</v>
      </c>
      <c r="P183" s="13" t="s">
        <v>29</v>
      </c>
      <c r="Q183" s="13" t="s">
        <v>30</v>
      </c>
      <c r="R183" s="11" t="b">
        <v>0</v>
      </c>
      <c r="S183" s="11" t="s">
        <v>85</v>
      </c>
      <c r="T183" s="13" t="s">
        <v>49</v>
      </c>
      <c r="U183" s="13" t="s">
        <v>50</v>
      </c>
      <c r="V183" s="13" t="s">
        <v>51</v>
      </c>
      <c r="W183" s="13" t="s">
        <v>35</v>
      </c>
      <c r="X183" s="14">
        <v>45513.8476858912</v>
      </c>
      <c r="Y183" s="14">
        <v>45513.8476858912</v>
      </c>
      <c r="Z183" s="13"/>
      <c r="AA183" s="13"/>
    </row>
    <row r="184" ht="15.75" customHeight="1">
      <c r="A184" s="11" t="str">
        <f>HYPERLINK("https://portal.hubmapconsortium.org/browse/sample/9f8991d33e943826ab1aab77d933b2f0", "HBM476.NNJN.932")</f>
        <v>HBM476.NNJN.932</v>
      </c>
      <c r="B184" s="12"/>
      <c r="C184" s="13" t="s">
        <v>287</v>
      </c>
      <c r="D184" s="12" t="s">
        <v>37</v>
      </c>
      <c r="E184" s="7" t="s">
        <v>44</v>
      </c>
      <c r="F184" s="13" t="s">
        <v>304</v>
      </c>
      <c r="G184" s="11" t="b">
        <v>0</v>
      </c>
      <c r="H184" s="11" t="str">
        <f t="shared" si="20"/>
        <v>HBM657.BGFJ.898</v>
      </c>
      <c r="I184" s="13" t="s">
        <v>365</v>
      </c>
      <c r="J184" s="13"/>
      <c r="K184" s="13"/>
      <c r="L184" s="13"/>
      <c r="M184" s="13"/>
      <c r="N184" s="13" t="s">
        <v>366</v>
      </c>
      <c r="O184" s="13" t="s">
        <v>28</v>
      </c>
      <c r="P184" s="13" t="s">
        <v>29</v>
      </c>
      <c r="Q184" s="13" t="s">
        <v>30</v>
      </c>
      <c r="R184" s="11" t="b">
        <v>0</v>
      </c>
      <c r="S184" s="11" t="s">
        <v>85</v>
      </c>
      <c r="T184" s="13" t="s">
        <v>49</v>
      </c>
      <c r="U184" s="13" t="s">
        <v>50</v>
      </c>
      <c r="V184" s="13" t="s">
        <v>51</v>
      </c>
      <c r="W184" s="13" t="s">
        <v>35</v>
      </c>
      <c r="X184" s="14">
        <v>45513.84770158565</v>
      </c>
      <c r="Y184" s="14">
        <v>45513.84770158565</v>
      </c>
      <c r="Z184" s="13"/>
      <c r="AA184" s="13"/>
    </row>
    <row r="185" ht="15.75" customHeight="1">
      <c r="A185" s="11" t="str">
        <f>HYPERLINK("https://portal.hubmapconsortium.org/browse/sample/edcfbcb4ea97b6140b335d2a321537a6", "HBM226.XZPR.569")</f>
        <v>HBM226.XZPR.569</v>
      </c>
      <c r="B185" s="12"/>
      <c r="C185" s="13" t="s">
        <v>287</v>
      </c>
      <c r="D185" s="12" t="s">
        <v>37</v>
      </c>
      <c r="E185" s="7" t="s">
        <v>44</v>
      </c>
      <c r="F185" s="13" t="s">
        <v>304</v>
      </c>
      <c r="G185" s="11" t="b">
        <v>0</v>
      </c>
      <c r="H185" s="11" t="str">
        <f t="shared" si="20"/>
        <v>HBM657.BGFJ.898</v>
      </c>
      <c r="I185" s="13" t="s">
        <v>367</v>
      </c>
      <c r="J185" s="13"/>
      <c r="K185" s="13"/>
      <c r="L185" s="13"/>
      <c r="M185" s="13"/>
      <c r="N185" s="13" t="s">
        <v>368</v>
      </c>
      <c r="O185" s="13" t="s">
        <v>28</v>
      </c>
      <c r="P185" s="13" t="s">
        <v>29</v>
      </c>
      <c r="Q185" s="13" t="s">
        <v>30</v>
      </c>
      <c r="R185" s="11" t="b">
        <v>0</v>
      </c>
      <c r="S185" s="11" t="s">
        <v>85</v>
      </c>
      <c r="T185" s="13" t="s">
        <v>32</v>
      </c>
      <c r="U185" s="13" t="s">
        <v>50</v>
      </c>
      <c r="V185" s="13" t="s">
        <v>51</v>
      </c>
      <c r="W185" s="13" t="s">
        <v>35</v>
      </c>
      <c r="X185" s="14">
        <v>45513.84771598379</v>
      </c>
      <c r="Y185" s="14">
        <v>45513.84771598379</v>
      </c>
      <c r="Z185" s="13"/>
      <c r="AA185" s="13"/>
    </row>
    <row r="186" ht="15.75" customHeight="1">
      <c r="A186" s="11" t="str">
        <f>HYPERLINK("https://portal.hubmapconsortium.org/browse/sample/06da6c4888878d686fa48f3b2f45cb4a", "HBM842.XHRW.267")</f>
        <v>HBM842.XHRW.267</v>
      </c>
      <c r="B186" s="12"/>
      <c r="C186" s="13" t="s">
        <v>287</v>
      </c>
      <c r="D186" s="12" t="s">
        <v>37</v>
      </c>
      <c r="E186" s="7" t="s">
        <v>44</v>
      </c>
      <c r="F186" s="13" t="s">
        <v>304</v>
      </c>
      <c r="G186" s="11" t="b">
        <v>0</v>
      </c>
      <c r="H186" s="11" t="str">
        <f t="shared" si="20"/>
        <v>HBM657.BGFJ.898</v>
      </c>
      <c r="I186" s="13" t="s">
        <v>369</v>
      </c>
      <c r="J186" s="13"/>
      <c r="K186" s="13"/>
      <c r="L186" s="13"/>
      <c r="M186" s="13"/>
      <c r="N186" s="13" t="s">
        <v>370</v>
      </c>
      <c r="O186" s="13" t="s">
        <v>28</v>
      </c>
      <c r="P186" s="13" t="s">
        <v>29</v>
      </c>
      <c r="Q186" s="13" t="s">
        <v>30</v>
      </c>
      <c r="R186" s="11" t="b">
        <v>0</v>
      </c>
      <c r="S186" s="11" t="s">
        <v>85</v>
      </c>
      <c r="T186" s="13" t="s">
        <v>49</v>
      </c>
      <c r="U186" s="13" t="s">
        <v>50</v>
      </c>
      <c r="V186" s="13" t="s">
        <v>51</v>
      </c>
      <c r="W186" s="13" t="s">
        <v>35</v>
      </c>
      <c r="X186" s="14">
        <v>45513.8477310301</v>
      </c>
      <c r="Y186" s="14">
        <v>45513.8477310301</v>
      </c>
      <c r="Z186" s="13"/>
      <c r="AA186" s="13"/>
    </row>
    <row r="187" ht="15.75" customHeight="1">
      <c r="A187" s="11" t="str">
        <f>HYPERLINK("https://portal.hubmapconsortium.org/browse/sample/d93a761163eb62ae6a806cf7068c6a19", "HBM859.MVRW.435")</f>
        <v>HBM859.MVRW.435</v>
      </c>
      <c r="B187" s="12"/>
      <c r="C187" s="13" t="s">
        <v>287</v>
      </c>
      <c r="D187" s="12" t="s">
        <v>37</v>
      </c>
      <c r="E187" s="7" t="s">
        <v>44</v>
      </c>
      <c r="F187" s="13" t="s">
        <v>304</v>
      </c>
      <c r="G187" s="11" t="b">
        <v>0</v>
      </c>
      <c r="H187" s="11" t="str">
        <f t="shared" si="20"/>
        <v>HBM657.BGFJ.898</v>
      </c>
      <c r="I187" s="13" t="s">
        <v>371</v>
      </c>
      <c r="J187" s="13"/>
      <c r="K187" s="13"/>
      <c r="L187" s="13"/>
      <c r="M187" s="13"/>
      <c r="N187" s="13" t="s">
        <v>372</v>
      </c>
      <c r="O187" s="13" t="s">
        <v>28</v>
      </c>
      <c r="P187" s="13" t="s">
        <v>29</v>
      </c>
      <c r="Q187" s="13" t="s">
        <v>30</v>
      </c>
      <c r="R187" s="11" t="b">
        <v>0</v>
      </c>
      <c r="S187" s="11" t="s">
        <v>85</v>
      </c>
      <c r="T187" s="13" t="s">
        <v>49</v>
      </c>
      <c r="U187" s="13" t="s">
        <v>50</v>
      </c>
      <c r="V187" s="13" t="s">
        <v>51</v>
      </c>
      <c r="W187" s="13" t="s">
        <v>35</v>
      </c>
      <c r="X187" s="14">
        <v>45513.8477478125</v>
      </c>
      <c r="Y187" s="14">
        <v>45513.8477478125</v>
      </c>
      <c r="Z187" s="13"/>
      <c r="AA187" s="13"/>
    </row>
    <row r="188" ht="15.75" customHeight="1">
      <c r="A188" s="11" t="str">
        <f>HYPERLINK("https://portal.hubmapconsortium.org/browse/sample/fe88fa0b25ee296056a12b4c0e98590a", "HBM338.LGHZ.423")</f>
        <v>HBM338.LGHZ.423</v>
      </c>
      <c r="B188" s="12"/>
      <c r="C188" s="13" t="s">
        <v>287</v>
      </c>
      <c r="D188" s="12" t="s">
        <v>37</v>
      </c>
      <c r="E188" s="7" t="s">
        <v>44</v>
      </c>
      <c r="F188" s="13" t="s">
        <v>304</v>
      </c>
      <c r="G188" s="11" t="b">
        <v>0</v>
      </c>
      <c r="H188" s="11" t="str">
        <f t="shared" si="20"/>
        <v>HBM657.BGFJ.898</v>
      </c>
      <c r="I188" s="13" t="s">
        <v>373</v>
      </c>
      <c r="J188" s="13"/>
      <c r="K188" s="13"/>
      <c r="L188" s="13"/>
      <c r="M188" s="13"/>
      <c r="N188" s="13" t="s">
        <v>374</v>
      </c>
      <c r="O188" s="13" t="s">
        <v>28</v>
      </c>
      <c r="P188" s="13" t="s">
        <v>29</v>
      </c>
      <c r="Q188" s="13" t="s">
        <v>30</v>
      </c>
      <c r="R188" s="11" t="b">
        <v>0</v>
      </c>
      <c r="S188" s="11" t="s">
        <v>85</v>
      </c>
      <c r="T188" s="13" t="s">
        <v>49</v>
      </c>
      <c r="U188" s="13" t="s">
        <v>50</v>
      </c>
      <c r="V188" s="13" t="s">
        <v>51</v>
      </c>
      <c r="W188" s="13" t="s">
        <v>35</v>
      </c>
      <c r="X188" s="14">
        <v>45513.84776292824</v>
      </c>
      <c r="Y188" s="14">
        <v>45513.84776292824</v>
      </c>
      <c r="Z188" s="13"/>
      <c r="AA188" s="13"/>
    </row>
    <row r="189" ht="15.75" customHeight="1">
      <c r="A189" s="11" t="str">
        <f>HYPERLINK("https://portal.hubmapconsortium.org/browse/sample/b9b6c94a938a4f41d9b0b4ac37741bde", "HBM895.XSDG.472")</f>
        <v>HBM895.XSDG.472</v>
      </c>
      <c r="B189" s="12"/>
      <c r="C189" s="13" t="s">
        <v>287</v>
      </c>
      <c r="D189" s="12" t="s">
        <v>37</v>
      </c>
      <c r="E189" s="7" t="s">
        <v>44</v>
      </c>
      <c r="F189" s="13" t="s">
        <v>304</v>
      </c>
      <c r="G189" s="11" t="b">
        <v>0</v>
      </c>
      <c r="H189" s="11" t="str">
        <f t="shared" si="20"/>
        <v>HBM657.BGFJ.898</v>
      </c>
      <c r="I189" s="13" t="s">
        <v>375</v>
      </c>
      <c r="J189" s="13"/>
      <c r="K189" s="13"/>
      <c r="L189" s="13"/>
      <c r="M189" s="13"/>
      <c r="N189" s="13" t="s">
        <v>376</v>
      </c>
      <c r="O189" s="13" t="s">
        <v>28</v>
      </c>
      <c r="P189" s="13" t="s">
        <v>29</v>
      </c>
      <c r="Q189" s="13" t="s">
        <v>30</v>
      </c>
      <c r="R189" s="11" t="b">
        <v>0</v>
      </c>
      <c r="S189" s="11" t="s">
        <v>85</v>
      </c>
      <c r="T189" s="13" t="s">
        <v>32</v>
      </c>
      <c r="U189" s="13" t="s">
        <v>50</v>
      </c>
      <c r="V189" s="13" t="s">
        <v>51</v>
      </c>
      <c r="W189" s="13" t="s">
        <v>35</v>
      </c>
      <c r="X189" s="14">
        <v>45513.84777728009</v>
      </c>
      <c r="Y189" s="14">
        <v>45513.84777728009</v>
      </c>
      <c r="Z189" s="13"/>
      <c r="AA189" s="13"/>
    </row>
    <row r="190" ht="15.75" customHeight="1">
      <c r="A190" s="11" t="str">
        <f>HYPERLINK("https://portal.hubmapconsortium.org/browse/sample/ef2b9c88dca28caa3d35febbe08e9610", "HBM385.PXPB.969")</f>
        <v>HBM385.PXPB.969</v>
      </c>
      <c r="B190" s="12"/>
      <c r="C190" s="13" t="s">
        <v>287</v>
      </c>
      <c r="D190" s="12" t="s">
        <v>37</v>
      </c>
      <c r="E190" s="7" t="s">
        <v>44</v>
      </c>
      <c r="F190" s="13" t="s">
        <v>304</v>
      </c>
      <c r="G190" s="11" t="b">
        <v>0</v>
      </c>
      <c r="H190" s="11" t="str">
        <f t="shared" si="20"/>
        <v>HBM657.BGFJ.898</v>
      </c>
      <c r="I190" s="13" t="s">
        <v>377</v>
      </c>
      <c r="J190" s="13"/>
      <c r="K190" s="13"/>
      <c r="L190" s="13"/>
      <c r="M190" s="13"/>
      <c r="N190" s="13" t="s">
        <v>378</v>
      </c>
      <c r="O190" s="13" t="s">
        <v>28</v>
      </c>
      <c r="P190" s="13" t="s">
        <v>29</v>
      </c>
      <c r="Q190" s="13" t="s">
        <v>30</v>
      </c>
      <c r="R190" s="11" t="b">
        <v>0</v>
      </c>
      <c r="S190" s="11" t="s">
        <v>85</v>
      </c>
      <c r="T190" s="13" t="s">
        <v>49</v>
      </c>
      <c r="U190" s="13" t="s">
        <v>50</v>
      </c>
      <c r="V190" s="13" t="s">
        <v>51</v>
      </c>
      <c r="W190" s="13" t="s">
        <v>35</v>
      </c>
      <c r="X190" s="14">
        <v>45513.84779233796</v>
      </c>
      <c r="Y190" s="14">
        <v>45513.84779233796</v>
      </c>
      <c r="Z190" s="13"/>
      <c r="AA190" s="13"/>
    </row>
    <row r="191" ht="15.75" customHeight="1">
      <c r="A191" s="11" t="str">
        <f>HYPERLINK("https://portal.hubmapconsortium.org/browse/sample/eb0a90764e8cd05d37560500b2ee2a65", "HBM538.NPZP.958")</f>
        <v>HBM538.NPZP.958</v>
      </c>
      <c r="B191" s="12"/>
      <c r="C191" s="13" t="s">
        <v>287</v>
      </c>
      <c r="D191" s="12" t="s">
        <v>37</v>
      </c>
      <c r="E191" s="7" t="s">
        <v>44</v>
      </c>
      <c r="F191" s="13" t="s">
        <v>304</v>
      </c>
      <c r="G191" s="11" t="b">
        <v>0</v>
      </c>
      <c r="H191" s="11" t="str">
        <f t="shared" si="20"/>
        <v>HBM657.BGFJ.898</v>
      </c>
      <c r="I191" s="13" t="s">
        <v>379</v>
      </c>
      <c r="J191" s="13"/>
      <c r="K191" s="13"/>
      <c r="L191" s="13"/>
      <c r="M191" s="13"/>
      <c r="N191" s="13" t="s">
        <v>380</v>
      </c>
      <c r="O191" s="13" t="s">
        <v>28</v>
      </c>
      <c r="P191" s="13" t="s">
        <v>29</v>
      </c>
      <c r="Q191" s="13" t="s">
        <v>30</v>
      </c>
      <c r="R191" s="11" t="b">
        <v>0</v>
      </c>
      <c r="S191" s="11" t="s">
        <v>85</v>
      </c>
      <c r="T191" s="13" t="s">
        <v>49</v>
      </c>
      <c r="U191" s="13" t="s">
        <v>50</v>
      </c>
      <c r="V191" s="13" t="s">
        <v>51</v>
      </c>
      <c r="W191" s="13" t="s">
        <v>35</v>
      </c>
      <c r="X191" s="14">
        <v>45513.84780738426</v>
      </c>
      <c r="Y191" s="14">
        <v>45513.84780738426</v>
      </c>
      <c r="Z191" s="13"/>
      <c r="AA191" s="13"/>
    </row>
    <row r="192" ht="15.75" customHeight="1">
      <c r="A192" s="11" t="str">
        <f>HYPERLINK("https://portal.hubmapconsortium.org/browse/sample/afcccdcb72396482f908db5b97d24c8f", "HBM656.MDNG.884")</f>
        <v>HBM656.MDNG.884</v>
      </c>
      <c r="B192" s="12"/>
      <c r="C192" s="13" t="s">
        <v>287</v>
      </c>
      <c r="D192" s="12" t="s">
        <v>37</v>
      </c>
      <c r="E192" s="7" t="s">
        <v>44</v>
      </c>
      <c r="F192" s="13" t="s">
        <v>304</v>
      </c>
      <c r="G192" s="11" t="b">
        <v>0</v>
      </c>
      <c r="H192" s="11" t="str">
        <f t="shared" si="20"/>
        <v>HBM657.BGFJ.898</v>
      </c>
      <c r="I192" s="13" t="s">
        <v>381</v>
      </c>
      <c r="J192" s="13"/>
      <c r="K192" s="13"/>
      <c r="L192" s="13"/>
      <c r="M192" s="13"/>
      <c r="N192" s="13" t="s">
        <v>382</v>
      </c>
      <c r="O192" s="13" t="s">
        <v>28</v>
      </c>
      <c r="P192" s="13" t="s">
        <v>29</v>
      </c>
      <c r="Q192" s="13" t="s">
        <v>30</v>
      </c>
      <c r="R192" s="11" t="b">
        <v>0</v>
      </c>
      <c r="S192" s="11" t="s">
        <v>85</v>
      </c>
      <c r="T192" s="13" t="s">
        <v>49</v>
      </c>
      <c r="U192" s="13" t="s">
        <v>50</v>
      </c>
      <c r="V192" s="13" t="s">
        <v>51</v>
      </c>
      <c r="W192" s="13" t="s">
        <v>35</v>
      </c>
      <c r="X192" s="14">
        <v>45513.84782153936</v>
      </c>
      <c r="Y192" s="14">
        <v>45513.84782153936</v>
      </c>
      <c r="Z192" s="13"/>
      <c r="AA192" s="13"/>
    </row>
    <row r="193" ht="15.75" customHeight="1">
      <c r="A193" s="11" t="str">
        <f>HYPERLINK("https://portal.hubmapconsortium.org/browse/sample/58a759c7e42c48b60aba73dde0b508f7", "HBM435.RXTV.533")</f>
        <v>HBM435.RXTV.533</v>
      </c>
      <c r="B193" s="12"/>
      <c r="C193" s="13" t="s">
        <v>287</v>
      </c>
      <c r="D193" s="12" t="s">
        <v>37</v>
      </c>
      <c r="E193" s="7" t="s">
        <v>44</v>
      </c>
      <c r="F193" s="13" t="s">
        <v>304</v>
      </c>
      <c r="G193" s="11" t="b">
        <v>0</v>
      </c>
      <c r="H193" s="11" t="str">
        <f t="shared" si="20"/>
        <v>HBM657.BGFJ.898</v>
      </c>
      <c r="I193" s="13" t="s">
        <v>383</v>
      </c>
      <c r="J193" s="13"/>
      <c r="K193" s="13"/>
      <c r="L193" s="13"/>
      <c r="M193" s="13"/>
      <c r="N193" s="13" t="s">
        <v>384</v>
      </c>
      <c r="O193" s="13" t="s">
        <v>28</v>
      </c>
      <c r="P193" s="13" t="s">
        <v>29</v>
      </c>
      <c r="Q193" s="13" t="s">
        <v>30</v>
      </c>
      <c r="R193" s="11" t="b">
        <v>0</v>
      </c>
      <c r="S193" s="11" t="s">
        <v>85</v>
      </c>
      <c r="T193" s="13" t="s">
        <v>32</v>
      </c>
      <c r="U193" s="13" t="s">
        <v>50</v>
      </c>
      <c r="V193" s="13" t="s">
        <v>51</v>
      </c>
      <c r="W193" s="13" t="s">
        <v>35</v>
      </c>
      <c r="X193" s="14">
        <v>45513.84783619213</v>
      </c>
      <c r="Y193" s="14">
        <v>45513.84783619213</v>
      </c>
      <c r="Z193" s="13"/>
      <c r="AA193" s="13"/>
    </row>
    <row r="194" ht="15.75" customHeight="1">
      <c r="A194" s="11" t="str">
        <f>HYPERLINK("https://portal.hubmapconsortium.org/browse/sample/3aee1282023c0b90ee24e69176e2e9ce", "HBM267.XMQJ.925")</f>
        <v>HBM267.XMQJ.925</v>
      </c>
      <c r="B194" s="12"/>
      <c r="C194" s="13" t="s">
        <v>287</v>
      </c>
      <c r="D194" s="12" t="s">
        <v>37</v>
      </c>
      <c r="E194" s="7" t="s">
        <v>44</v>
      </c>
      <c r="F194" s="13" t="s">
        <v>304</v>
      </c>
      <c r="G194" s="11" t="b">
        <v>0</v>
      </c>
      <c r="H194" s="11" t="str">
        <f t="shared" si="20"/>
        <v>HBM657.BGFJ.898</v>
      </c>
      <c r="I194" s="13" t="s">
        <v>385</v>
      </c>
      <c r="J194" s="13"/>
      <c r="K194" s="13"/>
      <c r="L194" s="13"/>
      <c r="M194" s="13"/>
      <c r="N194" s="13" t="s">
        <v>354</v>
      </c>
      <c r="O194" s="13" t="s">
        <v>28</v>
      </c>
      <c r="P194" s="13" t="s">
        <v>29</v>
      </c>
      <c r="Q194" s="13" t="s">
        <v>30</v>
      </c>
      <c r="R194" s="11" t="b">
        <v>0</v>
      </c>
      <c r="S194" s="11" t="s">
        <v>85</v>
      </c>
      <c r="T194" s="13" t="s">
        <v>49</v>
      </c>
      <c r="U194" s="13" t="s">
        <v>50</v>
      </c>
      <c r="V194" s="13" t="s">
        <v>51</v>
      </c>
      <c r="W194" s="13" t="s">
        <v>35</v>
      </c>
      <c r="X194" s="14">
        <v>45513.84785114583</v>
      </c>
      <c r="Y194" s="14">
        <v>45513.84785114583</v>
      </c>
      <c r="Z194" s="13"/>
      <c r="AA194" s="13"/>
    </row>
    <row r="195" ht="15.75" customHeight="1">
      <c r="A195" s="11" t="str">
        <f>HYPERLINK("https://portal.hubmapconsortium.org/browse/sample/ef1b349b1fbf5048e4fc4b44ccc2706b", "HBM772.VLHS.586")</f>
        <v>HBM772.VLHS.586</v>
      </c>
      <c r="B195" s="12"/>
      <c r="C195" s="13" t="s">
        <v>287</v>
      </c>
      <c r="D195" s="12" t="s">
        <v>37</v>
      </c>
      <c r="E195" s="7" t="s">
        <v>44</v>
      </c>
      <c r="F195" s="13" t="s">
        <v>304</v>
      </c>
      <c r="G195" s="11" t="b">
        <v>0</v>
      </c>
      <c r="H195" s="11" t="str">
        <f t="shared" si="20"/>
        <v>HBM657.BGFJ.898</v>
      </c>
      <c r="I195" s="13" t="s">
        <v>386</v>
      </c>
      <c r="J195" s="13"/>
      <c r="K195" s="13"/>
      <c r="L195" s="13"/>
      <c r="M195" s="13"/>
      <c r="N195" s="13" t="s">
        <v>356</v>
      </c>
      <c r="O195" s="13" t="s">
        <v>28</v>
      </c>
      <c r="P195" s="13" t="s">
        <v>29</v>
      </c>
      <c r="Q195" s="13" t="s">
        <v>30</v>
      </c>
      <c r="R195" s="11" t="b">
        <v>0</v>
      </c>
      <c r="S195" s="11" t="s">
        <v>85</v>
      </c>
      <c r="T195" s="13" t="s">
        <v>49</v>
      </c>
      <c r="U195" s="13" t="s">
        <v>50</v>
      </c>
      <c r="V195" s="13" t="s">
        <v>51</v>
      </c>
      <c r="W195" s="13" t="s">
        <v>35</v>
      </c>
      <c r="X195" s="14">
        <v>45513.84786728009</v>
      </c>
      <c r="Y195" s="14">
        <v>45513.84786728009</v>
      </c>
      <c r="Z195" s="13"/>
      <c r="AA195" s="13"/>
    </row>
    <row r="196" ht="15.75" customHeight="1">
      <c r="A196" s="11" t="str">
        <f>HYPERLINK("https://portal.hubmapconsortium.org/browse/sample/812ef1d59fbfe4a1de7558e70fcea813", "HBM294.TWDS.936")</f>
        <v>HBM294.TWDS.936</v>
      </c>
      <c r="B196" s="12"/>
      <c r="C196" s="13" t="s">
        <v>287</v>
      </c>
      <c r="D196" s="12" t="s">
        <v>37</v>
      </c>
      <c r="E196" s="7" t="s">
        <v>44</v>
      </c>
      <c r="F196" s="13" t="s">
        <v>304</v>
      </c>
      <c r="G196" s="11" t="b">
        <v>0</v>
      </c>
      <c r="H196" s="11" t="str">
        <f t="shared" si="20"/>
        <v>HBM657.BGFJ.898</v>
      </c>
      <c r="I196" s="13" t="s">
        <v>387</v>
      </c>
      <c r="J196" s="13"/>
      <c r="K196" s="13"/>
      <c r="L196" s="13"/>
      <c r="M196" s="13"/>
      <c r="N196" s="13" t="s">
        <v>358</v>
      </c>
      <c r="O196" s="13" t="s">
        <v>28</v>
      </c>
      <c r="P196" s="13" t="s">
        <v>29</v>
      </c>
      <c r="Q196" s="13" t="s">
        <v>30</v>
      </c>
      <c r="R196" s="11" t="b">
        <v>0</v>
      </c>
      <c r="S196" s="11" t="s">
        <v>85</v>
      </c>
      <c r="T196" s="13" t="s">
        <v>49</v>
      </c>
      <c r="U196" s="13" t="s">
        <v>50</v>
      </c>
      <c r="V196" s="13" t="s">
        <v>51</v>
      </c>
      <c r="W196" s="13" t="s">
        <v>35</v>
      </c>
      <c r="X196" s="14">
        <v>45513.84788207176</v>
      </c>
      <c r="Y196" s="14">
        <v>45513.84788207176</v>
      </c>
      <c r="Z196" s="13"/>
      <c r="AA196" s="13"/>
    </row>
    <row r="197" ht="15.75" customHeight="1">
      <c r="A197" s="11" t="str">
        <f>HYPERLINK("https://portal.hubmapconsortium.org/browse/sample/c269b9eab0c8bd33b0e25557ffec6610", "HBM784.PSZW.334")</f>
        <v>HBM784.PSZW.334</v>
      </c>
      <c r="B197" s="12"/>
      <c r="C197" s="13" t="s">
        <v>287</v>
      </c>
      <c r="D197" s="12" t="s">
        <v>37</v>
      </c>
      <c r="E197" s="7" t="s">
        <v>44</v>
      </c>
      <c r="F197" s="13" t="s">
        <v>304</v>
      </c>
      <c r="G197" s="11" t="b">
        <v>0</v>
      </c>
      <c r="H197" s="11" t="str">
        <f t="shared" si="20"/>
        <v>HBM657.BGFJ.898</v>
      </c>
      <c r="I197" s="13" t="s">
        <v>388</v>
      </c>
      <c r="J197" s="13"/>
      <c r="K197" s="13"/>
      <c r="L197" s="13"/>
      <c r="M197" s="13"/>
      <c r="N197" s="13" t="s">
        <v>360</v>
      </c>
      <c r="O197" s="13" t="s">
        <v>28</v>
      </c>
      <c r="P197" s="13" t="s">
        <v>29</v>
      </c>
      <c r="Q197" s="13" t="s">
        <v>30</v>
      </c>
      <c r="R197" s="11" t="b">
        <v>0</v>
      </c>
      <c r="S197" s="11" t="s">
        <v>85</v>
      </c>
      <c r="T197" s="13" t="s">
        <v>32</v>
      </c>
      <c r="U197" s="13" t="s">
        <v>50</v>
      </c>
      <c r="V197" s="13" t="s">
        <v>51</v>
      </c>
      <c r="W197" s="13" t="s">
        <v>35</v>
      </c>
      <c r="X197" s="14">
        <v>45513.84789604167</v>
      </c>
      <c r="Y197" s="14">
        <v>45513.84789604167</v>
      </c>
      <c r="Z197" s="13"/>
      <c r="AA197" s="13"/>
    </row>
    <row r="198" ht="15.75" customHeight="1">
      <c r="A198" s="11" t="str">
        <f>HYPERLINK("https://portal.hubmapconsortium.org/browse/sample/82a80cf04e0a8e92108a004daa192e8e", "HBM273.NKLN.958")</f>
        <v>HBM273.NKLN.958</v>
      </c>
      <c r="B198" s="12"/>
      <c r="C198" s="13" t="s">
        <v>287</v>
      </c>
      <c r="D198" s="12" t="s">
        <v>37</v>
      </c>
      <c r="E198" s="7" t="s">
        <v>44</v>
      </c>
      <c r="F198" s="13" t="s">
        <v>304</v>
      </c>
      <c r="G198" s="11" t="b">
        <v>0</v>
      </c>
      <c r="H198" s="11" t="str">
        <f t="shared" si="20"/>
        <v>HBM657.BGFJ.898</v>
      </c>
      <c r="I198" s="13" t="s">
        <v>389</v>
      </c>
      <c r="J198" s="13"/>
      <c r="K198" s="13"/>
      <c r="L198" s="13"/>
      <c r="M198" s="13"/>
      <c r="N198" s="13" t="s">
        <v>362</v>
      </c>
      <c r="O198" s="13" t="s">
        <v>28</v>
      </c>
      <c r="P198" s="13" t="s">
        <v>29</v>
      </c>
      <c r="Q198" s="13" t="s">
        <v>30</v>
      </c>
      <c r="R198" s="11" t="b">
        <v>0</v>
      </c>
      <c r="S198" s="11" t="s">
        <v>85</v>
      </c>
      <c r="T198" s="13" t="s">
        <v>49</v>
      </c>
      <c r="U198" s="13" t="s">
        <v>50</v>
      </c>
      <c r="V198" s="13" t="s">
        <v>51</v>
      </c>
      <c r="W198" s="13" t="s">
        <v>35</v>
      </c>
      <c r="X198" s="14">
        <v>45513.84791091435</v>
      </c>
      <c r="Y198" s="14">
        <v>45513.84791091435</v>
      </c>
      <c r="Z198" s="13"/>
      <c r="AA198" s="13"/>
    </row>
    <row r="199" ht="15.75" customHeight="1">
      <c r="A199" s="11" t="str">
        <f>HYPERLINK("https://portal.hubmapconsortium.org/browse/sample/2db687c291ac4f5eac0cc7434199a7d8", "HBM635.BXGV.867")</f>
        <v>HBM635.BXGV.867</v>
      </c>
      <c r="B199" s="12"/>
      <c r="C199" s="13" t="s">
        <v>287</v>
      </c>
      <c r="D199" s="12" t="s">
        <v>37</v>
      </c>
      <c r="E199" s="7" t="s">
        <v>44</v>
      </c>
      <c r="F199" s="13" t="s">
        <v>304</v>
      </c>
      <c r="G199" s="11" t="b">
        <v>0</v>
      </c>
      <c r="H199" s="11" t="str">
        <f t="shared" si="20"/>
        <v>HBM657.BGFJ.898</v>
      </c>
      <c r="I199" s="13" t="s">
        <v>390</v>
      </c>
      <c r="J199" s="13"/>
      <c r="K199" s="13"/>
      <c r="L199" s="13"/>
      <c r="M199" s="13"/>
      <c r="N199" s="13" t="s">
        <v>364</v>
      </c>
      <c r="O199" s="13" t="s">
        <v>28</v>
      </c>
      <c r="P199" s="13" t="s">
        <v>29</v>
      </c>
      <c r="Q199" s="13" t="s">
        <v>30</v>
      </c>
      <c r="R199" s="11" t="b">
        <v>0</v>
      </c>
      <c r="S199" s="11" t="s">
        <v>85</v>
      </c>
      <c r="T199" s="13" t="s">
        <v>49</v>
      </c>
      <c r="U199" s="13" t="s">
        <v>50</v>
      </c>
      <c r="V199" s="13" t="s">
        <v>51</v>
      </c>
      <c r="W199" s="13" t="s">
        <v>35</v>
      </c>
      <c r="X199" s="14">
        <v>45513.84792540509</v>
      </c>
      <c r="Y199" s="14">
        <v>45513.84792540509</v>
      </c>
      <c r="Z199" s="13"/>
      <c r="AA199" s="13"/>
    </row>
    <row r="200" ht="15.75" customHeight="1">
      <c r="A200" s="11" t="str">
        <f>HYPERLINK("https://portal.hubmapconsortium.org/browse/sample/d4d6c98d3073628c85f716ddbfce3712", "HBM557.JSSD.467")</f>
        <v>HBM557.JSSD.467</v>
      </c>
      <c r="B200" s="12"/>
      <c r="C200" s="13" t="s">
        <v>287</v>
      </c>
      <c r="D200" s="12" t="s">
        <v>37</v>
      </c>
      <c r="E200" s="7" t="s">
        <v>44</v>
      </c>
      <c r="F200" s="13" t="s">
        <v>304</v>
      </c>
      <c r="G200" s="11" t="b">
        <v>0</v>
      </c>
      <c r="H200" s="11" t="str">
        <f t="shared" si="20"/>
        <v>HBM657.BGFJ.898</v>
      </c>
      <c r="I200" s="13" t="s">
        <v>391</v>
      </c>
      <c r="J200" s="13"/>
      <c r="K200" s="13"/>
      <c r="L200" s="13"/>
      <c r="M200" s="13"/>
      <c r="N200" s="13" t="s">
        <v>366</v>
      </c>
      <c r="O200" s="13" t="s">
        <v>28</v>
      </c>
      <c r="P200" s="13" t="s">
        <v>29</v>
      </c>
      <c r="Q200" s="13" t="s">
        <v>30</v>
      </c>
      <c r="R200" s="11" t="b">
        <v>0</v>
      </c>
      <c r="S200" s="11" t="s">
        <v>85</v>
      </c>
      <c r="T200" s="13" t="s">
        <v>49</v>
      </c>
      <c r="U200" s="13" t="s">
        <v>50</v>
      </c>
      <c r="V200" s="13" t="s">
        <v>51</v>
      </c>
      <c r="W200" s="13" t="s">
        <v>35</v>
      </c>
      <c r="X200" s="14">
        <v>45513.84794083334</v>
      </c>
      <c r="Y200" s="14">
        <v>45513.84794083334</v>
      </c>
      <c r="Z200" s="13"/>
      <c r="AA200" s="13"/>
    </row>
    <row r="201" ht="15.75" customHeight="1">
      <c r="A201" s="11" t="str">
        <f>HYPERLINK("https://portal.hubmapconsortium.org/browse/sample/056d577fe940b0ada39a18f1f4428817", "HBM735.GJTR.397")</f>
        <v>HBM735.GJTR.397</v>
      </c>
      <c r="B201" s="12"/>
      <c r="C201" s="13" t="s">
        <v>287</v>
      </c>
      <c r="D201" s="12" t="s">
        <v>37</v>
      </c>
      <c r="E201" s="7" t="s">
        <v>44</v>
      </c>
      <c r="F201" s="13" t="s">
        <v>304</v>
      </c>
      <c r="G201" s="11" t="b">
        <v>0</v>
      </c>
      <c r="H201" s="11" t="str">
        <f t="shared" si="20"/>
        <v>HBM657.BGFJ.898</v>
      </c>
      <c r="I201" s="13" t="s">
        <v>392</v>
      </c>
      <c r="J201" s="13"/>
      <c r="K201" s="13"/>
      <c r="L201" s="13"/>
      <c r="M201" s="13"/>
      <c r="N201" s="13" t="s">
        <v>368</v>
      </c>
      <c r="O201" s="13" t="s">
        <v>28</v>
      </c>
      <c r="P201" s="13" t="s">
        <v>29</v>
      </c>
      <c r="Q201" s="13" t="s">
        <v>30</v>
      </c>
      <c r="R201" s="11" t="b">
        <v>0</v>
      </c>
      <c r="S201" s="11" t="s">
        <v>85</v>
      </c>
      <c r="T201" s="13" t="s">
        <v>32</v>
      </c>
      <c r="U201" s="13" t="s">
        <v>50</v>
      </c>
      <c r="V201" s="13" t="s">
        <v>51</v>
      </c>
      <c r="W201" s="13" t="s">
        <v>35</v>
      </c>
      <c r="X201" s="14">
        <v>45513.84795563657</v>
      </c>
      <c r="Y201" s="14">
        <v>45513.84795563657</v>
      </c>
      <c r="Z201" s="13"/>
      <c r="AA201" s="13"/>
    </row>
    <row r="202" ht="15.75" customHeight="1">
      <c r="A202" s="11" t="str">
        <f>HYPERLINK("https://portal.hubmapconsortium.org/browse/sample/358096fdfb3cc7b4a60e527f88e1d298", "HBM237.TWLW.496")</f>
        <v>HBM237.TWLW.496</v>
      </c>
      <c r="B202" s="12"/>
      <c r="C202" s="13" t="s">
        <v>287</v>
      </c>
      <c r="D202" s="12" t="s">
        <v>37</v>
      </c>
      <c r="E202" s="7" t="s">
        <v>44</v>
      </c>
      <c r="F202" s="13" t="s">
        <v>304</v>
      </c>
      <c r="G202" s="11" t="b">
        <v>0</v>
      </c>
      <c r="H202" s="11" t="str">
        <f t="shared" si="20"/>
        <v>HBM657.BGFJ.898</v>
      </c>
      <c r="I202" s="13" t="s">
        <v>393</v>
      </c>
      <c r="J202" s="13"/>
      <c r="K202" s="13"/>
      <c r="L202" s="13"/>
      <c r="M202" s="13"/>
      <c r="N202" s="13" t="s">
        <v>370</v>
      </c>
      <c r="O202" s="13" t="s">
        <v>28</v>
      </c>
      <c r="P202" s="13" t="s">
        <v>29</v>
      </c>
      <c r="Q202" s="13" t="s">
        <v>30</v>
      </c>
      <c r="R202" s="11" t="b">
        <v>0</v>
      </c>
      <c r="S202" s="11" t="s">
        <v>85</v>
      </c>
      <c r="T202" s="13" t="s">
        <v>49</v>
      </c>
      <c r="U202" s="13" t="s">
        <v>50</v>
      </c>
      <c r="V202" s="13" t="s">
        <v>51</v>
      </c>
      <c r="W202" s="13" t="s">
        <v>35</v>
      </c>
      <c r="X202" s="14">
        <v>45513.84797150463</v>
      </c>
      <c r="Y202" s="14">
        <v>45513.84797150463</v>
      </c>
      <c r="Z202" s="13"/>
      <c r="AA202" s="13"/>
    </row>
    <row r="203" ht="15.75" customHeight="1">
      <c r="A203" s="11" t="str">
        <f>HYPERLINK("https://portal.hubmapconsortium.org/browse/sample/d1e6304fd7bba15e4c07874be624e4fa", "HBM797.SJSC.472")</f>
        <v>HBM797.SJSC.472</v>
      </c>
      <c r="B203" s="12"/>
      <c r="C203" s="13" t="s">
        <v>287</v>
      </c>
      <c r="D203" s="12" t="s">
        <v>37</v>
      </c>
      <c r="E203" s="7" t="s">
        <v>44</v>
      </c>
      <c r="F203" s="13" t="s">
        <v>304</v>
      </c>
      <c r="G203" s="11" t="b">
        <v>0</v>
      </c>
      <c r="H203" s="11" t="str">
        <f t="shared" si="20"/>
        <v>HBM657.BGFJ.898</v>
      </c>
      <c r="I203" s="13" t="s">
        <v>394</v>
      </c>
      <c r="J203" s="13"/>
      <c r="K203" s="13"/>
      <c r="L203" s="13"/>
      <c r="M203" s="13"/>
      <c r="N203" s="13" t="s">
        <v>372</v>
      </c>
      <c r="O203" s="13" t="s">
        <v>28</v>
      </c>
      <c r="P203" s="13" t="s">
        <v>29</v>
      </c>
      <c r="Q203" s="13" t="s">
        <v>30</v>
      </c>
      <c r="R203" s="11" t="b">
        <v>0</v>
      </c>
      <c r="S203" s="11" t="s">
        <v>85</v>
      </c>
      <c r="T203" s="13" t="s">
        <v>49</v>
      </c>
      <c r="U203" s="13" t="s">
        <v>50</v>
      </c>
      <c r="V203" s="13" t="s">
        <v>51</v>
      </c>
      <c r="W203" s="13" t="s">
        <v>35</v>
      </c>
      <c r="X203" s="14">
        <v>45513.84798627315</v>
      </c>
      <c r="Y203" s="14">
        <v>45513.84798627315</v>
      </c>
      <c r="Z203" s="13"/>
      <c r="AA203" s="13"/>
    </row>
    <row r="204" ht="15.75" customHeight="1">
      <c r="A204" s="11" t="str">
        <f>HYPERLINK("https://portal.hubmapconsortium.org/browse/sample/645c902182848a8cb2b2203d309914e7", "HBM485.TPJP.562")</f>
        <v>HBM485.TPJP.562</v>
      </c>
      <c r="B204" s="12"/>
      <c r="C204" s="13" t="s">
        <v>287</v>
      </c>
      <c r="D204" s="12" t="s">
        <v>37</v>
      </c>
      <c r="E204" s="7" t="s">
        <v>44</v>
      </c>
      <c r="F204" s="13" t="s">
        <v>304</v>
      </c>
      <c r="G204" s="11" t="b">
        <v>0</v>
      </c>
      <c r="H204" s="11" t="str">
        <f t="shared" si="20"/>
        <v>HBM657.BGFJ.898</v>
      </c>
      <c r="I204" s="13" t="s">
        <v>395</v>
      </c>
      <c r="J204" s="13"/>
      <c r="K204" s="13"/>
      <c r="L204" s="13"/>
      <c r="M204" s="13"/>
      <c r="N204" s="13" t="s">
        <v>374</v>
      </c>
      <c r="O204" s="13" t="s">
        <v>28</v>
      </c>
      <c r="P204" s="13" t="s">
        <v>29</v>
      </c>
      <c r="Q204" s="13" t="s">
        <v>30</v>
      </c>
      <c r="R204" s="11" t="b">
        <v>0</v>
      </c>
      <c r="S204" s="11" t="s">
        <v>85</v>
      </c>
      <c r="T204" s="13" t="s">
        <v>49</v>
      </c>
      <c r="U204" s="13" t="s">
        <v>50</v>
      </c>
      <c r="V204" s="13" t="s">
        <v>51</v>
      </c>
      <c r="W204" s="13" t="s">
        <v>35</v>
      </c>
      <c r="X204" s="14">
        <v>45513.84800238426</v>
      </c>
      <c r="Y204" s="14">
        <v>45513.84800238426</v>
      </c>
      <c r="Z204" s="13"/>
      <c r="AA204" s="13"/>
    </row>
    <row r="205" ht="15.75" customHeight="1">
      <c r="A205" s="11" t="str">
        <f>HYPERLINK("https://portal.hubmapconsortium.org/browse/sample/91776ef12a63c5cb68518e401fc6d182", "HBM358.XJJN.448")</f>
        <v>HBM358.XJJN.448</v>
      </c>
      <c r="B205" s="12"/>
      <c r="C205" s="13" t="s">
        <v>287</v>
      </c>
      <c r="D205" s="12" t="s">
        <v>37</v>
      </c>
      <c r="E205" s="7" t="s">
        <v>44</v>
      </c>
      <c r="F205" s="13" t="s">
        <v>304</v>
      </c>
      <c r="G205" s="11" t="b">
        <v>0</v>
      </c>
      <c r="H205" s="11" t="str">
        <f t="shared" si="20"/>
        <v>HBM657.BGFJ.898</v>
      </c>
      <c r="I205" s="13" t="s">
        <v>396</v>
      </c>
      <c r="J205" s="13"/>
      <c r="K205" s="13"/>
      <c r="L205" s="13"/>
      <c r="M205" s="13"/>
      <c r="N205" s="13" t="s">
        <v>376</v>
      </c>
      <c r="O205" s="13" t="s">
        <v>28</v>
      </c>
      <c r="P205" s="13" t="s">
        <v>29</v>
      </c>
      <c r="Q205" s="13" t="s">
        <v>30</v>
      </c>
      <c r="R205" s="11" t="b">
        <v>0</v>
      </c>
      <c r="S205" s="11" t="s">
        <v>85</v>
      </c>
      <c r="T205" s="13" t="s">
        <v>32</v>
      </c>
      <c r="U205" s="13" t="s">
        <v>50</v>
      </c>
      <c r="V205" s="13" t="s">
        <v>51</v>
      </c>
      <c r="W205" s="13" t="s">
        <v>35</v>
      </c>
      <c r="X205" s="14">
        <v>45513.84802314815</v>
      </c>
      <c r="Y205" s="14">
        <v>45513.84802314815</v>
      </c>
      <c r="Z205" s="13"/>
      <c r="AA205" s="13"/>
    </row>
    <row r="206" ht="15.75" customHeight="1">
      <c r="A206" s="11" t="str">
        <f>HYPERLINK("https://portal.hubmapconsortium.org/browse/sample/3dc2d0d18bc13214c8be25598682c707", "HBM948.RLMN.935")</f>
        <v>HBM948.RLMN.935</v>
      </c>
      <c r="B206" s="12"/>
      <c r="C206" s="13" t="s">
        <v>287</v>
      </c>
      <c r="D206" s="12" t="s">
        <v>37</v>
      </c>
      <c r="E206" s="7" t="s">
        <v>44</v>
      </c>
      <c r="F206" s="13" t="s">
        <v>304</v>
      </c>
      <c r="G206" s="11" t="b">
        <v>0</v>
      </c>
      <c r="H206" s="11" t="str">
        <f t="shared" si="20"/>
        <v>HBM657.BGFJ.898</v>
      </c>
      <c r="I206" s="13" t="s">
        <v>397</v>
      </c>
      <c r="J206" s="13"/>
      <c r="K206" s="13"/>
      <c r="L206" s="13"/>
      <c r="M206" s="13"/>
      <c r="N206" s="13" t="s">
        <v>378</v>
      </c>
      <c r="O206" s="13" t="s">
        <v>28</v>
      </c>
      <c r="P206" s="13" t="s">
        <v>29</v>
      </c>
      <c r="Q206" s="13" t="s">
        <v>30</v>
      </c>
      <c r="R206" s="11" t="b">
        <v>0</v>
      </c>
      <c r="S206" s="11" t="s">
        <v>85</v>
      </c>
      <c r="T206" s="13" t="s">
        <v>49</v>
      </c>
      <c r="U206" s="13" t="s">
        <v>50</v>
      </c>
      <c r="V206" s="13" t="s">
        <v>51</v>
      </c>
      <c r="W206" s="13" t="s">
        <v>35</v>
      </c>
      <c r="X206" s="14">
        <v>45513.84803763889</v>
      </c>
      <c r="Y206" s="14">
        <v>45513.84803763889</v>
      </c>
      <c r="Z206" s="13"/>
      <c r="AA206" s="13"/>
    </row>
    <row r="207" ht="15.75" customHeight="1">
      <c r="A207" s="11" t="str">
        <f>HYPERLINK("https://portal.hubmapconsortium.org/browse/sample/866aa2b6998833485218c459c9df3cef", "HBM557.QXWD.245")</f>
        <v>HBM557.QXWD.245</v>
      </c>
      <c r="B207" s="12"/>
      <c r="C207" s="13" t="s">
        <v>287</v>
      </c>
      <c r="D207" s="12" t="s">
        <v>37</v>
      </c>
      <c r="E207" s="7" t="s">
        <v>44</v>
      </c>
      <c r="F207" s="13" t="s">
        <v>304</v>
      </c>
      <c r="G207" s="11" t="b">
        <v>0</v>
      </c>
      <c r="H207" s="11" t="str">
        <f t="shared" si="20"/>
        <v>HBM657.BGFJ.898</v>
      </c>
      <c r="I207" s="13" t="s">
        <v>398</v>
      </c>
      <c r="J207" s="13"/>
      <c r="K207" s="13"/>
      <c r="L207" s="13"/>
      <c r="M207" s="13"/>
      <c r="N207" s="13" t="s">
        <v>380</v>
      </c>
      <c r="O207" s="13" t="s">
        <v>28</v>
      </c>
      <c r="P207" s="13" t="s">
        <v>29</v>
      </c>
      <c r="Q207" s="13" t="s">
        <v>30</v>
      </c>
      <c r="R207" s="11" t="b">
        <v>0</v>
      </c>
      <c r="S207" s="11" t="s">
        <v>85</v>
      </c>
      <c r="T207" s="13" t="s">
        <v>49</v>
      </c>
      <c r="U207" s="13" t="s">
        <v>50</v>
      </c>
      <c r="V207" s="13" t="s">
        <v>51</v>
      </c>
      <c r="W207" s="13" t="s">
        <v>35</v>
      </c>
      <c r="X207" s="14">
        <v>45513.84805179398</v>
      </c>
      <c r="Y207" s="14">
        <v>45513.84805179398</v>
      </c>
      <c r="Z207" s="13"/>
      <c r="AA207" s="13"/>
    </row>
    <row r="208" ht="15.75" customHeight="1">
      <c r="A208" s="11" t="str">
        <f>HYPERLINK("https://portal.hubmapconsortium.org/browse/sample/e90b08c2006b01927668d9ae1bc6537b", "HBM455.BVZH.484")</f>
        <v>HBM455.BVZH.484</v>
      </c>
      <c r="B208" s="12"/>
      <c r="C208" s="13" t="s">
        <v>287</v>
      </c>
      <c r="D208" s="12" t="s">
        <v>37</v>
      </c>
      <c r="E208" s="7" t="s">
        <v>44</v>
      </c>
      <c r="F208" s="13" t="s">
        <v>304</v>
      </c>
      <c r="G208" s="11" t="b">
        <v>0</v>
      </c>
      <c r="H208" s="11" t="str">
        <f t="shared" si="20"/>
        <v>HBM657.BGFJ.898</v>
      </c>
      <c r="I208" s="13" t="s">
        <v>399</v>
      </c>
      <c r="J208" s="13"/>
      <c r="K208" s="13"/>
      <c r="L208" s="13"/>
      <c r="M208" s="13"/>
      <c r="N208" s="13" t="s">
        <v>382</v>
      </c>
      <c r="O208" s="13" t="s">
        <v>28</v>
      </c>
      <c r="P208" s="13" t="s">
        <v>29</v>
      </c>
      <c r="Q208" s="13" t="s">
        <v>30</v>
      </c>
      <c r="R208" s="11" t="b">
        <v>0</v>
      </c>
      <c r="S208" s="11" t="s">
        <v>85</v>
      </c>
      <c r="T208" s="13" t="s">
        <v>49</v>
      </c>
      <c r="U208" s="13" t="s">
        <v>50</v>
      </c>
      <c r="V208" s="13" t="s">
        <v>51</v>
      </c>
      <c r="W208" s="13" t="s">
        <v>35</v>
      </c>
      <c r="X208" s="14">
        <v>45513.84806875</v>
      </c>
      <c r="Y208" s="14">
        <v>45513.84806875</v>
      </c>
      <c r="Z208" s="13"/>
      <c r="AA208" s="13"/>
    </row>
    <row r="209" ht="15.75" customHeight="1">
      <c r="A209" s="11" t="str">
        <f>HYPERLINK("https://portal.hubmapconsortium.org/browse/sample/5ff7023afd3aad9ac4effdf066851f5e", "HBM947.HBNM.826")</f>
        <v>HBM947.HBNM.826</v>
      </c>
      <c r="B209" s="12"/>
      <c r="C209" s="13" t="s">
        <v>287</v>
      </c>
      <c r="D209" s="12" t="s">
        <v>37</v>
      </c>
      <c r="E209" s="7" t="s">
        <v>44</v>
      </c>
      <c r="F209" s="13" t="s">
        <v>304</v>
      </c>
      <c r="G209" s="11" t="b">
        <v>0</v>
      </c>
      <c r="H209" s="11" t="str">
        <f t="shared" si="20"/>
        <v>HBM657.BGFJ.898</v>
      </c>
      <c r="I209" s="13" t="s">
        <v>400</v>
      </c>
      <c r="J209" s="13"/>
      <c r="K209" s="13"/>
      <c r="L209" s="13"/>
      <c r="M209" s="13"/>
      <c r="N209" s="13" t="s">
        <v>384</v>
      </c>
      <c r="O209" s="13" t="s">
        <v>28</v>
      </c>
      <c r="P209" s="13" t="s">
        <v>29</v>
      </c>
      <c r="Q209" s="13" t="s">
        <v>30</v>
      </c>
      <c r="R209" s="11" t="b">
        <v>0</v>
      </c>
      <c r="S209" s="11" t="s">
        <v>85</v>
      </c>
      <c r="T209" s="13" t="s">
        <v>32</v>
      </c>
      <c r="U209" s="13" t="s">
        <v>50</v>
      </c>
      <c r="V209" s="13" t="s">
        <v>51</v>
      </c>
      <c r="W209" s="13" t="s">
        <v>35</v>
      </c>
      <c r="X209" s="14">
        <v>45513.84808466435</v>
      </c>
      <c r="Y209" s="14">
        <v>45513.84808466435</v>
      </c>
      <c r="Z209" s="13"/>
      <c r="AA209" s="13"/>
    </row>
    <row r="210" ht="15.75" customHeight="1">
      <c r="A210" s="5" t="str">
        <f>HYPERLINK("https://portal.hubmapconsortium.org/browse/sample/a78ee406cfe0afa4825d3e1200b3f39c", "HBM463.CSLZ.494")</f>
        <v>HBM463.CSLZ.494</v>
      </c>
      <c r="B210" s="6">
        <v>3.0</v>
      </c>
      <c r="C210" s="7" t="s">
        <v>287</v>
      </c>
      <c r="D210" s="8" t="s">
        <v>37</v>
      </c>
      <c r="E210" s="7" t="s">
        <v>44</v>
      </c>
      <c r="F210" s="7" t="s">
        <v>401</v>
      </c>
      <c r="G210" s="5" t="b">
        <v>0</v>
      </c>
      <c r="H210" s="5" t="str">
        <f t="shared" ref="H210:H216" si="21">HYPERLINK("https://portal.hubmapconsortium.org/browse/sample/9954d4d8adb0a53a26179bc99b08b6c0", "HBM688.BJZV.237")</f>
        <v>HBM688.BJZV.237</v>
      </c>
      <c r="I210" s="7" t="s">
        <v>402</v>
      </c>
      <c r="K210" s="10">
        <v>18.0</v>
      </c>
      <c r="N210" s="7" t="s">
        <v>403</v>
      </c>
      <c r="O210" s="7" t="s">
        <v>28</v>
      </c>
      <c r="P210" s="7" t="s">
        <v>29</v>
      </c>
      <c r="Q210" s="7" t="s">
        <v>30</v>
      </c>
      <c r="R210" s="5" t="b">
        <v>0</v>
      </c>
      <c r="S210" s="5" t="s">
        <v>31</v>
      </c>
      <c r="T210" s="7" t="s">
        <v>49</v>
      </c>
      <c r="U210" s="7" t="s">
        <v>50</v>
      </c>
      <c r="V210" s="7" t="s">
        <v>51</v>
      </c>
      <c r="W210" s="7" t="s">
        <v>35</v>
      </c>
      <c r="X210" s="9">
        <v>45848.84232256944</v>
      </c>
      <c r="Y210" s="9">
        <v>45848.84232256944</v>
      </c>
    </row>
    <row r="211" ht="15.75" customHeight="1">
      <c r="A211" s="5" t="str">
        <f>HYPERLINK("https://portal.hubmapconsortium.org/browse/sample/5791510180127c3ba89e4713e84719b9", "HBM598.HGFZ.458")</f>
        <v>HBM598.HGFZ.458</v>
      </c>
      <c r="B211" s="6">
        <v>3.0</v>
      </c>
      <c r="C211" s="7" t="s">
        <v>287</v>
      </c>
      <c r="D211" s="8" t="s">
        <v>37</v>
      </c>
      <c r="E211" s="7" t="s">
        <v>44</v>
      </c>
      <c r="F211" s="7" t="s">
        <v>401</v>
      </c>
      <c r="G211" s="5" t="b">
        <v>0</v>
      </c>
      <c r="H211" s="5" t="str">
        <f t="shared" si="21"/>
        <v>HBM688.BJZV.237</v>
      </c>
      <c r="I211" s="7" t="s">
        <v>404</v>
      </c>
      <c r="K211" s="10">
        <v>18.0</v>
      </c>
      <c r="N211" s="7" t="s">
        <v>403</v>
      </c>
      <c r="O211" s="7" t="s">
        <v>28</v>
      </c>
      <c r="P211" s="7" t="s">
        <v>29</v>
      </c>
      <c r="Q211" s="7" t="s">
        <v>30</v>
      </c>
      <c r="R211" s="5" t="b">
        <v>0</v>
      </c>
      <c r="S211" s="5" t="s">
        <v>31</v>
      </c>
      <c r="T211" s="7" t="s">
        <v>49</v>
      </c>
      <c r="U211" s="7" t="s">
        <v>50</v>
      </c>
      <c r="V211" s="7" t="s">
        <v>51</v>
      </c>
      <c r="W211" s="7" t="s">
        <v>35</v>
      </c>
      <c r="X211" s="9">
        <v>45848.8424134838</v>
      </c>
      <c r="Y211" s="9">
        <v>45848.8424134838</v>
      </c>
    </row>
    <row r="212" ht="15.75" customHeight="1">
      <c r="A212" s="5" t="str">
        <f>HYPERLINK("https://portal.hubmapconsortium.org/browse/sample/a941602a83a3904f3970f37a513b6aa3", "HBM558.TWKB.687")</f>
        <v>HBM558.TWKB.687</v>
      </c>
      <c r="B212" s="6">
        <v>3.0</v>
      </c>
      <c r="C212" s="7" t="s">
        <v>287</v>
      </c>
      <c r="D212" s="8" t="s">
        <v>37</v>
      </c>
      <c r="E212" s="7" t="s">
        <v>44</v>
      </c>
      <c r="F212" s="7" t="s">
        <v>401</v>
      </c>
      <c r="G212" s="5" t="b">
        <v>0</v>
      </c>
      <c r="H212" s="5" t="str">
        <f t="shared" si="21"/>
        <v>HBM688.BJZV.237</v>
      </c>
      <c r="I212" s="7" t="s">
        <v>405</v>
      </c>
      <c r="K212" s="10">
        <v>18.0</v>
      </c>
      <c r="N212" s="7" t="s">
        <v>403</v>
      </c>
      <c r="O212" s="7" t="s">
        <v>28</v>
      </c>
      <c r="P212" s="7" t="s">
        <v>29</v>
      </c>
      <c r="Q212" s="7" t="s">
        <v>30</v>
      </c>
      <c r="R212" s="5" t="b">
        <v>0</v>
      </c>
      <c r="S212" s="5" t="s">
        <v>31</v>
      </c>
      <c r="T212" s="7" t="s">
        <v>49</v>
      </c>
      <c r="U212" s="7" t="s">
        <v>50</v>
      </c>
      <c r="V212" s="7" t="s">
        <v>51</v>
      </c>
      <c r="W212" s="7" t="s">
        <v>35</v>
      </c>
      <c r="X212" s="9">
        <v>45848.84242503472</v>
      </c>
      <c r="Y212" s="9">
        <v>45848.84242503472</v>
      </c>
    </row>
    <row r="213" ht="15.75" customHeight="1">
      <c r="A213" s="5" t="str">
        <f>HYPERLINK("https://portal.hubmapconsortium.org/browse/sample/b74803dd17d6541a583502013c800110", "HBM365.VQTL.758")</f>
        <v>HBM365.VQTL.758</v>
      </c>
      <c r="B213" s="6">
        <v>3.0</v>
      </c>
      <c r="C213" s="7" t="s">
        <v>287</v>
      </c>
      <c r="D213" s="8" t="s">
        <v>37</v>
      </c>
      <c r="E213" s="7" t="s">
        <v>44</v>
      </c>
      <c r="F213" s="7" t="s">
        <v>401</v>
      </c>
      <c r="G213" s="5" t="b">
        <v>0</v>
      </c>
      <c r="H213" s="5" t="str">
        <f t="shared" si="21"/>
        <v>HBM688.BJZV.237</v>
      </c>
      <c r="I213" s="7" t="s">
        <v>406</v>
      </c>
      <c r="K213" s="10">
        <v>18.0</v>
      </c>
      <c r="N213" s="7" t="s">
        <v>407</v>
      </c>
      <c r="O213" s="7" t="s">
        <v>28</v>
      </c>
      <c r="P213" s="7" t="s">
        <v>29</v>
      </c>
      <c r="Q213" s="7" t="s">
        <v>30</v>
      </c>
      <c r="R213" s="5" t="b">
        <v>0</v>
      </c>
      <c r="S213" s="5" t="s">
        <v>85</v>
      </c>
      <c r="T213" s="7" t="s">
        <v>32</v>
      </c>
      <c r="U213" s="7" t="s">
        <v>50</v>
      </c>
      <c r="V213" s="7" t="s">
        <v>51</v>
      </c>
      <c r="W213" s="7" t="s">
        <v>35</v>
      </c>
      <c r="X213" s="9">
        <v>45643.91673604167</v>
      </c>
      <c r="Y213" s="9">
        <v>45643.91673604167</v>
      </c>
    </row>
    <row r="214" ht="15.75" customHeight="1">
      <c r="A214" s="5" t="str">
        <f>HYPERLINK("https://portal.hubmapconsortium.org/browse/sample/f66a0742abfdea203331d88734732cb6", "HBM982.QVRM.858")</f>
        <v>HBM982.QVRM.858</v>
      </c>
      <c r="B214" s="6">
        <v>2.0</v>
      </c>
      <c r="C214" s="7" t="s">
        <v>287</v>
      </c>
      <c r="D214" s="8" t="s">
        <v>37</v>
      </c>
      <c r="E214" s="7" t="s">
        <v>44</v>
      </c>
      <c r="F214" s="7" t="s">
        <v>401</v>
      </c>
      <c r="G214" s="5" t="b">
        <v>0</v>
      </c>
      <c r="H214" s="5" t="str">
        <f t="shared" si="21"/>
        <v>HBM688.BJZV.237</v>
      </c>
      <c r="I214" s="7" t="s">
        <v>408</v>
      </c>
      <c r="K214" s="10">
        <v>14.0</v>
      </c>
      <c r="N214" s="7" t="s">
        <v>409</v>
      </c>
      <c r="O214" s="7" t="s">
        <v>28</v>
      </c>
      <c r="P214" s="7" t="s">
        <v>29</v>
      </c>
      <c r="Q214" s="7" t="s">
        <v>30</v>
      </c>
      <c r="R214" s="5" t="b">
        <v>0</v>
      </c>
      <c r="S214" s="5" t="s">
        <v>31</v>
      </c>
      <c r="T214" s="7" t="s">
        <v>49</v>
      </c>
      <c r="U214" s="7" t="s">
        <v>50</v>
      </c>
      <c r="V214" s="7" t="s">
        <v>51</v>
      </c>
      <c r="W214" s="7" t="s">
        <v>35</v>
      </c>
      <c r="X214" s="9">
        <v>45848.84243758102</v>
      </c>
      <c r="Y214" s="9">
        <v>45848.84243758102</v>
      </c>
    </row>
    <row r="215" ht="15.75" customHeight="1">
      <c r="A215" s="5" t="str">
        <f>HYPERLINK("https://portal.hubmapconsortium.org/browse/sample/9f5d801187724cd4e1b88332177872a0", "HBM892.THLP.948")</f>
        <v>HBM892.THLP.948</v>
      </c>
      <c r="B215" s="6">
        <v>2.0</v>
      </c>
      <c r="C215" s="7" t="s">
        <v>287</v>
      </c>
      <c r="D215" s="8" t="s">
        <v>37</v>
      </c>
      <c r="E215" s="7" t="s">
        <v>44</v>
      </c>
      <c r="F215" s="7" t="s">
        <v>401</v>
      </c>
      <c r="G215" s="5" t="b">
        <v>0</v>
      </c>
      <c r="H215" s="5" t="str">
        <f t="shared" si="21"/>
        <v>HBM688.BJZV.237</v>
      </c>
      <c r="I215" s="7" t="s">
        <v>410</v>
      </c>
      <c r="K215" s="10">
        <v>14.0</v>
      </c>
      <c r="N215" s="7" t="s">
        <v>411</v>
      </c>
      <c r="O215" s="7" t="s">
        <v>28</v>
      </c>
      <c r="P215" s="7" t="s">
        <v>29</v>
      </c>
      <c r="Q215" s="7" t="s">
        <v>30</v>
      </c>
      <c r="R215" s="5" t="b">
        <v>0</v>
      </c>
      <c r="S215" s="5" t="s">
        <v>31</v>
      </c>
      <c r="T215" s="7" t="s">
        <v>49</v>
      </c>
      <c r="U215" s="7" t="s">
        <v>50</v>
      </c>
      <c r="V215" s="7" t="s">
        <v>51</v>
      </c>
      <c r="W215" s="7" t="s">
        <v>35</v>
      </c>
      <c r="X215" s="9">
        <v>45819.77843373843</v>
      </c>
      <c r="Y215" s="9">
        <v>45819.77843373843</v>
      </c>
    </row>
    <row r="216" ht="15.75" customHeight="1">
      <c r="A216" s="5" t="str">
        <f>HYPERLINK("https://portal.hubmapconsortium.org/browse/sample/7260d2ff7b377c34f09fed7d05b1fe40", "HBM845.HMCZ.295")</f>
        <v>HBM845.HMCZ.295</v>
      </c>
      <c r="B216" s="6">
        <v>2.0</v>
      </c>
      <c r="C216" s="7" t="s">
        <v>287</v>
      </c>
      <c r="D216" s="8" t="s">
        <v>37</v>
      </c>
      <c r="E216" s="7" t="s">
        <v>44</v>
      </c>
      <c r="F216" s="7" t="s">
        <v>401</v>
      </c>
      <c r="G216" s="5" t="b">
        <v>0</v>
      </c>
      <c r="H216" s="5" t="str">
        <f t="shared" si="21"/>
        <v>HBM688.BJZV.237</v>
      </c>
      <c r="I216" s="7" t="s">
        <v>412</v>
      </c>
      <c r="K216" s="10">
        <v>14.0</v>
      </c>
      <c r="N216" s="7" t="s">
        <v>411</v>
      </c>
      <c r="O216" s="7" t="s">
        <v>28</v>
      </c>
      <c r="P216" s="7" t="s">
        <v>29</v>
      </c>
      <c r="Q216" s="7" t="s">
        <v>30</v>
      </c>
      <c r="R216" s="5" t="b">
        <v>0</v>
      </c>
      <c r="S216" s="5" t="s">
        <v>31</v>
      </c>
      <c r="T216" s="7" t="s">
        <v>49</v>
      </c>
      <c r="U216" s="7" t="s">
        <v>50</v>
      </c>
      <c r="V216" s="7" t="s">
        <v>51</v>
      </c>
      <c r="W216" s="7" t="s">
        <v>35</v>
      </c>
      <c r="X216" s="9">
        <v>45819.77849782407</v>
      </c>
      <c r="Y216" s="9">
        <v>45819.77849782407</v>
      </c>
    </row>
    <row r="217" ht="15.75" customHeight="1">
      <c r="A217" s="11" t="str">
        <f>HYPERLINK("https://portal.hubmapconsortium.org/browse/sample/533dd9d7cf62d83d9418e69960eca132", "HBM469.GNLR.532")</f>
        <v>HBM469.GNLR.532</v>
      </c>
      <c r="B217" s="12"/>
      <c r="C217" s="13" t="s">
        <v>413</v>
      </c>
      <c r="D217" s="12" t="s">
        <v>25</v>
      </c>
      <c r="E217" s="7" t="s">
        <v>44</v>
      </c>
      <c r="F217" s="13" t="s">
        <v>414</v>
      </c>
      <c r="G217" s="11" t="b">
        <v>0</v>
      </c>
      <c r="H217" s="11" t="str">
        <f t="shared" ref="H217:H224" si="22">HYPERLINK("https://portal.hubmapconsortium.org/browse/sample/bc7918805c94ad395dd26c50573d1e40", "HBM367.CMSK.938")</f>
        <v>HBM367.CMSK.938</v>
      </c>
      <c r="I217" s="13" t="s">
        <v>415</v>
      </c>
      <c r="J217" s="13"/>
      <c r="K217" s="13"/>
      <c r="L217" s="13"/>
      <c r="M217" s="13"/>
      <c r="N217" s="13" t="s">
        <v>416</v>
      </c>
      <c r="O217" s="13" t="s">
        <v>28</v>
      </c>
      <c r="P217" s="13" t="s">
        <v>29</v>
      </c>
      <c r="Q217" s="13" t="s">
        <v>30</v>
      </c>
      <c r="R217" s="11" t="b">
        <v>0</v>
      </c>
      <c r="S217" s="11" t="s">
        <v>31</v>
      </c>
      <c r="T217" s="13" t="s">
        <v>49</v>
      </c>
      <c r="U217" s="13" t="s">
        <v>50</v>
      </c>
      <c r="V217" s="13" t="s">
        <v>51</v>
      </c>
      <c r="W217" s="13" t="s">
        <v>35</v>
      </c>
      <c r="X217" s="14">
        <v>45525.65136083333</v>
      </c>
      <c r="Y217" s="14">
        <v>45525.65136083333</v>
      </c>
      <c r="Z217" s="13"/>
      <c r="AA217" s="13"/>
    </row>
    <row r="218" ht="15.75" customHeight="1">
      <c r="A218" s="11" t="str">
        <f>HYPERLINK("https://portal.hubmapconsortium.org/browse/sample/31256640ed4d9d042508d525cc46f48b", "HBM752.VMVK.472")</f>
        <v>HBM752.VMVK.472</v>
      </c>
      <c r="B218" s="12"/>
      <c r="C218" s="13" t="s">
        <v>413</v>
      </c>
      <c r="D218" s="12" t="s">
        <v>25</v>
      </c>
      <c r="E218" s="7" t="s">
        <v>44</v>
      </c>
      <c r="F218" s="13" t="s">
        <v>414</v>
      </c>
      <c r="G218" s="11" t="b">
        <v>0</v>
      </c>
      <c r="H218" s="11" t="str">
        <f t="shared" si="22"/>
        <v>HBM367.CMSK.938</v>
      </c>
      <c r="I218" s="13" t="s">
        <v>417</v>
      </c>
      <c r="J218" s="13"/>
      <c r="K218" s="13"/>
      <c r="L218" s="13"/>
      <c r="M218" s="13"/>
      <c r="N218" s="13" t="s">
        <v>418</v>
      </c>
      <c r="O218" s="13" t="s">
        <v>28</v>
      </c>
      <c r="P218" s="13" t="s">
        <v>29</v>
      </c>
      <c r="Q218" s="13" t="s">
        <v>30</v>
      </c>
      <c r="R218" s="11" t="b">
        <v>0</v>
      </c>
      <c r="S218" s="11" t="s">
        <v>31</v>
      </c>
      <c r="T218" s="13" t="s">
        <v>49</v>
      </c>
      <c r="U218" s="13" t="s">
        <v>50</v>
      </c>
      <c r="V218" s="13" t="s">
        <v>51</v>
      </c>
      <c r="W218" s="13" t="s">
        <v>35</v>
      </c>
      <c r="X218" s="14">
        <v>45525.65137832176</v>
      </c>
      <c r="Y218" s="14">
        <v>45525.65137832176</v>
      </c>
      <c r="Z218" s="13"/>
      <c r="AA218" s="13"/>
    </row>
    <row r="219" ht="15.75" customHeight="1">
      <c r="A219" s="11" t="str">
        <f>HYPERLINK("https://portal.hubmapconsortium.org/browse/sample/a62b2313125afacb8b61d4e056b17556", "HBM566.VCTT.336")</f>
        <v>HBM566.VCTT.336</v>
      </c>
      <c r="B219" s="12"/>
      <c r="C219" s="13" t="s">
        <v>413</v>
      </c>
      <c r="D219" s="12" t="s">
        <v>25</v>
      </c>
      <c r="E219" s="7" t="s">
        <v>44</v>
      </c>
      <c r="F219" s="13" t="s">
        <v>414</v>
      </c>
      <c r="G219" s="11" t="b">
        <v>0</v>
      </c>
      <c r="H219" s="11" t="str">
        <f t="shared" si="22"/>
        <v>HBM367.CMSK.938</v>
      </c>
      <c r="I219" s="13" t="s">
        <v>419</v>
      </c>
      <c r="J219" s="13"/>
      <c r="K219" s="13"/>
      <c r="L219" s="13"/>
      <c r="M219" s="13"/>
      <c r="N219" s="13" t="s">
        <v>420</v>
      </c>
      <c r="O219" s="13" t="s">
        <v>28</v>
      </c>
      <c r="P219" s="13" t="s">
        <v>29</v>
      </c>
      <c r="Q219" s="13" t="s">
        <v>30</v>
      </c>
      <c r="R219" s="11" t="b">
        <v>0</v>
      </c>
      <c r="S219" s="11" t="s">
        <v>31</v>
      </c>
      <c r="T219" s="13" t="s">
        <v>49</v>
      </c>
      <c r="U219" s="13" t="s">
        <v>50</v>
      </c>
      <c r="V219" s="13" t="s">
        <v>51</v>
      </c>
      <c r="W219" s="13" t="s">
        <v>35</v>
      </c>
      <c r="X219" s="14">
        <v>45525.65139392361</v>
      </c>
      <c r="Y219" s="14">
        <v>45525.65139392361</v>
      </c>
      <c r="Z219" s="13"/>
      <c r="AA219" s="13"/>
    </row>
    <row r="220" ht="15.75" customHeight="1">
      <c r="A220" s="11" t="str">
        <f>HYPERLINK("https://portal.hubmapconsortium.org/browse/sample/17a8afe7a0d3c3f9033b9b4005822e02", "HBM534.FTNR.568")</f>
        <v>HBM534.FTNR.568</v>
      </c>
      <c r="B220" s="12"/>
      <c r="C220" s="13" t="s">
        <v>413</v>
      </c>
      <c r="D220" s="12" t="s">
        <v>25</v>
      </c>
      <c r="E220" s="7" t="s">
        <v>44</v>
      </c>
      <c r="F220" s="13" t="s">
        <v>414</v>
      </c>
      <c r="G220" s="11" t="b">
        <v>0</v>
      </c>
      <c r="H220" s="11" t="str">
        <f t="shared" si="22"/>
        <v>HBM367.CMSK.938</v>
      </c>
      <c r="I220" s="13" t="s">
        <v>421</v>
      </c>
      <c r="J220" s="13"/>
      <c r="K220" s="13"/>
      <c r="L220" s="13"/>
      <c r="M220" s="13"/>
      <c r="N220" s="13" t="s">
        <v>422</v>
      </c>
      <c r="O220" s="13" t="s">
        <v>28</v>
      </c>
      <c r="P220" s="13" t="s">
        <v>29</v>
      </c>
      <c r="Q220" s="13" t="s">
        <v>30</v>
      </c>
      <c r="R220" s="11" t="b">
        <v>0</v>
      </c>
      <c r="S220" s="11" t="s">
        <v>31</v>
      </c>
      <c r="T220" s="13" t="s">
        <v>32</v>
      </c>
      <c r="U220" s="13" t="s">
        <v>50</v>
      </c>
      <c r="V220" s="13" t="s">
        <v>51</v>
      </c>
      <c r="W220" s="13" t="s">
        <v>35</v>
      </c>
      <c r="X220" s="14">
        <v>45525.65140856482</v>
      </c>
      <c r="Y220" s="14">
        <v>45525.65140856482</v>
      </c>
      <c r="Z220" s="13"/>
      <c r="AA220" s="13"/>
    </row>
    <row r="221" ht="15.75" customHeight="1">
      <c r="A221" s="11" t="str">
        <f>HYPERLINK("https://portal.hubmapconsortium.org/browse/sample/c1d14f9bd465fb1b781034a0811ddcfb", "HBM557.RGHB.628")</f>
        <v>HBM557.RGHB.628</v>
      </c>
      <c r="B221" s="12"/>
      <c r="C221" s="13" t="s">
        <v>413</v>
      </c>
      <c r="D221" s="12" t="s">
        <v>25</v>
      </c>
      <c r="E221" s="7" t="s">
        <v>44</v>
      </c>
      <c r="F221" s="13" t="s">
        <v>414</v>
      </c>
      <c r="G221" s="11" t="b">
        <v>0</v>
      </c>
      <c r="H221" s="11" t="str">
        <f t="shared" si="22"/>
        <v>HBM367.CMSK.938</v>
      </c>
      <c r="I221" s="13" t="s">
        <v>423</v>
      </c>
      <c r="J221" s="13"/>
      <c r="K221" s="13"/>
      <c r="L221" s="13"/>
      <c r="M221" s="13"/>
      <c r="N221" s="13" t="s">
        <v>416</v>
      </c>
      <c r="O221" s="13" t="s">
        <v>28</v>
      </c>
      <c r="P221" s="13" t="s">
        <v>29</v>
      </c>
      <c r="Q221" s="13" t="s">
        <v>30</v>
      </c>
      <c r="R221" s="11" t="b">
        <v>0</v>
      </c>
      <c r="S221" s="11" t="s">
        <v>31</v>
      </c>
      <c r="T221" s="13" t="s">
        <v>49</v>
      </c>
      <c r="U221" s="13" t="s">
        <v>50</v>
      </c>
      <c r="V221" s="13" t="s">
        <v>51</v>
      </c>
      <c r="W221" s="13" t="s">
        <v>35</v>
      </c>
      <c r="X221" s="14">
        <v>45525.65142480324</v>
      </c>
      <c r="Y221" s="14">
        <v>45525.65142480324</v>
      </c>
      <c r="Z221" s="13"/>
      <c r="AA221" s="13"/>
    </row>
    <row r="222" ht="15.75" customHeight="1">
      <c r="A222" s="11" t="str">
        <f>HYPERLINK("https://portal.hubmapconsortium.org/browse/sample/f232b7b76b5af5670363affd9e0b4c65", "HBM695.GFJL.246")</f>
        <v>HBM695.GFJL.246</v>
      </c>
      <c r="B222" s="12"/>
      <c r="C222" s="13" t="s">
        <v>413</v>
      </c>
      <c r="D222" s="12" t="s">
        <v>25</v>
      </c>
      <c r="E222" s="7" t="s">
        <v>44</v>
      </c>
      <c r="F222" s="13" t="s">
        <v>414</v>
      </c>
      <c r="G222" s="11" t="b">
        <v>0</v>
      </c>
      <c r="H222" s="11" t="str">
        <f t="shared" si="22"/>
        <v>HBM367.CMSK.938</v>
      </c>
      <c r="I222" s="13" t="s">
        <v>424</v>
      </c>
      <c r="J222" s="13"/>
      <c r="K222" s="13"/>
      <c r="L222" s="13"/>
      <c r="M222" s="13"/>
      <c r="N222" s="13" t="s">
        <v>418</v>
      </c>
      <c r="O222" s="13" t="s">
        <v>28</v>
      </c>
      <c r="P222" s="13" t="s">
        <v>29</v>
      </c>
      <c r="Q222" s="13" t="s">
        <v>30</v>
      </c>
      <c r="R222" s="11" t="b">
        <v>0</v>
      </c>
      <c r="S222" s="11" t="s">
        <v>31</v>
      </c>
      <c r="T222" s="13" t="s">
        <v>49</v>
      </c>
      <c r="U222" s="13" t="s">
        <v>50</v>
      </c>
      <c r="V222" s="13" t="s">
        <v>51</v>
      </c>
      <c r="W222" s="13" t="s">
        <v>35</v>
      </c>
      <c r="X222" s="14">
        <v>45525.65144054398</v>
      </c>
      <c r="Y222" s="14">
        <v>45525.65144054398</v>
      </c>
      <c r="Z222" s="13"/>
      <c r="AA222" s="13"/>
    </row>
    <row r="223" ht="15.75" customHeight="1">
      <c r="A223" s="11" t="str">
        <f>HYPERLINK("https://portal.hubmapconsortium.org/browse/sample/16edd1e60cb256a4cd1351b4ecb0629b", "HBM525.FFZG.728")</f>
        <v>HBM525.FFZG.728</v>
      </c>
      <c r="B223" s="12"/>
      <c r="C223" s="13" t="s">
        <v>413</v>
      </c>
      <c r="D223" s="12" t="s">
        <v>25</v>
      </c>
      <c r="E223" s="7" t="s">
        <v>44</v>
      </c>
      <c r="F223" s="13" t="s">
        <v>414</v>
      </c>
      <c r="G223" s="11" t="b">
        <v>0</v>
      </c>
      <c r="H223" s="11" t="str">
        <f t="shared" si="22"/>
        <v>HBM367.CMSK.938</v>
      </c>
      <c r="I223" s="13" t="s">
        <v>425</v>
      </c>
      <c r="J223" s="13"/>
      <c r="K223" s="13"/>
      <c r="L223" s="13"/>
      <c r="M223" s="13"/>
      <c r="N223" s="13" t="s">
        <v>420</v>
      </c>
      <c r="O223" s="13" t="s">
        <v>28</v>
      </c>
      <c r="P223" s="13" t="s">
        <v>29</v>
      </c>
      <c r="Q223" s="13" t="s">
        <v>30</v>
      </c>
      <c r="R223" s="11" t="b">
        <v>0</v>
      </c>
      <c r="S223" s="11" t="s">
        <v>31</v>
      </c>
      <c r="T223" s="13" t="s">
        <v>49</v>
      </c>
      <c r="U223" s="13" t="s">
        <v>50</v>
      </c>
      <c r="V223" s="13" t="s">
        <v>51</v>
      </c>
      <c r="W223" s="13" t="s">
        <v>35</v>
      </c>
      <c r="X223" s="14">
        <v>45525.65145428241</v>
      </c>
      <c r="Y223" s="14">
        <v>45525.65145428241</v>
      </c>
      <c r="Z223" s="13"/>
      <c r="AA223" s="13"/>
    </row>
    <row r="224" ht="15.75" customHeight="1">
      <c r="A224" s="11" t="str">
        <f>HYPERLINK("https://portal.hubmapconsortium.org/browse/sample/813a8b10537a84bc7b89185927df013b", "HBM276.HNJS.654")</f>
        <v>HBM276.HNJS.654</v>
      </c>
      <c r="B224" s="12"/>
      <c r="C224" s="13" t="s">
        <v>413</v>
      </c>
      <c r="D224" s="12" t="s">
        <v>25</v>
      </c>
      <c r="E224" s="7" t="s">
        <v>44</v>
      </c>
      <c r="F224" s="13" t="s">
        <v>414</v>
      </c>
      <c r="G224" s="11" t="b">
        <v>0</v>
      </c>
      <c r="H224" s="11" t="str">
        <f t="shared" si="22"/>
        <v>HBM367.CMSK.938</v>
      </c>
      <c r="I224" s="13" t="s">
        <v>426</v>
      </c>
      <c r="J224" s="13"/>
      <c r="K224" s="13"/>
      <c r="L224" s="13"/>
      <c r="M224" s="13"/>
      <c r="N224" s="13" t="s">
        <v>422</v>
      </c>
      <c r="O224" s="13" t="s">
        <v>28</v>
      </c>
      <c r="P224" s="13" t="s">
        <v>29</v>
      </c>
      <c r="Q224" s="13" t="s">
        <v>30</v>
      </c>
      <c r="R224" s="11" t="b">
        <v>0</v>
      </c>
      <c r="S224" s="11" t="s">
        <v>31</v>
      </c>
      <c r="T224" s="13" t="s">
        <v>32</v>
      </c>
      <c r="U224" s="13" t="s">
        <v>50</v>
      </c>
      <c r="V224" s="13" t="s">
        <v>51</v>
      </c>
      <c r="W224" s="13" t="s">
        <v>35</v>
      </c>
      <c r="X224" s="14">
        <v>45525.65146931713</v>
      </c>
      <c r="Y224" s="14">
        <v>45525.65146931713</v>
      </c>
      <c r="Z224" s="13"/>
      <c r="AA224" s="13"/>
    </row>
    <row r="225" ht="15.75" customHeight="1">
      <c r="A225" s="11" t="str">
        <f>HYPERLINK("https://portal.hubmapconsortium.org/browse/sample/d5b32ec98403c28ae8458b60750ba754", "HBM324.MMJB.695")</f>
        <v>HBM324.MMJB.695</v>
      </c>
      <c r="B225" s="12"/>
      <c r="C225" s="13" t="s">
        <v>413</v>
      </c>
      <c r="D225" s="12" t="s">
        <v>25</v>
      </c>
      <c r="E225" s="7" t="s">
        <v>44</v>
      </c>
      <c r="F225" s="13" t="s">
        <v>427</v>
      </c>
      <c r="G225" s="11" t="b">
        <v>0</v>
      </c>
      <c r="H225" s="11" t="str">
        <f t="shared" ref="H225:H288" si="23">HYPERLINK("https://portal.hubmapconsortium.org/browse/sample/4037bc931cabe8556ee08b0cc44ccf22", "HBM346.FQHN.263")</f>
        <v>HBM346.FQHN.263</v>
      </c>
      <c r="I225" s="13" t="s">
        <v>428</v>
      </c>
      <c r="J225" s="13"/>
      <c r="K225" s="13"/>
      <c r="L225" s="13"/>
      <c r="M225" s="13"/>
      <c r="N225" s="13" t="s">
        <v>429</v>
      </c>
      <c r="O225" s="13" t="s">
        <v>28</v>
      </c>
      <c r="P225" s="13" t="s">
        <v>29</v>
      </c>
      <c r="Q225" s="13" t="s">
        <v>30</v>
      </c>
      <c r="R225" s="11" t="b">
        <v>0</v>
      </c>
      <c r="S225" s="11" t="s">
        <v>31</v>
      </c>
      <c r="T225" s="13" t="s">
        <v>49</v>
      </c>
      <c r="U225" s="13" t="s">
        <v>50</v>
      </c>
      <c r="V225" s="13" t="s">
        <v>51</v>
      </c>
      <c r="W225" s="13" t="s">
        <v>35</v>
      </c>
      <c r="X225" s="14">
        <v>45525.66755422454</v>
      </c>
      <c r="Y225" s="14">
        <v>45525.66755422454</v>
      </c>
      <c r="Z225" s="13"/>
      <c r="AA225" s="13"/>
    </row>
    <row r="226" ht="15.75" customHeight="1">
      <c r="A226" s="11" t="str">
        <f>HYPERLINK("https://portal.hubmapconsortium.org/browse/sample/2c6ba85a6f17793a4e728d555625fb1d", "HBM469.KWQC.669")</f>
        <v>HBM469.KWQC.669</v>
      </c>
      <c r="B226" s="12"/>
      <c r="C226" s="13" t="s">
        <v>413</v>
      </c>
      <c r="D226" s="12" t="s">
        <v>25</v>
      </c>
      <c r="E226" s="7" t="s">
        <v>44</v>
      </c>
      <c r="F226" s="13" t="s">
        <v>427</v>
      </c>
      <c r="G226" s="11" t="b">
        <v>0</v>
      </c>
      <c r="H226" s="11" t="str">
        <f t="shared" si="23"/>
        <v>HBM346.FQHN.263</v>
      </c>
      <c r="I226" s="13" t="s">
        <v>430</v>
      </c>
      <c r="J226" s="13"/>
      <c r="K226" s="13"/>
      <c r="L226" s="13"/>
      <c r="M226" s="13"/>
      <c r="N226" s="13" t="s">
        <v>431</v>
      </c>
      <c r="O226" s="13" t="s">
        <v>28</v>
      </c>
      <c r="P226" s="13" t="s">
        <v>29</v>
      </c>
      <c r="Q226" s="13" t="s">
        <v>30</v>
      </c>
      <c r="R226" s="11" t="b">
        <v>0</v>
      </c>
      <c r="S226" s="11" t="s">
        <v>31</v>
      </c>
      <c r="T226" s="13" t="s">
        <v>49</v>
      </c>
      <c r="U226" s="13" t="s">
        <v>50</v>
      </c>
      <c r="V226" s="13" t="s">
        <v>51</v>
      </c>
      <c r="W226" s="13" t="s">
        <v>35</v>
      </c>
      <c r="X226" s="14">
        <v>45525.66757104167</v>
      </c>
      <c r="Y226" s="14">
        <v>45525.66757104167</v>
      </c>
      <c r="Z226" s="13"/>
      <c r="AA226" s="13"/>
    </row>
    <row r="227" ht="15.75" customHeight="1">
      <c r="A227" s="11" t="str">
        <f>HYPERLINK("https://portal.hubmapconsortium.org/browse/sample/4c559776e641e7554341074547c80623", "HBM854.XMJJ.542")</f>
        <v>HBM854.XMJJ.542</v>
      </c>
      <c r="B227" s="12"/>
      <c r="C227" s="13" t="s">
        <v>413</v>
      </c>
      <c r="D227" s="12" t="s">
        <v>25</v>
      </c>
      <c r="E227" s="7" t="s">
        <v>44</v>
      </c>
      <c r="F227" s="13" t="s">
        <v>427</v>
      </c>
      <c r="G227" s="11" t="b">
        <v>0</v>
      </c>
      <c r="H227" s="11" t="str">
        <f t="shared" si="23"/>
        <v>HBM346.FQHN.263</v>
      </c>
      <c r="I227" s="13" t="s">
        <v>432</v>
      </c>
      <c r="J227" s="13"/>
      <c r="K227" s="13"/>
      <c r="L227" s="13"/>
      <c r="M227" s="13"/>
      <c r="N227" s="13" t="s">
        <v>433</v>
      </c>
      <c r="O227" s="13" t="s">
        <v>28</v>
      </c>
      <c r="P227" s="13" t="s">
        <v>29</v>
      </c>
      <c r="Q227" s="13" t="s">
        <v>30</v>
      </c>
      <c r="R227" s="11" t="b">
        <v>0</v>
      </c>
      <c r="S227" s="11" t="s">
        <v>31</v>
      </c>
      <c r="T227" s="13" t="s">
        <v>49</v>
      </c>
      <c r="U227" s="13" t="s">
        <v>50</v>
      </c>
      <c r="V227" s="13" t="s">
        <v>51</v>
      </c>
      <c r="W227" s="13" t="s">
        <v>35</v>
      </c>
      <c r="X227" s="14">
        <v>45525.66758768519</v>
      </c>
      <c r="Y227" s="14">
        <v>45525.66758768519</v>
      </c>
      <c r="Z227" s="13"/>
      <c r="AA227" s="13"/>
    </row>
    <row r="228" ht="15.75" customHeight="1">
      <c r="A228" s="11" t="str">
        <f>HYPERLINK("https://portal.hubmapconsortium.org/browse/sample/2ae54ae0c1943a1ff08eff5271a7d89f", "HBM792.JCMD.327")</f>
        <v>HBM792.JCMD.327</v>
      </c>
      <c r="B228" s="12"/>
      <c r="C228" s="13" t="s">
        <v>413</v>
      </c>
      <c r="D228" s="12" t="s">
        <v>25</v>
      </c>
      <c r="E228" s="7" t="s">
        <v>44</v>
      </c>
      <c r="F228" s="13" t="s">
        <v>427</v>
      </c>
      <c r="G228" s="11" t="b">
        <v>0</v>
      </c>
      <c r="H228" s="11" t="str">
        <f t="shared" si="23"/>
        <v>HBM346.FQHN.263</v>
      </c>
      <c r="I228" s="13" t="s">
        <v>434</v>
      </c>
      <c r="J228" s="13"/>
      <c r="K228" s="13"/>
      <c r="L228" s="13"/>
      <c r="M228" s="13"/>
      <c r="N228" s="13" t="s">
        <v>435</v>
      </c>
      <c r="O228" s="13" t="s">
        <v>28</v>
      </c>
      <c r="P228" s="13" t="s">
        <v>29</v>
      </c>
      <c r="Q228" s="13" t="s">
        <v>30</v>
      </c>
      <c r="R228" s="11" t="b">
        <v>0</v>
      </c>
      <c r="S228" s="11" t="s">
        <v>31</v>
      </c>
      <c r="T228" s="13" t="s">
        <v>32</v>
      </c>
      <c r="U228" s="13" t="s">
        <v>50</v>
      </c>
      <c r="V228" s="13" t="s">
        <v>51</v>
      </c>
      <c r="W228" s="13" t="s">
        <v>35</v>
      </c>
      <c r="X228" s="14">
        <v>45525.66760450231</v>
      </c>
      <c r="Y228" s="14">
        <v>45525.66760450231</v>
      </c>
      <c r="Z228" s="13"/>
      <c r="AA228" s="13"/>
    </row>
    <row r="229" ht="15.75" customHeight="1">
      <c r="A229" s="11" t="str">
        <f>HYPERLINK("https://portal.hubmapconsortium.org/browse/sample/1db61958d385de38d9aab581e0cd01e6", "HBM949.CTCC.392")</f>
        <v>HBM949.CTCC.392</v>
      </c>
      <c r="B229" s="12"/>
      <c r="C229" s="13" t="s">
        <v>413</v>
      </c>
      <c r="D229" s="12" t="s">
        <v>25</v>
      </c>
      <c r="E229" s="7" t="s">
        <v>44</v>
      </c>
      <c r="F229" s="13" t="s">
        <v>427</v>
      </c>
      <c r="G229" s="11" t="b">
        <v>0</v>
      </c>
      <c r="H229" s="11" t="str">
        <f t="shared" si="23"/>
        <v>HBM346.FQHN.263</v>
      </c>
      <c r="I229" s="13" t="s">
        <v>436</v>
      </c>
      <c r="J229" s="13"/>
      <c r="K229" s="13"/>
      <c r="L229" s="13"/>
      <c r="M229" s="13"/>
      <c r="N229" s="13" t="s">
        <v>437</v>
      </c>
      <c r="O229" s="13" t="s">
        <v>28</v>
      </c>
      <c r="P229" s="13" t="s">
        <v>29</v>
      </c>
      <c r="Q229" s="13" t="s">
        <v>30</v>
      </c>
      <c r="R229" s="11" t="b">
        <v>0</v>
      </c>
      <c r="S229" s="11" t="s">
        <v>31</v>
      </c>
      <c r="T229" s="13" t="s">
        <v>49</v>
      </c>
      <c r="U229" s="13" t="s">
        <v>50</v>
      </c>
      <c r="V229" s="13" t="s">
        <v>51</v>
      </c>
      <c r="W229" s="13" t="s">
        <v>35</v>
      </c>
      <c r="X229" s="14">
        <v>45525.6676225</v>
      </c>
      <c r="Y229" s="14">
        <v>45525.6676225</v>
      </c>
      <c r="Z229" s="13"/>
      <c r="AA229" s="13"/>
    </row>
    <row r="230" ht="15.75" customHeight="1">
      <c r="A230" s="11" t="str">
        <f>HYPERLINK("https://portal.hubmapconsortium.org/browse/sample/770e53b20017456899dbaa0753576835", "HBM879.HVXB.774")</f>
        <v>HBM879.HVXB.774</v>
      </c>
      <c r="B230" s="12"/>
      <c r="C230" s="13" t="s">
        <v>413</v>
      </c>
      <c r="D230" s="12" t="s">
        <v>25</v>
      </c>
      <c r="E230" s="7" t="s">
        <v>44</v>
      </c>
      <c r="F230" s="13" t="s">
        <v>427</v>
      </c>
      <c r="G230" s="11" t="b">
        <v>0</v>
      </c>
      <c r="H230" s="11" t="str">
        <f t="shared" si="23"/>
        <v>HBM346.FQHN.263</v>
      </c>
      <c r="I230" s="13" t="s">
        <v>438</v>
      </c>
      <c r="J230" s="13"/>
      <c r="K230" s="13"/>
      <c r="L230" s="13"/>
      <c r="M230" s="13"/>
      <c r="N230" s="13" t="s">
        <v>439</v>
      </c>
      <c r="O230" s="13" t="s">
        <v>28</v>
      </c>
      <c r="P230" s="13" t="s">
        <v>29</v>
      </c>
      <c r="Q230" s="13" t="s">
        <v>30</v>
      </c>
      <c r="R230" s="11" t="b">
        <v>0</v>
      </c>
      <c r="S230" s="11" t="s">
        <v>31</v>
      </c>
      <c r="T230" s="13" t="s">
        <v>49</v>
      </c>
      <c r="U230" s="13" t="s">
        <v>50</v>
      </c>
      <c r="V230" s="13" t="s">
        <v>51</v>
      </c>
      <c r="W230" s="13" t="s">
        <v>35</v>
      </c>
      <c r="X230" s="14">
        <v>45525.66763961806</v>
      </c>
      <c r="Y230" s="14">
        <v>45525.66763961806</v>
      </c>
      <c r="Z230" s="13"/>
      <c r="AA230" s="13"/>
    </row>
    <row r="231" ht="15.75" customHeight="1">
      <c r="A231" s="11" t="str">
        <f>HYPERLINK("https://portal.hubmapconsortium.org/browse/sample/63877d5227210923f669305b075ce18f", "HBM463.DVZF.295")</f>
        <v>HBM463.DVZF.295</v>
      </c>
      <c r="B231" s="12"/>
      <c r="C231" s="13" t="s">
        <v>413</v>
      </c>
      <c r="D231" s="12" t="s">
        <v>25</v>
      </c>
      <c r="E231" s="7" t="s">
        <v>44</v>
      </c>
      <c r="F231" s="13" t="s">
        <v>427</v>
      </c>
      <c r="G231" s="11" t="b">
        <v>0</v>
      </c>
      <c r="H231" s="11" t="str">
        <f t="shared" si="23"/>
        <v>HBM346.FQHN.263</v>
      </c>
      <c r="I231" s="13" t="s">
        <v>440</v>
      </c>
      <c r="J231" s="13"/>
      <c r="K231" s="13"/>
      <c r="L231" s="13"/>
      <c r="M231" s="13"/>
      <c r="N231" s="13" t="s">
        <v>441</v>
      </c>
      <c r="O231" s="13" t="s">
        <v>28</v>
      </c>
      <c r="P231" s="13" t="s">
        <v>29</v>
      </c>
      <c r="Q231" s="13" t="s">
        <v>30</v>
      </c>
      <c r="R231" s="11" t="b">
        <v>0</v>
      </c>
      <c r="S231" s="11" t="s">
        <v>31</v>
      </c>
      <c r="T231" s="13" t="s">
        <v>49</v>
      </c>
      <c r="U231" s="13" t="s">
        <v>50</v>
      </c>
      <c r="V231" s="13" t="s">
        <v>51</v>
      </c>
      <c r="W231" s="13" t="s">
        <v>35</v>
      </c>
      <c r="X231" s="14">
        <v>45525.66765534722</v>
      </c>
      <c r="Y231" s="14">
        <v>45525.66765534722</v>
      </c>
      <c r="Z231" s="13"/>
      <c r="AA231" s="13"/>
    </row>
    <row r="232" ht="15.75" customHeight="1">
      <c r="A232" s="11" t="str">
        <f>HYPERLINK("https://portal.hubmapconsortium.org/browse/sample/515d9a8afd437943d1d67d2ce0270dfb", "HBM522.NWWN.847")</f>
        <v>HBM522.NWWN.847</v>
      </c>
      <c r="B232" s="12"/>
      <c r="C232" s="13" t="s">
        <v>413</v>
      </c>
      <c r="D232" s="12" t="s">
        <v>25</v>
      </c>
      <c r="E232" s="7" t="s">
        <v>44</v>
      </c>
      <c r="F232" s="13" t="s">
        <v>427</v>
      </c>
      <c r="G232" s="11" t="b">
        <v>0</v>
      </c>
      <c r="H232" s="11" t="str">
        <f t="shared" si="23"/>
        <v>HBM346.FQHN.263</v>
      </c>
      <c r="I232" s="13" t="s">
        <v>442</v>
      </c>
      <c r="J232" s="13"/>
      <c r="K232" s="13"/>
      <c r="L232" s="13"/>
      <c r="M232" s="13"/>
      <c r="N232" s="13" t="s">
        <v>443</v>
      </c>
      <c r="O232" s="13" t="s">
        <v>28</v>
      </c>
      <c r="P232" s="13" t="s">
        <v>29</v>
      </c>
      <c r="Q232" s="13" t="s">
        <v>30</v>
      </c>
      <c r="R232" s="11" t="b">
        <v>0</v>
      </c>
      <c r="S232" s="11" t="s">
        <v>31</v>
      </c>
      <c r="T232" s="13" t="s">
        <v>32</v>
      </c>
      <c r="U232" s="13" t="s">
        <v>50</v>
      </c>
      <c r="V232" s="13" t="s">
        <v>51</v>
      </c>
      <c r="W232" s="13" t="s">
        <v>35</v>
      </c>
      <c r="X232" s="14">
        <v>45525.66767363426</v>
      </c>
      <c r="Y232" s="14">
        <v>45525.66767363426</v>
      </c>
      <c r="Z232" s="13"/>
      <c r="AA232" s="13"/>
    </row>
    <row r="233" ht="15.75" customHeight="1">
      <c r="A233" s="11" t="str">
        <f>HYPERLINK("https://portal.hubmapconsortium.org/browse/sample/276d13903906ddbf3d5a006ed211153e", "HBM529.QGLF.954")</f>
        <v>HBM529.QGLF.954</v>
      </c>
      <c r="B233" s="12"/>
      <c r="C233" s="13" t="s">
        <v>413</v>
      </c>
      <c r="D233" s="12" t="s">
        <v>25</v>
      </c>
      <c r="E233" s="7" t="s">
        <v>44</v>
      </c>
      <c r="F233" s="13" t="s">
        <v>427</v>
      </c>
      <c r="G233" s="11" t="b">
        <v>0</v>
      </c>
      <c r="H233" s="11" t="str">
        <f t="shared" si="23"/>
        <v>HBM346.FQHN.263</v>
      </c>
      <c r="I233" s="13" t="s">
        <v>444</v>
      </c>
      <c r="J233" s="13"/>
      <c r="K233" s="13"/>
      <c r="L233" s="13"/>
      <c r="M233" s="13"/>
      <c r="N233" s="13" t="s">
        <v>445</v>
      </c>
      <c r="O233" s="13" t="s">
        <v>28</v>
      </c>
      <c r="P233" s="13" t="s">
        <v>29</v>
      </c>
      <c r="Q233" s="13" t="s">
        <v>30</v>
      </c>
      <c r="R233" s="11" t="b">
        <v>0</v>
      </c>
      <c r="S233" s="11" t="s">
        <v>31</v>
      </c>
      <c r="T233" s="13" t="s">
        <v>49</v>
      </c>
      <c r="U233" s="13" t="s">
        <v>50</v>
      </c>
      <c r="V233" s="13" t="s">
        <v>51</v>
      </c>
      <c r="W233" s="13" t="s">
        <v>35</v>
      </c>
      <c r="X233" s="14">
        <v>45525.66769106482</v>
      </c>
      <c r="Y233" s="14">
        <v>45525.66769106482</v>
      </c>
      <c r="Z233" s="13"/>
      <c r="AA233" s="13"/>
    </row>
    <row r="234" ht="15.75" customHeight="1">
      <c r="A234" s="11" t="str">
        <f>HYPERLINK("https://portal.hubmapconsortium.org/browse/sample/52156d2080936607dccca597c6ce4f39", "HBM497.HQGV.439")</f>
        <v>HBM497.HQGV.439</v>
      </c>
      <c r="B234" s="12"/>
      <c r="C234" s="13" t="s">
        <v>413</v>
      </c>
      <c r="D234" s="12" t="s">
        <v>25</v>
      </c>
      <c r="E234" s="7" t="s">
        <v>44</v>
      </c>
      <c r="F234" s="13" t="s">
        <v>427</v>
      </c>
      <c r="G234" s="11" t="b">
        <v>0</v>
      </c>
      <c r="H234" s="11" t="str">
        <f t="shared" si="23"/>
        <v>HBM346.FQHN.263</v>
      </c>
      <c r="I234" s="13" t="s">
        <v>446</v>
      </c>
      <c r="J234" s="13"/>
      <c r="K234" s="13"/>
      <c r="L234" s="13"/>
      <c r="M234" s="13"/>
      <c r="N234" s="13" t="s">
        <v>447</v>
      </c>
      <c r="O234" s="13" t="s">
        <v>28</v>
      </c>
      <c r="P234" s="13" t="s">
        <v>29</v>
      </c>
      <c r="Q234" s="13" t="s">
        <v>30</v>
      </c>
      <c r="R234" s="11" t="b">
        <v>0</v>
      </c>
      <c r="S234" s="11" t="s">
        <v>31</v>
      </c>
      <c r="T234" s="13" t="s">
        <v>49</v>
      </c>
      <c r="U234" s="13" t="s">
        <v>50</v>
      </c>
      <c r="V234" s="13" t="s">
        <v>51</v>
      </c>
      <c r="W234" s="13" t="s">
        <v>35</v>
      </c>
      <c r="X234" s="14">
        <v>45525.66770842593</v>
      </c>
      <c r="Y234" s="14">
        <v>45525.66770842593</v>
      </c>
      <c r="Z234" s="13"/>
      <c r="AA234" s="13"/>
    </row>
    <row r="235" ht="15.75" customHeight="1">
      <c r="A235" s="11" t="str">
        <f>HYPERLINK("https://portal.hubmapconsortium.org/browse/sample/33f67a7950b4dd167c69576b5b5d5ab1", "HBM496.TWZT.424")</f>
        <v>HBM496.TWZT.424</v>
      </c>
      <c r="B235" s="12"/>
      <c r="C235" s="13" t="s">
        <v>413</v>
      </c>
      <c r="D235" s="12" t="s">
        <v>25</v>
      </c>
      <c r="E235" s="7" t="s">
        <v>44</v>
      </c>
      <c r="F235" s="13" t="s">
        <v>427</v>
      </c>
      <c r="G235" s="11" t="b">
        <v>0</v>
      </c>
      <c r="H235" s="11" t="str">
        <f t="shared" si="23"/>
        <v>HBM346.FQHN.263</v>
      </c>
      <c r="I235" s="13" t="s">
        <v>448</v>
      </c>
      <c r="J235" s="13"/>
      <c r="K235" s="13"/>
      <c r="L235" s="13"/>
      <c r="M235" s="13"/>
      <c r="N235" s="13" t="s">
        <v>449</v>
      </c>
      <c r="O235" s="13" t="s">
        <v>28</v>
      </c>
      <c r="P235" s="13" t="s">
        <v>29</v>
      </c>
      <c r="Q235" s="13" t="s">
        <v>30</v>
      </c>
      <c r="R235" s="11" t="b">
        <v>0</v>
      </c>
      <c r="S235" s="11" t="s">
        <v>31</v>
      </c>
      <c r="T235" s="13" t="s">
        <v>49</v>
      </c>
      <c r="U235" s="13" t="s">
        <v>50</v>
      </c>
      <c r="V235" s="13" t="s">
        <v>51</v>
      </c>
      <c r="W235" s="13" t="s">
        <v>35</v>
      </c>
      <c r="X235" s="14">
        <v>45525.66772548611</v>
      </c>
      <c r="Y235" s="14">
        <v>45525.66772548611</v>
      </c>
      <c r="Z235" s="13"/>
      <c r="AA235" s="13"/>
    </row>
    <row r="236" ht="15.75" customHeight="1">
      <c r="A236" s="11" t="str">
        <f>HYPERLINK("https://portal.hubmapconsortium.org/browse/sample/4b5e20e18628d76b892c2bf2177df8fc", "HBM776.CQTS.982")</f>
        <v>HBM776.CQTS.982</v>
      </c>
      <c r="B236" s="12"/>
      <c r="C236" s="13" t="s">
        <v>413</v>
      </c>
      <c r="D236" s="12" t="s">
        <v>25</v>
      </c>
      <c r="E236" s="7" t="s">
        <v>44</v>
      </c>
      <c r="F236" s="13" t="s">
        <v>427</v>
      </c>
      <c r="G236" s="11" t="b">
        <v>0</v>
      </c>
      <c r="H236" s="11" t="str">
        <f t="shared" si="23"/>
        <v>HBM346.FQHN.263</v>
      </c>
      <c r="I236" s="13" t="s">
        <v>450</v>
      </c>
      <c r="J236" s="13"/>
      <c r="K236" s="13"/>
      <c r="L236" s="13"/>
      <c r="M236" s="13"/>
      <c r="N236" s="13" t="s">
        <v>451</v>
      </c>
      <c r="O236" s="13" t="s">
        <v>28</v>
      </c>
      <c r="P236" s="13" t="s">
        <v>29</v>
      </c>
      <c r="Q236" s="13" t="s">
        <v>30</v>
      </c>
      <c r="R236" s="11" t="b">
        <v>0</v>
      </c>
      <c r="S236" s="11" t="s">
        <v>31</v>
      </c>
      <c r="T236" s="13" t="s">
        <v>32</v>
      </c>
      <c r="U236" s="13" t="s">
        <v>50</v>
      </c>
      <c r="V236" s="13" t="s">
        <v>51</v>
      </c>
      <c r="W236" s="13" t="s">
        <v>35</v>
      </c>
      <c r="X236" s="14">
        <v>45525.66774194445</v>
      </c>
      <c r="Y236" s="14">
        <v>45525.66774194445</v>
      </c>
      <c r="Z236" s="13"/>
      <c r="AA236" s="13"/>
    </row>
    <row r="237" ht="15.75" customHeight="1">
      <c r="A237" s="11" t="str">
        <f>HYPERLINK("https://portal.hubmapconsortium.org/browse/sample/1c41dd5e0bdd694616cc6f148528206a", "HBM498.HNJS.266")</f>
        <v>HBM498.HNJS.266</v>
      </c>
      <c r="B237" s="12"/>
      <c r="C237" s="13" t="s">
        <v>413</v>
      </c>
      <c r="D237" s="12" t="s">
        <v>25</v>
      </c>
      <c r="E237" s="7" t="s">
        <v>44</v>
      </c>
      <c r="F237" s="13" t="s">
        <v>427</v>
      </c>
      <c r="G237" s="11" t="b">
        <v>0</v>
      </c>
      <c r="H237" s="11" t="str">
        <f t="shared" si="23"/>
        <v>HBM346.FQHN.263</v>
      </c>
      <c r="I237" s="13" t="s">
        <v>452</v>
      </c>
      <c r="J237" s="13"/>
      <c r="K237" s="13"/>
      <c r="L237" s="13"/>
      <c r="M237" s="13"/>
      <c r="N237" s="13" t="s">
        <v>453</v>
      </c>
      <c r="O237" s="13" t="s">
        <v>28</v>
      </c>
      <c r="P237" s="13" t="s">
        <v>29</v>
      </c>
      <c r="Q237" s="13" t="s">
        <v>30</v>
      </c>
      <c r="R237" s="11" t="b">
        <v>0</v>
      </c>
      <c r="S237" s="11" t="s">
        <v>31</v>
      </c>
      <c r="T237" s="13" t="s">
        <v>49</v>
      </c>
      <c r="U237" s="13" t="s">
        <v>50</v>
      </c>
      <c r="V237" s="13" t="s">
        <v>51</v>
      </c>
      <c r="W237" s="13" t="s">
        <v>35</v>
      </c>
      <c r="X237" s="14">
        <v>45525.66775934028</v>
      </c>
      <c r="Y237" s="14">
        <v>45525.66775934028</v>
      </c>
      <c r="Z237" s="13"/>
      <c r="AA237" s="13"/>
    </row>
    <row r="238" ht="15.75" customHeight="1">
      <c r="A238" s="11" t="str">
        <f>HYPERLINK("https://portal.hubmapconsortium.org/browse/sample/f2c5433adf15988fe91522f104cde1e4", "HBM777.BNFR.882")</f>
        <v>HBM777.BNFR.882</v>
      </c>
      <c r="B238" s="12"/>
      <c r="C238" s="13" t="s">
        <v>413</v>
      </c>
      <c r="D238" s="12" t="s">
        <v>25</v>
      </c>
      <c r="E238" s="7" t="s">
        <v>44</v>
      </c>
      <c r="F238" s="13" t="s">
        <v>427</v>
      </c>
      <c r="G238" s="11" t="b">
        <v>0</v>
      </c>
      <c r="H238" s="11" t="str">
        <f t="shared" si="23"/>
        <v>HBM346.FQHN.263</v>
      </c>
      <c r="I238" s="13" t="s">
        <v>454</v>
      </c>
      <c r="J238" s="13"/>
      <c r="K238" s="13"/>
      <c r="L238" s="13"/>
      <c r="M238" s="13"/>
      <c r="N238" s="13" t="s">
        <v>455</v>
      </c>
      <c r="O238" s="13" t="s">
        <v>28</v>
      </c>
      <c r="P238" s="13" t="s">
        <v>29</v>
      </c>
      <c r="Q238" s="13" t="s">
        <v>30</v>
      </c>
      <c r="R238" s="11" t="b">
        <v>0</v>
      </c>
      <c r="S238" s="11" t="s">
        <v>31</v>
      </c>
      <c r="T238" s="13" t="s">
        <v>49</v>
      </c>
      <c r="U238" s="13" t="s">
        <v>50</v>
      </c>
      <c r="V238" s="13" t="s">
        <v>51</v>
      </c>
      <c r="W238" s="13" t="s">
        <v>35</v>
      </c>
      <c r="X238" s="14">
        <v>45525.66777576389</v>
      </c>
      <c r="Y238" s="14">
        <v>45525.66777576389</v>
      </c>
      <c r="Z238" s="13"/>
      <c r="AA238" s="13"/>
    </row>
    <row r="239" ht="15.75" customHeight="1">
      <c r="A239" s="11" t="str">
        <f>HYPERLINK("https://portal.hubmapconsortium.org/browse/sample/16ef974b199ec4d373602e054fc11941", "HBM865.NVWK.885")</f>
        <v>HBM865.NVWK.885</v>
      </c>
      <c r="B239" s="12"/>
      <c r="C239" s="13" t="s">
        <v>413</v>
      </c>
      <c r="D239" s="12" t="s">
        <v>25</v>
      </c>
      <c r="E239" s="7" t="s">
        <v>44</v>
      </c>
      <c r="F239" s="13" t="s">
        <v>427</v>
      </c>
      <c r="G239" s="11" t="b">
        <v>0</v>
      </c>
      <c r="H239" s="11" t="str">
        <f t="shared" si="23"/>
        <v>HBM346.FQHN.263</v>
      </c>
      <c r="I239" s="13" t="s">
        <v>456</v>
      </c>
      <c r="J239" s="13"/>
      <c r="K239" s="13"/>
      <c r="L239" s="13"/>
      <c r="M239" s="13"/>
      <c r="N239" s="13" t="s">
        <v>457</v>
      </c>
      <c r="O239" s="13" t="s">
        <v>28</v>
      </c>
      <c r="P239" s="13" t="s">
        <v>29</v>
      </c>
      <c r="Q239" s="13" t="s">
        <v>30</v>
      </c>
      <c r="R239" s="11" t="b">
        <v>0</v>
      </c>
      <c r="S239" s="11" t="s">
        <v>31</v>
      </c>
      <c r="T239" s="13" t="s">
        <v>49</v>
      </c>
      <c r="U239" s="13" t="s">
        <v>50</v>
      </c>
      <c r="V239" s="13" t="s">
        <v>51</v>
      </c>
      <c r="W239" s="13" t="s">
        <v>35</v>
      </c>
      <c r="X239" s="14">
        <v>45525.66779236111</v>
      </c>
      <c r="Y239" s="14">
        <v>45525.66779236111</v>
      </c>
      <c r="Z239" s="13"/>
      <c r="AA239" s="13"/>
    </row>
    <row r="240" ht="15.75" customHeight="1">
      <c r="A240" s="11" t="str">
        <f>HYPERLINK("https://portal.hubmapconsortium.org/browse/sample/c90631caffd614d0e0368d3f14a6bb83", "HBM564.HGNS.436")</f>
        <v>HBM564.HGNS.436</v>
      </c>
      <c r="B240" s="12"/>
      <c r="C240" s="13" t="s">
        <v>413</v>
      </c>
      <c r="D240" s="12" t="s">
        <v>25</v>
      </c>
      <c r="E240" s="7" t="s">
        <v>44</v>
      </c>
      <c r="F240" s="13" t="s">
        <v>427</v>
      </c>
      <c r="G240" s="11" t="b">
        <v>0</v>
      </c>
      <c r="H240" s="11" t="str">
        <f t="shared" si="23"/>
        <v>HBM346.FQHN.263</v>
      </c>
      <c r="I240" s="13" t="s">
        <v>458</v>
      </c>
      <c r="J240" s="13"/>
      <c r="K240" s="13"/>
      <c r="L240" s="13"/>
      <c r="M240" s="13"/>
      <c r="N240" s="13" t="s">
        <v>459</v>
      </c>
      <c r="O240" s="13" t="s">
        <v>28</v>
      </c>
      <c r="P240" s="13" t="s">
        <v>29</v>
      </c>
      <c r="Q240" s="13" t="s">
        <v>30</v>
      </c>
      <c r="R240" s="11" t="b">
        <v>0</v>
      </c>
      <c r="S240" s="11" t="s">
        <v>31</v>
      </c>
      <c r="T240" s="13" t="s">
        <v>32</v>
      </c>
      <c r="U240" s="13" t="s">
        <v>50</v>
      </c>
      <c r="V240" s="13" t="s">
        <v>51</v>
      </c>
      <c r="W240" s="13" t="s">
        <v>35</v>
      </c>
      <c r="X240" s="14">
        <v>45525.66780844908</v>
      </c>
      <c r="Y240" s="14">
        <v>45525.66780844908</v>
      </c>
      <c r="Z240" s="13"/>
      <c r="AA240" s="13"/>
    </row>
    <row r="241" ht="15.75" customHeight="1">
      <c r="A241" s="11" t="str">
        <f>HYPERLINK("https://portal.hubmapconsortium.org/browse/sample/99bac08c034c98314505652c4130802e", "HBM669.WSDL.445")</f>
        <v>HBM669.WSDL.445</v>
      </c>
      <c r="B241" s="12"/>
      <c r="C241" s="13" t="s">
        <v>413</v>
      </c>
      <c r="D241" s="12" t="s">
        <v>25</v>
      </c>
      <c r="E241" s="7" t="s">
        <v>44</v>
      </c>
      <c r="F241" s="13" t="s">
        <v>427</v>
      </c>
      <c r="G241" s="11" t="b">
        <v>0</v>
      </c>
      <c r="H241" s="11" t="str">
        <f t="shared" si="23"/>
        <v>HBM346.FQHN.263</v>
      </c>
      <c r="I241" s="13" t="s">
        <v>460</v>
      </c>
      <c r="J241" s="13"/>
      <c r="K241" s="13"/>
      <c r="L241" s="13"/>
      <c r="M241" s="13"/>
      <c r="N241" s="13" t="s">
        <v>429</v>
      </c>
      <c r="O241" s="13" t="s">
        <v>28</v>
      </c>
      <c r="P241" s="13" t="s">
        <v>29</v>
      </c>
      <c r="Q241" s="13" t="s">
        <v>30</v>
      </c>
      <c r="R241" s="11" t="b">
        <v>0</v>
      </c>
      <c r="S241" s="11" t="s">
        <v>31</v>
      </c>
      <c r="T241" s="13" t="s">
        <v>49</v>
      </c>
      <c r="U241" s="13" t="s">
        <v>50</v>
      </c>
      <c r="V241" s="13" t="s">
        <v>51</v>
      </c>
      <c r="W241" s="13" t="s">
        <v>35</v>
      </c>
      <c r="X241" s="14">
        <v>45525.66782587963</v>
      </c>
      <c r="Y241" s="14">
        <v>45525.66782587963</v>
      </c>
      <c r="Z241" s="13"/>
      <c r="AA241" s="13"/>
    </row>
    <row r="242" ht="15.75" customHeight="1">
      <c r="A242" s="11" t="str">
        <f>HYPERLINK("https://portal.hubmapconsortium.org/browse/sample/a64cfb0a378533e62376652350d955fa", "HBM587.LSLQ.947")</f>
        <v>HBM587.LSLQ.947</v>
      </c>
      <c r="B242" s="12"/>
      <c r="C242" s="13" t="s">
        <v>413</v>
      </c>
      <c r="D242" s="12" t="s">
        <v>25</v>
      </c>
      <c r="E242" s="7" t="s">
        <v>44</v>
      </c>
      <c r="F242" s="13" t="s">
        <v>427</v>
      </c>
      <c r="G242" s="11" t="b">
        <v>0</v>
      </c>
      <c r="H242" s="11" t="str">
        <f t="shared" si="23"/>
        <v>HBM346.FQHN.263</v>
      </c>
      <c r="I242" s="13" t="s">
        <v>461</v>
      </c>
      <c r="J242" s="13"/>
      <c r="K242" s="13"/>
      <c r="L242" s="13"/>
      <c r="M242" s="13"/>
      <c r="N242" s="13" t="s">
        <v>431</v>
      </c>
      <c r="O242" s="13" t="s">
        <v>28</v>
      </c>
      <c r="P242" s="13" t="s">
        <v>29</v>
      </c>
      <c r="Q242" s="13" t="s">
        <v>30</v>
      </c>
      <c r="R242" s="11" t="b">
        <v>0</v>
      </c>
      <c r="S242" s="11" t="s">
        <v>31</v>
      </c>
      <c r="T242" s="13" t="s">
        <v>49</v>
      </c>
      <c r="U242" s="13" t="s">
        <v>50</v>
      </c>
      <c r="V242" s="13" t="s">
        <v>51</v>
      </c>
      <c r="W242" s="13" t="s">
        <v>35</v>
      </c>
      <c r="X242" s="14">
        <v>45525.66784243056</v>
      </c>
      <c r="Y242" s="14">
        <v>45525.66784243056</v>
      </c>
      <c r="Z242" s="13"/>
      <c r="AA242" s="13"/>
    </row>
    <row r="243" ht="15.75" customHeight="1">
      <c r="A243" s="11" t="str">
        <f>HYPERLINK("https://portal.hubmapconsortium.org/browse/sample/be5d35cd0338d237c2ee904705d65b03", "HBM763.XPVG.257")</f>
        <v>HBM763.XPVG.257</v>
      </c>
      <c r="B243" s="12"/>
      <c r="C243" s="13" t="s">
        <v>413</v>
      </c>
      <c r="D243" s="12" t="s">
        <v>25</v>
      </c>
      <c r="E243" s="7" t="s">
        <v>44</v>
      </c>
      <c r="F243" s="13" t="s">
        <v>427</v>
      </c>
      <c r="G243" s="11" t="b">
        <v>0</v>
      </c>
      <c r="H243" s="11" t="str">
        <f t="shared" si="23"/>
        <v>HBM346.FQHN.263</v>
      </c>
      <c r="I243" s="13" t="s">
        <v>462</v>
      </c>
      <c r="J243" s="13"/>
      <c r="K243" s="13"/>
      <c r="L243" s="13"/>
      <c r="M243" s="13"/>
      <c r="N243" s="13" t="s">
        <v>433</v>
      </c>
      <c r="O243" s="13" t="s">
        <v>28</v>
      </c>
      <c r="P243" s="13" t="s">
        <v>29</v>
      </c>
      <c r="Q243" s="13" t="s">
        <v>30</v>
      </c>
      <c r="R243" s="11" t="b">
        <v>0</v>
      </c>
      <c r="S243" s="11" t="s">
        <v>31</v>
      </c>
      <c r="T243" s="13" t="s">
        <v>49</v>
      </c>
      <c r="U243" s="13" t="s">
        <v>50</v>
      </c>
      <c r="V243" s="13" t="s">
        <v>51</v>
      </c>
      <c r="W243" s="13" t="s">
        <v>35</v>
      </c>
      <c r="X243" s="14">
        <v>45525.6678590162</v>
      </c>
      <c r="Y243" s="14">
        <v>45525.6678590162</v>
      </c>
      <c r="Z243" s="13"/>
      <c r="AA243" s="13"/>
    </row>
    <row r="244" ht="15.75" customHeight="1">
      <c r="A244" s="11" t="str">
        <f>HYPERLINK("https://portal.hubmapconsortium.org/browse/sample/3e21f93e7c978923502e077fdc4a1c50", "HBM597.ZSCC.247")</f>
        <v>HBM597.ZSCC.247</v>
      </c>
      <c r="B244" s="12"/>
      <c r="C244" s="13" t="s">
        <v>413</v>
      </c>
      <c r="D244" s="12" t="s">
        <v>25</v>
      </c>
      <c r="E244" s="7" t="s">
        <v>44</v>
      </c>
      <c r="F244" s="13" t="s">
        <v>427</v>
      </c>
      <c r="G244" s="11" t="b">
        <v>0</v>
      </c>
      <c r="H244" s="11" t="str">
        <f t="shared" si="23"/>
        <v>HBM346.FQHN.263</v>
      </c>
      <c r="I244" s="13" t="s">
        <v>463</v>
      </c>
      <c r="J244" s="13"/>
      <c r="K244" s="13"/>
      <c r="L244" s="13"/>
      <c r="M244" s="13"/>
      <c r="N244" s="13" t="s">
        <v>435</v>
      </c>
      <c r="O244" s="13" t="s">
        <v>28</v>
      </c>
      <c r="P244" s="13" t="s">
        <v>29</v>
      </c>
      <c r="Q244" s="13" t="s">
        <v>30</v>
      </c>
      <c r="R244" s="11" t="b">
        <v>0</v>
      </c>
      <c r="S244" s="11" t="s">
        <v>31</v>
      </c>
      <c r="T244" s="13" t="s">
        <v>32</v>
      </c>
      <c r="U244" s="13" t="s">
        <v>50</v>
      </c>
      <c r="V244" s="13" t="s">
        <v>51</v>
      </c>
      <c r="W244" s="13" t="s">
        <v>35</v>
      </c>
      <c r="X244" s="14">
        <v>45525.66787628472</v>
      </c>
      <c r="Y244" s="14">
        <v>45525.66787628472</v>
      </c>
      <c r="Z244" s="13"/>
      <c r="AA244" s="13"/>
    </row>
    <row r="245" ht="15.75" customHeight="1">
      <c r="A245" s="11" t="str">
        <f>HYPERLINK("https://portal.hubmapconsortium.org/browse/sample/7349bda1038639af79fe20a3333d437c", "HBM425.TWKC.979")</f>
        <v>HBM425.TWKC.979</v>
      </c>
      <c r="B245" s="12"/>
      <c r="C245" s="13" t="s">
        <v>413</v>
      </c>
      <c r="D245" s="12" t="s">
        <v>25</v>
      </c>
      <c r="E245" s="7" t="s">
        <v>44</v>
      </c>
      <c r="F245" s="13" t="s">
        <v>427</v>
      </c>
      <c r="G245" s="11" t="b">
        <v>0</v>
      </c>
      <c r="H245" s="11" t="str">
        <f t="shared" si="23"/>
        <v>HBM346.FQHN.263</v>
      </c>
      <c r="I245" s="13" t="s">
        <v>464</v>
      </c>
      <c r="J245" s="13"/>
      <c r="K245" s="13"/>
      <c r="L245" s="13"/>
      <c r="M245" s="13"/>
      <c r="N245" s="13" t="s">
        <v>437</v>
      </c>
      <c r="O245" s="13" t="s">
        <v>28</v>
      </c>
      <c r="P245" s="13" t="s">
        <v>29</v>
      </c>
      <c r="Q245" s="13" t="s">
        <v>30</v>
      </c>
      <c r="R245" s="11" t="b">
        <v>0</v>
      </c>
      <c r="S245" s="11" t="s">
        <v>31</v>
      </c>
      <c r="T245" s="13" t="s">
        <v>49</v>
      </c>
      <c r="U245" s="13" t="s">
        <v>50</v>
      </c>
      <c r="V245" s="13" t="s">
        <v>51</v>
      </c>
      <c r="W245" s="13" t="s">
        <v>35</v>
      </c>
      <c r="X245" s="14">
        <v>45525.66789392361</v>
      </c>
      <c r="Y245" s="14">
        <v>45525.66789392361</v>
      </c>
      <c r="Z245" s="13"/>
      <c r="AA245" s="13"/>
    </row>
    <row r="246" ht="15.75" customHeight="1">
      <c r="A246" s="11" t="str">
        <f>HYPERLINK("https://portal.hubmapconsortium.org/browse/sample/606cfe87284e90b4a8a06faaa3d421f7", "HBM697.SCGB.562")</f>
        <v>HBM697.SCGB.562</v>
      </c>
      <c r="B246" s="12"/>
      <c r="C246" s="13" t="s">
        <v>413</v>
      </c>
      <c r="D246" s="12" t="s">
        <v>25</v>
      </c>
      <c r="E246" s="7" t="s">
        <v>44</v>
      </c>
      <c r="F246" s="13" t="s">
        <v>427</v>
      </c>
      <c r="G246" s="11" t="b">
        <v>0</v>
      </c>
      <c r="H246" s="11" t="str">
        <f t="shared" si="23"/>
        <v>HBM346.FQHN.263</v>
      </c>
      <c r="I246" s="13" t="s">
        <v>465</v>
      </c>
      <c r="J246" s="13"/>
      <c r="K246" s="13"/>
      <c r="L246" s="13"/>
      <c r="M246" s="13"/>
      <c r="N246" s="13" t="s">
        <v>439</v>
      </c>
      <c r="O246" s="13" t="s">
        <v>28</v>
      </c>
      <c r="P246" s="13" t="s">
        <v>29</v>
      </c>
      <c r="Q246" s="13" t="s">
        <v>30</v>
      </c>
      <c r="R246" s="11" t="b">
        <v>0</v>
      </c>
      <c r="S246" s="11" t="s">
        <v>31</v>
      </c>
      <c r="T246" s="13" t="s">
        <v>49</v>
      </c>
      <c r="U246" s="13" t="s">
        <v>50</v>
      </c>
      <c r="V246" s="13" t="s">
        <v>51</v>
      </c>
      <c r="W246" s="13" t="s">
        <v>35</v>
      </c>
      <c r="X246" s="14">
        <v>45525.66791141203</v>
      </c>
      <c r="Y246" s="14">
        <v>45525.66791141203</v>
      </c>
      <c r="Z246" s="13"/>
      <c r="AA246" s="13"/>
    </row>
    <row r="247" ht="15.75" customHeight="1">
      <c r="A247" s="11" t="str">
        <f>HYPERLINK("https://portal.hubmapconsortium.org/browse/sample/6e8bf8ad308142acd0a37aa25b91eb0b", "HBM745.FLGF.644")</f>
        <v>HBM745.FLGF.644</v>
      </c>
      <c r="B247" s="12"/>
      <c r="C247" s="13" t="s">
        <v>413</v>
      </c>
      <c r="D247" s="12" t="s">
        <v>25</v>
      </c>
      <c r="E247" s="7" t="s">
        <v>44</v>
      </c>
      <c r="F247" s="13" t="s">
        <v>427</v>
      </c>
      <c r="G247" s="11" t="b">
        <v>0</v>
      </c>
      <c r="H247" s="11" t="str">
        <f t="shared" si="23"/>
        <v>HBM346.FQHN.263</v>
      </c>
      <c r="I247" s="13" t="s">
        <v>466</v>
      </c>
      <c r="J247" s="13"/>
      <c r="K247" s="13"/>
      <c r="L247" s="13"/>
      <c r="M247" s="13"/>
      <c r="N247" s="13" t="s">
        <v>441</v>
      </c>
      <c r="O247" s="13" t="s">
        <v>28</v>
      </c>
      <c r="P247" s="13" t="s">
        <v>29</v>
      </c>
      <c r="Q247" s="13" t="s">
        <v>30</v>
      </c>
      <c r="R247" s="11" t="b">
        <v>0</v>
      </c>
      <c r="S247" s="11" t="s">
        <v>31</v>
      </c>
      <c r="T247" s="13" t="s">
        <v>49</v>
      </c>
      <c r="U247" s="13" t="s">
        <v>50</v>
      </c>
      <c r="V247" s="13" t="s">
        <v>51</v>
      </c>
      <c r="W247" s="13" t="s">
        <v>35</v>
      </c>
      <c r="X247" s="14">
        <v>45525.66792880787</v>
      </c>
      <c r="Y247" s="14">
        <v>45525.66792880787</v>
      </c>
      <c r="Z247" s="13"/>
      <c r="AA247" s="13"/>
    </row>
    <row r="248" ht="15.75" customHeight="1">
      <c r="A248" s="11" t="str">
        <f>HYPERLINK("https://portal.hubmapconsortium.org/browse/sample/b01f1885faf3607a7e79bc90e1455184", "HBM828.DQBM.232")</f>
        <v>HBM828.DQBM.232</v>
      </c>
      <c r="B248" s="12"/>
      <c r="C248" s="13" t="s">
        <v>413</v>
      </c>
      <c r="D248" s="12" t="s">
        <v>25</v>
      </c>
      <c r="E248" s="7" t="s">
        <v>44</v>
      </c>
      <c r="F248" s="13" t="s">
        <v>427</v>
      </c>
      <c r="G248" s="11" t="b">
        <v>0</v>
      </c>
      <c r="H248" s="11" t="str">
        <f t="shared" si="23"/>
        <v>HBM346.FQHN.263</v>
      </c>
      <c r="I248" s="13" t="s">
        <v>467</v>
      </c>
      <c r="J248" s="13"/>
      <c r="K248" s="13"/>
      <c r="L248" s="13"/>
      <c r="M248" s="13"/>
      <c r="N248" s="13" t="s">
        <v>443</v>
      </c>
      <c r="O248" s="13" t="s">
        <v>28</v>
      </c>
      <c r="P248" s="13" t="s">
        <v>29</v>
      </c>
      <c r="Q248" s="13" t="s">
        <v>30</v>
      </c>
      <c r="R248" s="11" t="b">
        <v>0</v>
      </c>
      <c r="S248" s="11" t="s">
        <v>31</v>
      </c>
      <c r="T248" s="13" t="s">
        <v>32</v>
      </c>
      <c r="U248" s="13" t="s">
        <v>50</v>
      </c>
      <c r="V248" s="13" t="s">
        <v>51</v>
      </c>
      <c r="W248" s="13" t="s">
        <v>35</v>
      </c>
      <c r="X248" s="14">
        <v>45525.66794512732</v>
      </c>
      <c r="Y248" s="14">
        <v>45525.66794512732</v>
      </c>
      <c r="Z248" s="13"/>
      <c r="AA248" s="13"/>
    </row>
    <row r="249" ht="15.75" customHeight="1">
      <c r="A249" s="11" t="str">
        <f>HYPERLINK("https://portal.hubmapconsortium.org/browse/sample/ccea03cd5ab03e4408d2b8b88f2afddb", "HBM968.BQXL.338")</f>
        <v>HBM968.BQXL.338</v>
      </c>
      <c r="B249" s="12"/>
      <c r="C249" s="13" t="s">
        <v>413</v>
      </c>
      <c r="D249" s="12" t="s">
        <v>25</v>
      </c>
      <c r="E249" s="7" t="s">
        <v>44</v>
      </c>
      <c r="F249" s="13" t="s">
        <v>427</v>
      </c>
      <c r="G249" s="11" t="b">
        <v>0</v>
      </c>
      <c r="H249" s="11" t="str">
        <f t="shared" si="23"/>
        <v>HBM346.FQHN.263</v>
      </c>
      <c r="I249" s="13" t="s">
        <v>468</v>
      </c>
      <c r="J249" s="13"/>
      <c r="K249" s="13"/>
      <c r="L249" s="13"/>
      <c r="M249" s="13"/>
      <c r="N249" s="13" t="s">
        <v>445</v>
      </c>
      <c r="O249" s="13" t="s">
        <v>28</v>
      </c>
      <c r="P249" s="13" t="s">
        <v>29</v>
      </c>
      <c r="Q249" s="13" t="s">
        <v>30</v>
      </c>
      <c r="R249" s="11" t="b">
        <v>0</v>
      </c>
      <c r="S249" s="11" t="s">
        <v>31</v>
      </c>
      <c r="T249" s="13" t="s">
        <v>49</v>
      </c>
      <c r="U249" s="13" t="s">
        <v>50</v>
      </c>
      <c r="V249" s="13" t="s">
        <v>51</v>
      </c>
      <c r="W249" s="13" t="s">
        <v>35</v>
      </c>
      <c r="X249" s="14">
        <v>45525.66796771991</v>
      </c>
      <c r="Y249" s="14">
        <v>45525.66796771991</v>
      </c>
      <c r="Z249" s="13"/>
      <c r="AA249" s="13"/>
    </row>
    <row r="250" ht="15.75" customHeight="1">
      <c r="A250" s="11" t="str">
        <f>HYPERLINK("https://portal.hubmapconsortium.org/browse/sample/5b351191addc0a6446631c9fecf91a61", "HBM473.TJXJ.772")</f>
        <v>HBM473.TJXJ.772</v>
      </c>
      <c r="B250" s="12"/>
      <c r="C250" s="13" t="s">
        <v>413</v>
      </c>
      <c r="D250" s="12" t="s">
        <v>25</v>
      </c>
      <c r="E250" s="7" t="s">
        <v>44</v>
      </c>
      <c r="F250" s="13" t="s">
        <v>427</v>
      </c>
      <c r="G250" s="11" t="b">
        <v>0</v>
      </c>
      <c r="H250" s="11" t="str">
        <f t="shared" si="23"/>
        <v>HBM346.FQHN.263</v>
      </c>
      <c r="I250" s="13" t="s">
        <v>469</v>
      </c>
      <c r="J250" s="13"/>
      <c r="K250" s="13"/>
      <c r="L250" s="13"/>
      <c r="M250" s="13"/>
      <c r="N250" s="13" t="s">
        <v>447</v>
      </c>
      <c r="O250" s="13" t="s">
        <v>28</v>
      </c>
      <c r="P250" s="13" t="s">
        <v>29</v>
      </c>
      <c r="Q250" s="13" t="s">
        <v>30</v>
      </c>
      <c r="R250" s="11" t="b">
        <v>0</v>
      </c>
      <c r="S250" s="11" t="s">
        <v>31</v>
      </c>
      <c r="T250" s="13" t="s">
        <v>49</v>
      </c>
      <c r="U250" s="13" t="s">
        <v>50</v>
      </c>
      <c r="V250" s="13" t="s">
        <v>51</v>
      </c>
      <c r="W250" s="13" t="s">
        <v>35</v>
      </c>
      <c r="X250" s="14">
        <v>45525.66798353009</v>
      </c>
      <c r="Y250" s="14">
        <v>45525.66798353009</v>
      </c>
      <c r="Z250" s="13"/>
      <c r="AA250" s="13"/>
    </row>
    <row r="251" ht="15.75" customHeight="1">
      <c r="A251" s="11" t="str">
        <f>HYPERLINK("https://portal.hubmapconsortium.org/browse/sample/ea3656156f46b75c7a42c286a1191c5b", "HBM696.CCGS.524")</f>
        <v>HBM696.CCGS.524</v>
      </c>
      <c r="B251" s="12"/>
      <c r="C251" s="13" t="s">
        <v>413</v>
      </c>
      <c r="D251" s="12" t="s">
        <v>25</v>
      </c>
      <c r="E251" s="7" t="s">
        <v>44</v>
      </c>
      <c r="F251" s="13" t="s">
        <v>427</v>
      </c>
      <c r="G251" s="11" t="b">
        <v>0</v>
      </c>
      <c r="H251" s="11" t="str">
        <f t="shared" si="23"/>
        <v>HBM346.FQHN.263</v>
      </c>
      <c r="I251" s="13" t="s">
        <v>470</v>
      </c>
      <c r="J251" s="13"/>
      <c r="K251" s="13"/>
      <c r="L251" s="13"/>
      <c r="M251" s="13"/>
      <c r="N251" s="13" t="s">
        <v>449</v>
      </c>
      <c r="O251" s="13" t="s">
        <v>28</v>
      </c>
      <c r="P251" s="13" t="s">
        <v>29</v>
      </c>
      <c r="Q251" s="13" t="s">
        <v>30</v>
      </c>
      <c r="R251" s="11" t="b">
        <v>0</v>
      </c>
      <c r="S251" s="11" t="s">
        <v>31</v>
      </c>
      <c r="T251" s="13" t="s">
        <v>49</v>
      </c>
      <c r="U251" s="13" t="s">
        <v>50</v>
      </c>
      <c r="V251" s="13" t="s">
        <v>51</v>
      </c>
      <c r="W251" s="13" t="s">
        <v>35</v>
      </c>
      <c r="X251" s="14">
        <v>45525.66799972222</v>
      </c>
      <c r="Y251" s="14">
        <v>45525.66799972222</v>
      </c>
      <c r="Z251" s="13"/>
      <c r="AA251" s="13"/>
    </row>
    <row r="252" ht="15.75" customHeight="1">
      <c r="A252" s="11" t="str">
        <f>HYPERLINK("https://portal.hubmapconsortium.org/browse/sample/8a451ca8b90b421002ffc228b4930e10", "HBM352.KQCX.726")</f>
        <v>HBM352.KQCX.726</v>
      </c>
      <c r="B252" s="12"/>
      <c r="C252" s="13" t="s">
        <v>413</v>
      </c>
      <c r="D252" s="12" t="s">
        <v>25</v>
      </c>
      <c r="E252" s="7" t="s">
        <v>44</v>
      </c>
      <c r="F252" s="13" t="s">
        <v>427</v>
      </c>
      <c r="G252" s="11" t="b">
        <v>0</v>
      </c>
      <c r="H252" s="11" t="str">
        <f t="shared" si="23"/>
        <v>HBM346.FQHN.263</v>
      </c>
      <c r="I252" s="13" t="s">
        <v>471</v>
      </c>
      <c r="J252" s="13"/>
      <c r="K252" s="13"/>
      <c r="L252" s="13"/>
      <c r="M252" s="13"/>
      <c r="N252" s="13" t="s">
        <v>451</v>
      </c>
      <c r="O252" s="13" t="s">
        <v>28</v>
      </c>
      <c r="P252" s="13" t="s">
        <v>29</v>
      </c>
      <c r="Q252" s="13" t="s">
        <v>30</v>
      </c>
      <c r="R252" s="11" t="b">
        <v>0</v>
      </c>
      <c r="S252" s="11" t="s">
        <v>31</v>
      </c>
      <c r="T252" s="13" t="s">
        <v>32</v>
      </c>
      <c r="U252" s="13" t="s">
        <v>50</v>
      </c>
      <c r="V252" s="13" t="s">
        <v>51</v>
      </c>
      <c r="W252" s="13" t="s">
        <v>35</v>
      </c>
      <c r="X252" s="14">
        <v>45525.668016875</v>
      </c>
      <c r="Y252" s="14">
        <v>45525.668016875</v>
      </c>
      <c r="Z252" s="13"/>
      <c r="AA252" s="13"/>
    </row>
    <row r="253" ht="15.75" customHeight="1">
      <c r="A253" s="11" t="str">
        <f>HYPERLINK("https://portal.hubmapconsortium.org/browse/sample/0b106ca7bf9c0b5ae9c578923ca0475a", "HBM574.SXVH.565")</f>
        <v>HBM574.SXVH.565</v>
      </c>
      <c r="B253" s="12"/>
      <c r="C253" s="13" t="s">
        <v>413</v>
      </c>
      <c r="D253" s="12" t="s">
        <v>25</v>
      </c>
      <c r="E253" s="7" t="s">
        <v>44</v>
      </c>
      <c r="F253" s="13" t="s">
        <v>427</v>
      </c>
      <c r="G253" s="11" t="b">
        <v>0</v>
      </c>
      <c r="H253" s="11" t="str">
        <f t="shared" si="23"/>
        <v>HBM346.FQHN.263</v>
      </c>
      <c r="I253" s="13" t="s">
        <v>472</v>
      </c>
      <c r="J253" s="13"/>
      <c r="K253" s="13"/>
      <c r="L253" s="13"/>
      <c r="M253" s="13"/>
      <c r="N253" s="13" t="s">
        <v>453</v>
      </c>
      <c r="O253" s="13" t="s">
        <v>28</v>
      </c>
      <c r="P253" s="13" t="s">
        <v>29</v>
      </c>
      <c r="Q253" s="13" t="s">
        <v>30</v>
      </c>
      <c r="R253" s="11" t="b">
        <v>0</v>
      </c>
      <c r="S253" s="11" t="s">
        <v>31</v>
      </c>
      <c r="T253" s="13" t="s">
        <v>49</v>
      </c>
      <c r="U253" s="13" t="s">
        <v>50</v>
      </c>
      <c r="V253" s="13" t="s">
        <v>51</v>
      </c>
      <c r="W253" s="13" t="s">
        <v>35</v>
      </c>
      <c r="X253" s="14">
        <v>45525.66803256945</v>
      </c>
      <c r="Y253" s="14">
        <v>45525.66803256945</v>
      </c>
      <c r="Z253" s="13"/>
      <c r="AA253" s="13"/>
    </row>
    <row r="254" ht="15.75" customHeight="1">
      <c r="A254" s="11" t="str">
        <f>HYPERLINK("https://portal.hubmapconsortium.org/browse/sample/810b28b6a58202a5c1c29e0d4c04291e", "HBM453.FZMQ.547")</f>
        <v>HBM453.FZMQ.547</v>
      </c>
      <c r="B254" s="12"/>
      <c r="C254" s="13" t="s">
        <v>413</v>
      </c>
      <c r="D254" s="12" t="s">
        <v>25</v>
      </c>
      <c r="E254" s="7" t="s">
        <v>44</v>
      </c>
      <c r="F254" s="13" t="s">
        <v>427</v>
      </c>
      <c r="G254" s="11" t="b">
        <v>0</v>
      </c>
      <c r="H254" s="11" t="str">
        <f t="shared" si="23"/>
        <v>HBM346.FQHN.263</v>
      </c>
      <c r="I254" s="13" t="s">
        <v>473</v>
      </c>
      <c r="J254" s="13"/>
      <c r="K254" s="13"/>
      <c r="L254" s="13"/>
      <c r="M254" s="13"/>
      <c r="N254" s="13" t="s">
        <v>455</v>
      </c>
      <c r="O254" s="13" t="s">
        <v>28</v>
      </c>
      <c r="P254" s="13" t="s">
        <v>29</v>
      </c>
      <c r="Q254" s="13" t="s">
        <v>30</v>
      </c>
      <c r="R254" s="11" t="b">
        <v>0</v>
      </c>
      <c r="S254" s="11" t="s">
        <v>31</v>
      </c>
      <c r="T254" s="13" t="s">
        <v>49</v>
      </c>
      <c r="U254" s="13" t="s">
        <v>50</v>
      </c>
      <c r="V254" s="13" t="s">
        <v>51</v>
      </c>
      <c r="W254" s="13" t="s">
        <v>35</v>
      </c>
      <c r="X254" s="14">
        <v>45525.66804971065</v>
      </c>
      <c r="Y254" s="14">
        <v>45525.66804971065</v>
      </c>
      <c r="Z254" s="13"/>
      <c r="AA254" s="13"/>
    </row>
    <row r="255" ht="15.75" customHeight="1">
      <c r="A255" s="11" t="str">
        <f>HYPERLINK("https://portal.hubmapconsortium.org/browse/sample/da6e629541ac1746a4927f8875f85005", "HBM562.MLRF.668")</f>
        <v>HBM562.MLRF.668</v>
      </c>
      <c r="B255" s="12"/>
      <c r="C255" s="13" t="s">
        <v>413</v>
      </c>
      <c r="D255" s="12" t="s">
        <v>25</v>
      </c>
      <c r="E255" s="7" t="s">
        <v>44</v>
      </c>
      <c r="F255" s="13" t="s">
        <v>427</v>
      </c>
      <c r="G255" s="11" t="b">
        <v>0</v>
      </c>
      <c r="H255" s="11" t="str">
        <f t="shared" si="23"/>
        <v>HBM346.FQHN.263</v>
      </c>
      <c r="I255" s="13" t="s">
        <v>474</v>
      </c>
      <c r="J255" s="13"/>
      <c r="K255" s="13"/>
      <c r="L255" s="13"/>
      <c r="M255" s="13"/>
      <c r="N255" s="13" t="s">
        <v>457</v>
      </c>
      <c r="O255" s="13" t="s">
        <v>28</v>
      </c>
      <c r="P255" s="13" t="s">
        <v>29</v>
      </c>
      <c r="Q255" s="13" t="s">
        <v>30</v>
      </c>
      <c r="R255" s="11" t="b">
        <v>0</v>
      </c>
      <c r="S255" s="11" t="s">
        <v>31</v>
      </c>
      <c r="T255" s="13" t="s">
        <v>49</v>
      </c>
      <c r="U255" s="13" t="s">
        <v>50</v>
      </c>
      <c r="V255" s="13" t="s">
        <v>51</v>
      </c>
      <c r="W255" s="13" t="s">
        <v>35</v>
      </c>
      <c r="X255" s="14">
        <v>45525.66806799769</v>
      </c>
      <c r="Y255" s="14">
        <v>45525.66806799769</v>
      </c>
      <c r="Z255" s="13"/>
      <c r="AA255" s="13"/>
    </row>
    <row r="256" ht="15.75" customHeight="1">
      <c r="A256" s="11" t="str">
        <f>HYPERLINK("https://portal.hubmapconsortium.org/browse/sample/d66382bbb534adfee0d21b8ce6895a9f", "HBM578.CRPX.572")</f>
        <v>HBM578.CRPX.572</v>
      </c>
      <c r="B256" s="12"/>
      <c r="C256" s="13" t="s">
        <v>413</v>
      </c>
      <c r="D256" s="12" t="s">
        <v>25</v>
      </c>
      <c r="E256" s="7" t="s">
        <v>44</v>
      </c>
      <c r="F256" s="13" t="s">
        <v>427</v>
      </c>
      <c r="G256" s="11" t="b">
        <v>0</v>
      </c>
      <c r="H256" s="11" t="str">
        <f t="shared" si="23"/>
        <v>HBM346.FQHN.263</v>
      </c>
      <c r="I256" s="13" t="s">
        <v>475</v>
      </c>
      <c r="J256" s="13"/>
      <c r="K256" s="13"/>
      <c r="L256" s="13"/>
      <c r="M256" s="13"/>
      <c r="N256" s="13" t="s">
        <v>459</v>
      </c>
      <c r="O256" s="13" t="s">
        <v>28</v>
      </c>
      <c r="P256" s="13" t="s">
        <v>29</v>
      </c>
      <c r="Q256" s="13" t="s">
        <v>30</v>
      </c>
      <c r="R256" s="11" t="b">
        <v>0</v>
      </c>
      <c r="S256" s="11" t="s">
        <v>31</v>
      </c>
      <c r="T256" s="13" t="s">
        <v>32</v>
      </c>
      <c r="U256" s="13" t="s">
        <v>50</v>
      </c>
      <c r="V256" s="13" t="s">
        <v>51</v>
      </c>
      <c r="W256" s="13" t="s">
        <v>35</v>
      </c>
      <c r="X256" s="14">
        <v>45525.66808606481</v>
      </c>
      <c r="Y256" s="14">
        <v>45525.66808606481</v>
      </c>
      <c r="Z256" s="13"/>
      <c r="AA256" s="13"/>
    </row>
    <row r="257" ht="15.75" customHeight="1">
      <c r="A257" s="11" t="str">
        <f>HYPERLINK("https://portal.hubmapconsortium.org/browse/sample/dd6c9a863ee9e85c7617b0d5b2c5f447", "HBM498.DPPB.549")</f>
        <v>HBM498.DPPB.549</v>
      </c>
      <c r="B257" s="12"/>
      <c r="C257" s="13" t="s">
        <v>413</v>
      </c>
      <c r="D257" s="12" t="s">
        <v>25</v>
      </c>
      <c r="E257" s="7" t="s">
        <v>44</v>
      </c>
      <c r="F257" s="13" t="s">
        <v>427</v>
      </c>
      <c r="G257" s="11" t="b">
        <v>0</v>
      </c>
      <c r="H257" s="11" t="str">
        <f t="shared" si="23"/>
        <v>HBM346.FQHN.263</v>
      </c>
      <c r="I257" s="13" t="s">
        <v>476</v>
      </c>
      <c r="J257" s="13"/>
      <c r="K257" s="13"/>
      <c r="L257" s="13"/>
      <c r="M257" s="13"/>
      <c r="N257" s="13" t="s">
        <v>477</v>
      </c>
      <c r="O257" s="13" t="s">
        <v>28</v>
      </c>
      <c r="P257" s="13" t="s">
        <v>29</v>
      </c>
      <c r="Q257" s="13" t="s">
        <v>30</v>
      </c>
      <c r="R257" s="11" t="b">
        <v>0</v>
      </c>
      <c r="S257" s="11" t="s">
        <v>31</v>
      </c>
      <c r="T257" s="13" t="s">
        <v>49</v>
      </c>
      <c r="U257" s="13" t="s">
        <v>50</v>
      </c>
      <c r="V257" s="13" t="s">
        <v>51</v>
      </c>
      <c r="W257" s="13" t="s">
        <v>35</v>
      </c>
      <c r="X257" s="14">
        <v>45525.86240444444</v>
      </c>
      <c r="Y257" s="14">
        <v>45525.86240444444</v>
      </c>
      <c r="Z257" s="13"/>
      <c r="AA257" s="13"/>
    </row>
    <row r="258" ht="15.75" customHeight="1">
      <c r="A258" s="11" t="str">
        <f>HYPERLINK("https://portal.hubmapconsortium.org/browse/sample/109c4ea7294267718ec0615a8973c68f", "HBM456.ZNRR.847")</f>
        <v>HBM456.ZNRR.847</v>
      </c>
      <c r="B258" s="12"/>
      <c r="C258" s="13" t="s">
        <v>413</v>
      </c>
      <c r="D258" s="12" t="s">
        <v>25</v>
      </c>
      <c r="E258" s="7" t="s">
        <v>44</v>
      </c>
      <c r="F258" s="13" t="s">
        <v>427</v>
      </c>
      <c r="G258" s="11" t="b">
        <v>0</v>
      </c>
      <c r="H258" s="11" t="str">
        <f t="shared" si="23"/>
        <v>HBM346.FQHN.263</v>
      </c>
      <c r="I258" s="13" t="s">
        <v>478</v>
      </c>
      <c r="J258" s="13"/>
      <c r="K258" s="13"/>
      <c r="L258" s="13"/>
      <c r="M258" s="13"/>
      <c r="N258" s="13" t="s">
        <v>479</v>
      </c>
      <c r="O258" s="13" t="s">
        <v>28</v>
      </c>
      <c r="P258" s="13" t="s">
        <v>29</v>
      </c>
      <c r="Q258" s="13" t="s">
        <v>30</v>
      </c>
      <c r="R258" s="11" t="b">
        <v>0</v>
      </c>
      <c r="S258" s="11" t="s">
        <v>31</v>
      </c>
      <c r="T258" s="13" t="s">
        <v>49</v>
      </c>
      <c r="U258" s="13" t="s">
        <v>50</v>
      </c>
      <c r="V258" s="13" t="s">
        <v>51</v>
      </c>
      <c r="W258" s="13" t="s">
        <v>35</v>
      </c>
      <c r="X258" s="14">
        <v>45525.86242375</v>
      </c>
      <c r="Y258" s="14">
        <v>45525.86242375</v>
      </c>
      <c r="Z258" s="13"/>
      <c r="AA258" s="13"/>
    </row>
    <row r="259" ht="15.75" customHeight="1">
      <c r="A259" s="11" t="str">
        <f>HYPERLINK("https://portal.hubmapconsortium.org/browse/sample/5a9e77ce56d478f419a92a6534a3c3e8", "HBM244.WPNV.324")</f>
        <v>HBM244.WPNV.324</v>
      </c>
      <c r="B259" s="12"/>
      <c r="C259" s="13" t="s">
        <v>413</v>
      </c>
      <c r="D259" s="12" t="s">
        <v>25</v>
      </c>
      <c r="E259" s="7" t="s">
        <v>44</v>
      </c>
      <c r="F259" s="13" t="s">
        <v>427</v>
      </c>
      <c r="G259" s="11" t="b">
        <v>0</v>
      </c>
      <c r="H259" s="11" t="str">
        <f t="shared" si="23"/>
        <v>HBM346.FQHN.263</v>
      </c>
      <c r="I259" s="13" t="s">
        <v>480</v>
      </c>
      <c r="J259" s="13"/>
      <c r="K259" s="13"/>
      <c r="L259" s="13"/>
      <c r="M259" s="13"/>
      <c r="N259" s="13" t="s">
        <v>481</v>
      </c>
      <c r="O259" s="13" t="s">
        <v>28</v>
      </c>
      <c r="P259" s="13" t="s">
        <v>29</v>
      </c>
      <c r="Q259" s="13" t="s">
        <v>30</v>
      </c>
      <c r="R259" s="11" t="b">
        <v>0</v>
      </c>
      <c r="S259" s="11" t="s">
        <v>31</v>
      </c>
      <c r="T259" s="13" t="s">
        <v>49</v>
      </c>
      <c r="U259" s="13" t="s">
        <v>50</v>
      </c>
      <c r="V259" s="13" t="s">
        <v>51</v>
      </c>
      <c r="W259" s="13" t="s">
        <v>35</v>
      </c>
      <c r="X259" s="14">
        <v>45525.86243902778</v>
      </c>
      <c r="Y259" s="14">
        <v>45525.86243902778</v>
      </c>
      <c r="Z259" s="13"/>
      <c r="AA259" s="13"/>
    </row>
    <row r="260" ht="15.75" customHeight="1">
      <c r="A260" s="11" t="str">
        <f>HYPERLINK("https://portal.hubmapconsortium.org/browse/sample/43eb7747464adc3c8395d72545abdcdb", "HBM446.ZHHB.753")</f>
        <v>HBM446.ZHHB.753</v>
      </c>
      <c r="B260" s="12"/>
      <c r="C260" s="13" t="s">
        <v>413</v>
      </c>
      <c r="D260" s="12" t="s">
        <v>25</v>
      </c>
      <c r="E260" s="7" t="s">
        <v>44</v>
      </c>
      <c r="F260" s="13" t="s">
        <v>427</v>
      </c>
      <c r="G260" s="11" t="b">
        <v>0</v>
      </c>
      <c r="H260" s="11" t="str">
        <f t="shared" si="23"/>
        <v>HBM346.FQHN.263</v>
      </c>
      <c r="I260" s="13" t="s">
        <v>482</v>
      </c>
      <c r="J260" s="13"/>
      <c r="K260" s="13"/>
      <c r="L260" s="13"/>
      <c r="M260" s="13"/>
      <c r="N260" s="13" t="s">
        <v>483</v>
      </c>
      <c r="O260" s="13" t="s">
        <v>28</v>
      </c>
      <c r="P260" s="13" t="s">
        <v>29</v>
      </c>
      <c r="Q260" s="13" t="s">
        <v>30</v>
      </c>
      <c r="R260" s="11" t="b">
        <v>0</v>
      </c>
      <c r="S260" s="11" t="s">
        <v>31</v>
      </c>
      <c r="T260" s="13" t="s">
        <v>32</v>
      </c>
      <c r="U260" s="13" t="s">
        <v>50</v>
      </c>
      <c r="V260" s="13" t="s">
        <v>51</v>
      </c>
      <c r="W260" s="13" t="s">
        <v>35</v>
      </c>
      <c r="X260" s="14">
        <v>45525.86245380787</v>
      </c>
      <c r="Y260" s="14">
        <v>45525.86245380787</v>
      </c>
      <c r="Z260" s="13"/>
      <c r="AA260" s="13"/>
    </row>
    <row r="261" ht="15.75" customHeight="1">
      <c r="A261" s="11" t="str">
        <f>HYPERLINK("https://portal.hubmapconsortium.org/browse/sample/9be5f9454457d5325301fcef59c1dcc7", "HBM777.NLZM.834")</f>
        <v>HBM777.NLZM.834</v>
      </c>
      <c r="B261" s="12"/>
      <c r="C261" s="13" t="s">
        <v>413</v>
      </c>
      <c r="D261" s="12" t="s">
        <v>25</v>
      </c>
      <c r="E261" s="7" t="s">
        <v>44</v>
      </c>
      <c r="F261" s="13" t="s">
        <v>427</v>
      </c>
      <c r="G261" s="11" t="b">
        <v>0</v>
      </c>
      <c r="H261" s="11" t="str">
        <f t="shared" si="23"/>
        <v>HBM346.FQHN.263</v>
      </c>
      <c r="I261" s="13" t="s">
        <v>484</v>
      </c>
      <c r="J261" s="13"/>
      <c r="K261" s="13"/>
      <c r="L261" s="13"/>
      <c r="M261" s="13"/>
      <c r="N261" s="13" t="s">
        <v>485</v>
      </c>
      <c r="O261" s="13" t="s">
        <v>28</v>
      </c>
      <c r="P261" s="13" t="s">
        <v>29</v>
      </c>
      <c r="Q261" s="13" t="s">
        <v>30</v>
      </c>
      <c r="R261" s="11" t="b">
        <v>0</v>
      </c>
      <c r="S261" s="11" t="s">
        <v>31</v>
      </c>
      <c r="T261" s="13" t="s">
        <v>49</v>
      </c>
      <c r="U261" s="13" t="s">
        <v>50</v>
      </c>
      <c r="V261" s="13" t="s">
        <v>51</v>
      </c>
      <c r="W261" s="13" t="s">
        <v>35</v>
      </c>
      <c r="X261" s="14">
        <v>45525.86248001157</v>
      </c>
      <c r="Y261" s="14">
        <v>45525.86248001157</v>
      </c>
      <c r="Z261" s="13"/>
      <c r="AA261" s="13"/>
    </row>
    <row r="262" ht="15.75" customHeight="1">
      <c r="A262" s="11" t="str">
        <f>HYPERLINK("https://portal.hubmapconsortium.org/browse/sample/d6696fda60bbd67c487095f791ba82f6", "HBM868.RCKQ.673")</f>
        <v>HBM868.RCKQ.673</v>
      </c>
      <c r="B262" s="12"/>
      <c r="C262" s="13" t="s">
        <v>413</v>
      </c>
      <c r="D262" s="12" t="s">
        <v>25</v>
      </c>
      <c r="E262" s="7" t="s">
        <v>44</v>
      </c>
      <c r="F262" s="13" t="s">
        <v>427</v>
      </c>
      <c r="G262" s="11" t="b">
        <v>0</v>
      </c>
      <c r="H262" s="11" t="str">
        <f t="shared" si="23"/>
        <v>HBM346.FQHN.263</v>
      </c>
      <c r="I262" s="13" t="s">
        <v>486</v>
      </c>
      <c r="J262" s="13"/>
      <c r="K262" s="13"/>
      <c r="L262" s="13"/>
      <c r="M262" s="13"/>
      <c r="N262" s="13" t="s">
        <v>487</v>
      </c>
      <c r="O262" s="13" t="s">
        <v>28</v>
      </c>
      <c r="P262" s="13" t="s">
        <v>29</v>
      </c>
      <c r="Q262" s="13" t="s">
        <v>30</v>
      </c>
      <c r="R262" s="11" t="b">
        <v>0</v>
      </c>
      <c r="S262" s="11" t="s">
        <v>31</v>
      </c>
      <c r="T262" s="13" t="s">
        <v>49</v>
      </c>
      <c r="U262" s="13" t="s">
        <v>50</v>
      </c>
      <c r="V262" s="13" t="s">
        <v>51</v>
      </c>
      <c r="W262" s="13" t="s">
        <v>35</v>
      </c>
      <c r="X262" s="14">
        <v>45525.86250109954</v>
      </c>
      <c r="Y262" s="14">
        <v>45525.86250109954</v>
      </c>
      <c r="Z262" s="13"/>
      <c r="AA262" s="13"/>
    </row>
    <row r="263" ht="15.75" customHeight="1">
      <c r="A263" s="11" t="str">
        <f>HYPERLINK("https://portal.hubmapconsortium.org/browse/sample/f6ba3731828fa0c017934f5bc498fa1c", "HBM686.TJKJ.879")</f>
        <v>HBM686.TJKJ.879</v>
      </c>
      <c r="B263" s="12"/>
      <c r="C263" s="13" t="s">
        <v>413</v>
      </c>
      <c r="D263" s="12" t="s">
        <v>25</v>
      </c>
      <c r="E263" s="7" t="s">
        <v>44</v>
      </c>
      <c r="F263" s="13" t="s">
        <v>427</v>
      </c>
      <c r="G263" s="11" t="b">
        <v>0</v>
      </c>
      <c r="H263" s="11" t="str">
        <f t="shared" si="23"/>
        <v>HBM346.FQHN.263</v>
      </c>
      <c r="I263" s="13" t="s">
        <v>488</v>
      </c>
      <c r="J263" s="13"/>
      <c r="K263" s="13"/>
      <c r="L263" s="13"/>
      <c r="M263" s="13"/>
      <c r="N263" s="13" t="s">
        <v>489</v>
      </c>
      <c r="O263" s="13" t="s">
        <v>28</v>
      </c>
      <c r="P263" s="13" t="s">
        <v>29</v>
      </c>
      <c r="Q263" s="13" t="s">
        <v>30</v>
      </c>
      <c r="R263" s="11" t="b">
        <v>0</v>
      </c>
      <c r="S263" s="11" t="s">
        <v>31</v>
      </c>
      <c r="T263" s="13" t="s">
        <v>49</v>
      </c>
      <c r="U263" s="13" t="s">
        <v>50</v>
      </c>
      <c r="V263" s="13" t="s">
        <v>51</v>
      </c>
      <c r="W263" s="13" t="s">
        <v>35</v>
      </c>
      <c r="X263" s="14">
        <v>45525.86252021991</v>
      </c>
      <c r="Y263" s="14">
        <v>45525.86252021991</v>
      </c>
      <c r="Z263" s="13"/>
      <c r="AA263" s="13"/>
    </row>
    <row r="264" ht="15.75" customHeight="1">
      <c r="A264" s="11" t="str">
        <f>HYPERLINK("https://portal.hubmapconsortium.org/browse/sample/ed6814988259e8bb3ffe2d08bebaa286", "HBM564.DWVW.457")</f>
        <v>HBM564.DWVW.457</v>
      </c>
      <c r="B264" s="12"/>
      <c r="C264" s="13" t="s">
        <v>413</v>
      </c>
      <c r="D264" s="12" t="s">
        <v>25</v>
      </c>
      <c r="E264" s="7" t="s">
        <v>44</v>
      </c>
      <c r="F264" s="13" t="s">
        <v>427</v>
      </c>
      <c r="G264" s="11" t="b">
        <v>0</v>
      </c>
      <c r="H264" s="11" t="str">
        <f t="shared" si="23"/>
        <v>HBM346.FQHN.263</v>
      </c>
      <c r="I264" s="13" t="s">
        <v>490</v>
      </c>
      <c r="J264" s="13"/>
      <c r="K264" s="13"/>
      <c r="L264" s="13"/>
      <c r="M264" s="13"/>
      <c r="N264" s="13" t="s">
        <v>491</v>
      </c>
      <c r="O264" s="13" t="s">
        <v>28</v>
      </c>
      <c r="P264" s="13" t="s">
        <v>29</v>
      </c>
      <c r="Q264" s="13" t="s">
        <v>30</v>
      </c>
      <c r="R264" s="11" t="b">
        <v>0</v>
      </c>
      <c r="S264" s="11" t="s">
        <v>31</v>
      </c>
      <c r="T264" s="13" t="s">
        <v>32</v>
      </c>
      <c r="U264" s="13" t="s">
        <v>50</v>
      </c>
      <c r="V264" s="13" t="s">
        <v>51</v>
      </c>
      <c r="W264" s="13" t="s">
        <v>35</v>
      </c>
      <c r="X264" s="14">
        <v>45525.86254053241</v>
      </c>
      <c r="Y264" s="14">
        <v>45525.86254053241</v>
      </c>
      <c r="Z264" s="13"/>
      <c r="AA264" s="13"/>
    </row>
    <row r="265" ht="15.75" customHeight="1">
      <c r="A265" s="11" t="str">
        <f>HYPERLINK("https://portal.hubmapconsortium.org/browse/sample/75efde37f26c8036084822ad55262369", "HBM939.WMMT.889")</f>
        <v>HBM939.WMMT.889</v>
      </c>
      <c r="B265" s="12"/>
      <c r="C265" s="13" t="s">
        <v>413</v>
      </c>
      <c r="D265" s="12" t="s">
        <v>25</v>
      </c>
      <c r="E265" s="7" t="s">
        <v>44</v>
      </c>
      <c r="F265" s="13" t="s">
        <v>427</v>
      </c>
      <c r="G265" s="11" t="b">
        <v>0</v>
      </c>
      <c r="H265" s="11" t="str">
        <f t="shared" si="23"/>
        <v>HBM346.FQHN.263</v>
      </c>
      <c r="I265" s="13" t="s">
        <v>492</v>
      </c>
      <c r="J265" s="13"/>
      <c r="K265" s="13"/>
      <c r="L265" s="13"/>
      <c r="M265" s="13"/>
      <c r="N265" s="13" t="s">
        <v>493</v>
      </c>
      <c r="O265" s="13" t="s">
        <v>28</v>
      </c>
      <c r="P265" s="13" t="s">
        <v>29</v>
      </c>
      <c r="Q265" s="13" t="s">
        <v>30</v>
      </c>
      <c r="R265" s="11" t="b">
        <v>0</v>
      </c>
      <c r="S265" s="11" t="s">
        <v>31</v>
      </c>
      <c r="T265" s="13" t="s">
        <v>49</v>
      </c>
      <c r="U265" s="13" t="s">
        <v>50</v>
      </c>
      <c r="V265" s="13" t="s">
        <v>51</v>
      </c>
      <c r="W265" s="13" t="s">
        <v>35</v>
      </c>
      <c r="X265" s="14">
        <v>45525.86256530093</v>
      </c>
      <c r="Y265" s="14">
        <v>45525.86256530093</v>
      </c>
      <c r="Z265" s="13"/>
      <c r="AA265" s="13"/>
    </row>
    <row r="266" ht="15.75" customHeight="1">
      <c r="A266" s="11" t="str">
        <f>HYPERLINK("https://portal.hubmapconsortium.org/browse/sample/323e5aa8d84e76210201ffaa904adf29", "HBM542.MWXT.557")</f>
        <v>HBM542.MWXT.557</v>
      </c>
      <c r="B266" s="12"/>
      <c r="C266" s="13" t="s">
        <v>413</v>
      </c>
      <c r="D266" s="12" t="s">
        <v>25</v>
      </c>
      <c r="E266" s="7" t="s">
        <v>44</v>
      </c>
      <c r="F266" s="13" t="s">
        <v>427</v>
      </c>
      <c r="G266" s="11" t="b">
        <v>0</v>
      </c>
      <c r="H266" s="11" t="str">
        <f t="shared" si="23"/>
        <v>HBM346.FQHN.263</v>
      </c>
      <c r="I266" s="13" t="s">
        <v>494</v>
      </c>
      <c r="J266" s="13"/>
      <c r="K266" s="13"/>
      <c r="L266" s="13"/>
      <c r="M266" s="13"/>
      <c r="N266" s="13" t="s">
        <v>495</v>
      </c>
      <c r="O266" s="13" t="s">
        <v>28</v>
      </c>
      <c r="P266" s="13" t="s">
        <v>29</v>
      </c>
      <c r="Q266" s="13" t="s">
        <v>30</v>
      </c>
      <c r="R266" s="11" t="b">
        <v>0</v>
      </c>
      <c r="S266" s="11" t="s">
        <v>31</v>
      </c>
      <c r="T266" s="13" t="s">
        <v>49</v>
      </c>
      <c r="U266" s="13" t="s">
        <v>50</v>
      </c>
      <c r="V266" s="13" t="s">
        <v>51</v>
      </c>
      <c r="W266" s="13" t="s">
        <v>35</v>
      </c>
      <c r="X266" s="14">
        <v>45525.8625828125</v>
      </c>
      <c r="Y266" s="14">
        <v>45525.8625828125</v>
      </c>
      <c r="Z266" s="13"/>
      <c r="AA266" s="13"/>
    </row>
    <row r="267" ht="15.75" customHeight="1">
      <c r="A267" s="11" t="str">
        <f>HYPERLINK("https://portal.hubmapconsortium.org/browse/sample/ddb75c2a23fea20f4cbf3e45f9a8ea3b", "HBM668.FJTV.369")</f>
        <v>HBM668.FJTV.369</v>
      </c>
      <c r="B267" s="12"/>
      <c r="C267" s="13" t="s">
        <v>413</v>
      </c>
      <c r="D267" s="12" t="s">
        <v>25</v>
      </c>
      <c r="E267" s="7" t="s">
        <v>44</v>
      </c>
      <c r="F267" s="13" t="s">
        <v>427</v>
      </c>
      <c r="G267" s="11" t="b">
        <v>0</v>
      </c>
      <c r="H267" s="11" t="str">
        <f t="shared" si="23"/>
        <v>HBM346.FQHN.263</v>
      </c>
      <c r="I267" s="13" t="s">
        <v>496</v>
      </c>
      <c r="J267" s="13"/>
      <c r="K267" s="13"/>
      <c r="L267" s="13"/>
      <c r="M267" s="13"/>
      <c r="N267" s="13" t="s">
        <v>497</v>
      </c>
      <c r="O267" s="13" t="s">
        <v>28</v>
      </c>
      <c r="P267" s="13" t="s">
        <v>29</v>
      </c>
      <c r="Q267" s="13" t="s">
        <v>30</v>
      </c>
      <c r="R267" s="11" t="b">
        <v>0</v>
      </c>
      <c r="S267" s="11" t="s">
        <v>31</v>
      </c>
      <c r="T267" s="13" t="s">
        <v>49</v>
      </c>
      <c r="U267" s="13" t="s">
        <v>50</v>
      </c>
      <c r="V267" s="13" t="s">
        <v>51</v>
      </c>
      <c r="W267" s="13" t="s">
        <v>35</v>
      </c>
      <c r="X267" s="14">
        <v>45525.86259965278</v>
      </c>
      <c r="Y267" s="14">
        <v>45525.86259965278</v>
      </c>
      <c r="Z267" s="13"/>
      <c r="AA267" s="13"/>
    </row>
    <row r="268" ht="15.75" customHeight="1">
      <c r="A268" s="11" t="str">
        <f>HYPERLINK("https://portal.hubmapconsortium.org/browse/sample/97e464bf5d81cd958026886d012be43f", "HBM278.TXBC.735")</f>
        <v>HBM278.TXBC.735</v>
      </c>
      <c r="B268" s="12"/>
      <c r="C268" s="13" t="s">
        <v>413</v>
      </c>
      <c r="D268" s="12" t="s">
        <v>25</v>
      </c>
      <c r="E268" s="7" t="s">
        <v>44</v>
      </c>
      <c r="F268" s="13" t="s">
        <v>427</v>
      </c>
      <c r="G268" s="11" t="b">
        <v>0</v>
      </c>
      <c r="H268" s="11" t="str">
        <f t="shared" si="23"/>
        <v>HBM346.FQHN.263</v>
      </c>
      <c r="I268" s="13" t="s">
        <v>498</v>
      </c>
      <c r="J268" s="13"/>
      <c r="K268" s="13"/>
      <c r="L268" s="13"/>
      <c r="M268" s="13"/>
      <c r="N268" s="13" t="s">
        <v>499</v>
      </c>
      <c r="O268" s="13" t="s">
        <v>28</v>
      </c>
      <c r="P268" s="13" t="s">
        <v>29</v>
      </c>
      <c r="Q268" s="13" t="s">
        <v>30</v>
      </c>
      <c r="R268" s="11" t="b">
        <v>0</v>
      </c>
      <c r="S268" s="11" t="s">
        <v>31</v>
      </c>
      <c r="T268" s="13" t="s">
        <v>32</v>
      </c>
      <c r="U268" s="13" t="s">
        <v>50</v>
      </c>
      <c r="V268" s="13" t="s">
        <v>51</v>
      </c>
      <c r="W268" s="13" t="s">
        <v>35</v>
      </c>
      <c r="X268" s="14">
        <v>45525.86261626158</v>
      </c>
      <c r="Y268" s="14">
        <v>45525.86261626158</v>
      </c>
      <c r="Z268" s="13"/>
      <c r="AA268" s="13"/>
    </row>
    <row r="269" ht="15.75" customHeight="1">
      <c r="A269" s="11" t="str">
        <f>HYPERLINK("https://portal.hubmapconsortium.org/browse/sample/d3923c07f10d56fe7f0abfb28493f38d", "HBM972.KNVG.942")</f>
        <v>HBM972.KNVG.942</v>
      </c>
      <c r="B269" s="12"/>
      <c r="C269" s="13" t="s">
        <v>413</v>
      </c>
      <c r="D269" s="12" t="s">
        <v>25</v>
      </c>
      <c r="E269" s="7" t="s">
        <v>44</v>
      </c>
      <c r="F269" s="13" t="s">
        <v>427</v>
      </c>
      <c r="G269" s="11" t="b">
        <v>0</v>
      </c>
      <c r="H269" s="11" t="str">
        <f t="shared" si="23"/>
        <v>HBM346.FQHN.263</v>
      </c>
      <c r="I269" s="13" t="s">
        <v>500</v>
      </c>
      <c r="J269" s="13"/>
      <c r="K269" s="13"/>
      <c r="L269" s="13"/>
      <c r="M269" s="13"/>
      <c r="N269" s="13" t="s">
        <v>501</v>
      </c>
      <c r="O269" s="13" t="s">
        <v>28</v>
      </c>
      <c r="P269" s="13" t="s">
        <v>29</v>
      </c>
      <c r="Q269" s="13" t="s">
        <v>30</v>
      </c>
      <c r="R269" s="11" t="b">
        <v>0</v>
      </c>
      <c r="S269" s="11" t="s">
        <v>31</v>
      </c>
      <c r="T269" s="13" t="s">
        <v>49</v>
      </c>
      <c r="U269" s="13" t="s">
        <v>50</v>
      </c>
      <c r="V269" s="13" t="s">
        <v>51</v>
      </c>
      <c r="W269" s="13" t="s">
        <v>35</v>
      </c>
      <c r="X269" s="14">
        <v>45525.86263179398</v>
      </c>
      <c r="Y269" s="14">
        <v>45525.86263179398</v>
      </c>
      <c r="Z269" s="13"/>
      <c r="AA269" s="13"/>
    </row>
    <row r="270" ht="15.75" customHeight="1">
      <c r="A270" s="11" t="str">
        <f>HYPERLINK("https://portal.hubmapconsortium.org/browse/sample/8930b53e62e5df172e92c3b19f3e6c8d", "HBM757.BPQX.328")</f>
        <v>HBM757.BPQX.328</v>
      </c>
      <c r="B270" s="12"/>
      <c r="C270" s="13" t="s">
        <v>413</v>
      </c>
      <c r="D270" s="12" t="s">
        <v>25</v>
      </c>
      <c r="E270" s="7" t="s">
        <v>44</v>
      </c>
      <c r="F270" s="13" t="s">
        <v>427</v>
      </c>
      <c r="G270" s="11" t="b">
        <v>0</v>
      </c>
      <c r="H270" s="11" t="str">
        <f t="shared" si="23"/>
        <v>HBM346.FQHN.263</v>
      </c>
      <c r="I270" s="13" t="s">
        <v>502</v>
      </c>
      <c r="J270" s="13"/>
      <c r="K270" s="13"/>
      <c r="L270" s="13"/>
      <c r="M270" s="13"/>
      <c r="N270" s="13" t="s">
        <v>503</v>
      </c>
      <c r="O270" s="13" t="s">
        <v>28</v>
      </c>
      <c r="P270" s="13" t="s">
        <v>29</v>
      </c>
      <c r="Q270" s="13" t="s">
        <v>30</v>
      </c>
      <c r="R270" s="11" t="b">
        <v>0</v>
      </c>
      <c r="S270" s="11" t="s">
        <v>31</v>
      </c>
      <c r="T270" s="13" t="s">
        <v>49</v>
      </c>
      <c r="U270" s="13" t="s">
        <v>50</v>
      </c>
      <c r="V270" s="13" t="s">
        <v>51</v>
      </c>
      <c r="W270" s="13" t="s">
        <v>35</v>
      </c>
      <c r="X270" s="14">
        <v>45525.86264648148</v>
      </c>
      <c r="Y270" s="14">
        <v>45525.86264648148</v>
      </c>
      <c r="Z270" s="13"/>
      <c r="AA270" s="13"/>
    </row>
    <row r="271" ht="15.75" customHeight="1">
      <c r="A271" s="11" t="str">
        <f>HYPERLINK("https://portal.hubmapconsortium.org/browse/sample/d5631e1ef643fa91c37aef14c4b1af2a", "HBM698.WDQF.956")</f>
        <v>HBM698.WDQF.956</v>
      </c>
      <c r="B271" s="12"/>
      <c r="C271" s="13" t="s">
        <v>413</v>
      </c>
      <c r="D271" s="12" t="s">
        <v>25</v>
      </c>
      <c r="E271" s="7" t="s">
        <v>44</v>
      </c>
      <c r="F271" s="13" t="s">
        <v>427</v>
      </c>
      <c r="G271" s="11" t="b">
        <v>0</v>
      </c>
      <c r="H271" s="11" t="str">
        <f t="shared" si="23"/>
        <v>HBM346.FQHN.263</v>
      </c>
      <c r="I271" s="13" t="s">
        <v>504</v>
      </c>
      <c r="J271" s="13"/>
      <c r="K271" s="13"/>
      <c r="L271" s="13"/>
      <c r="M271" s="13"/>
      <c r="N271" s="13" t="s">
        <v>505</v>
      </c>
      <c r="O271" s="13" t="s">
        <v>28</v>
      </c>
      <c r="P271" s="13" t="s">
        <v>29</v>
      </c>
      <c r="Q271" s="13" t="s">
        <v>30</v>
      </c>
      <c r="R271" s="11" t="b">
        <v>0</v>
      </c>
      <c r="S271" s="11" t="s">
        <v>31</v>
      </c>
      <c r="T271" s="13" t="s">
        <v>49</v>
      </c>
      <c r="U271" s="13" t="s">
        <v>50</v>
      </c>
      <c r="V271" s="13" t="s">
        <v>51</v>
      </c>
      <c r="W271" s="13" t="s">
        <v>35</v>
      </c>
      <c r="X271" s="14">
        <v>45525.86266331019</v>
      </c>
      <c r="Y271" s="14">
        <v>45525.86266331019</v>
      </c>
      <c r="Z271" s="13"/>
      <c r="AA271" s="13"/>
    </row>
    <row r="272" ht="15.75" customHeight="1">
      <c r="A272" s="11" t="str">
        <f>HYPERLINK("https://portal.hubmapconsortium.org/browse/sample/ab0315ceb502a4f1e679620f0b7e80e2", "HBM632.FZQV.254")</f>
        <v>HBM632.FZQV.254</v>
      </c>
      <c r="B272" s="12"/>
      <c r="C272" s="13" t="s">
        <v>413</v>
      </c>
      <c r="D272" s="12" t="s">
        <v>25</v>
      </c>
      <c r="E272" s="7" t="s">
        <v>44</v>
      </c>
      <c r="F272" s="13" t="s">
        <v>427</v>
      </c>
      <c r="G272" s="11" t="b">
        <v>0</v>
      </c>
      <c r="H272" s="11" t="str">
        <f t="shared" si="23"/>
        <v>HBM346.FQHN.263</v>
      </c>
      <c r="I272" s="13" t="s">
        <v>506</v>
      </c>
      <c r="J272" s="13"/>
      <c r="K272" s="13"/>
      <c r="L272" s="13"/>
      <c r="M272" s="13"/>
      <c r="N272" s="13" t="s">
        <v>507</v>
      </c>
      <c r="O272" s="13" t="s">
        <v>28</v>
      </c>
      <c r="P272" s="13" t="s">
        <v>29</v>
      </c>
      <c r="Q272" s="13" t="s">
        <v>30</v>
      </c>
      <c r="R272" s="11" t="b">
        <v>0</v>
      </c>
      <c r="S272" s="11" t="s">
        <v>31</v>
      </c>
      <c r="T272" s="13" t="s">
        <v>32</v>
      </c>
      <c r="U272" s="13" t="s">
        <v>50</v>
      </c>
      <c r="V272" s="13" t="s">
        <v>51</v>
      </c>
      <c r="W272" s="13" t="s">
        <v>35</v>
      </c>
      <c r="X272" s="14">
        <v>45525.86267730324</v>
      </c>
      <c r="Y272" s="14">
        <v>45525.86267730324</v>
      </c>
      <c r="Z272" s="13"/>
      <c r="AA272" s="13"/>
    </row>
    <row r="273" ht="15.75" customHeight="1">
      <c r="A273" s="11" t="str">
        <f>HYPERLINK("https://portal.hubmapconsortium.org/browse/sample/4f8008e57011ca6ae9d636dd8d26cc2c", "HBM389.NGSC.975")</f>
        <v>HBM389.NGSC.975</v>
      </c>
      <c r="B273" s="12"/>
      <c r="C273" s="13" t="s">
        <v>413</v>
      </c>
      <c r="D273" s="12" t="s">
        <v>25</v>
      </c>
      <c r="E273" s="7" t="s">
        <v>44</v>
      </c>
      <c r="F273" s="13" t="s">
        <v>427</v>
      </c>
      <c r="G273" s="11" t="b">
        <v>0</v>
      </c>
      <c r="H273" s="11" t="str">
        <f t="shared" si="23"/>
        <v>HBM346.FQHN.263</v>
      </c>
      <c r="I273" s="13" t="s">
        <v>508</v>
      </c>
      <c r="J273" s="13"/>
      <c r="K273" s="13"/>
      <c r="L273" s="13"/>
      <c r="M273" s="13"/>
      <c r="N273" s="13" t="s">
        <v>477</v>
      </c>
      <c r="O273" s="13" t="s">
        <v>28</v>
      </c>
      <c r="P273" s="13" t="s">
        <v>29</v>
      </c>
      <c r="Q273" s="13" t="s">
        <v>30</v>
      </c>
      <c r="R273" s="11" t="b">
        <v>0</v>
      </c>
      <c r="S273" s="11" t="s">
        <v>31</v>
      </c>
      <c r="T273" s="13" t="s">
        <v>49</v>
      </c>
      <c r="U273" s="13" t="s">
        <v>50</v>
      </c>
      <c r="V273" s="13" t="s">
        <v>51</v>
      </c>
      <c r="W273" s="13" t="s">
        <v>35</v>
      </c>
      <c r="X273" s="14">
        <v>45525.86269134259</v>
      </c>
      <c r="Y273" s="14">
        <v>45525.86269134259</v>
      </c>
      <c r="Z273" s="13"/>
      <c r="AA273" s="13"/>
    </row>
    <row r="274" ht="15.75" customHeight="1">
      <c r="A274" s="11" t="str">
        <f>HYPERLINK("https://portal.hubmapconsortium.org/browse/sample/7b004dcf148a2738caa9587106d99eca", "HBM668.CMGP.298")</f>
        <v>HBM668.CMGP.298</v>
      </c>
      <c r="B274" s="12"/>
      <c r="C274" s="13" t="s">
        <v>413</v>
      </c>
      <c r="D274" s="12" t="s">
        <v>25</v>
      </c>
      <c r="E274" s="7" t="s">
        <v>44</v>
      </c>
      <c r="F274" s="13" t="s">
        <v>427</v>
      </c>
      <c r="G274" s="11" t="b">
        <v>0</v>
      </c>
      <c r="H274" s="11" t="str">
        <f t="shared" si="23"/>
        <v>HBM346.FQHN.263</v>
      </c>
      <c r="I274" s="13" t="s">
        <v>509</v>
      </c>
      <c r="J274" s="13"/>
      <c r="K274" s="13"/>
      <c r="L274" s="13"/>
      <c r="M274" s="13"/>
      <c r="N274" s="13" t="s">
        <v>479</v>
      </c>
      <c r="O274" s="13" t="s">
        <v>28</v>
      </c>
      <c r="P274" s="13" t="s">
        <v>29</v>
      </c>
      <c r="Q274" s="13" t="s">
        <v>30</v>
      </c>
      <c r="R274" s="11" t="b">
        <v>0</v>
      </c>
      <c r="S274" s="11" t="s">
        <v>31</v>
      </c>
      <c r="T274" s="13" t="s">
        <v>49</v>
      </c>
      <c r="U274" s="13" t="s">
        <v>50</v>
      </c>
      <c r="V274" s="13" t="s">
        <v>51</v>
      </c>
      <c r="W274" s="13" t="s">
        <v>35</v>
      </c>
      <c r="X274" s="14">
        <v>45525.86270696759</v>
      </c>
      <c r="Y274" s="14">
        <v>45525.86270696759</v>
      </c>
      <c r="Z274" s="13"/>
      <c r="AA274" s="13"/>
    </row>
    <row r="275" ht="15.75" customHeight="1">
      <c r="A275" s="11" t="str">
        <f>HYPERLINK("https://portal.hubmapconsortium.org/browse/sample/7d12fd946764d321001dc3e42b3005bc", "HBM887.WWSS.927")</f>
        <v>HBM887.WWSS.927</v>
      </c>
      <c r="B275" s="12"/>
      <c r="C275" s="13" t="s">
        <v>413</v>
      </c>
      <c r="D275" s="12" t="s">
        <v>25</v>
      </c>
      <c r="E275" s="7" t="s">
        <v>44</v>
      </c>
      <c r="F275" s="13" t="s">
        <v>427</v>
      </c>
      <c r="G275" s="11" t="b">
        <v>0</v>
      </c>
      <c r="H275" s="11" t="str">
        <f t="shared" si="23"/>
        <v>HBM346.FQHN.263</v>
      </c>
      <c r="I275" s="13" t="s">
        <v>510</v>
      </c>
      <c r="J275" s="13"/>
      <c r="K275" s="13"/>
      <c r="L275" s="13"/>
      <c r="M275" s="13"/>
      <c r="N275" s="13" t="s">
        <v>481</v>
      </c>
      <c r="O275" s="13" t="s">
        <v>28</v>
      </c>
      <c r="P275" s="13" t="s">
        <v>29</v>
      </c>
      <c r="Q275" s="13" t="s">
        <v>30</v>
      </c>
      <c r="R275" s="11" t="b">
        <v>0</v>
      </c>
      <c r="S275" s="11" t="s">
        <v>31</v>
      </c>
      <c r="T275" s="13" t="s">
        <v>49</v>
      </c>
      <c r="U275" s="13" t="s">
        <v>50</v>
      </c>
      <c r="V275" s="13" t="s">
        <v>51</v>
      </c>
      <c r="W275" s="13" t="s">
        <v>35</v>
      </c>
      <c r="X275" s="14">
        <v>45525.86272159722</v>
      </c>
      <c r="Y275" s="14">
        <v>45525.86272159722</v>
      </c>
      <c r="Z275" s="13"/>
      <c r="AA275" s="13"/>
    </row>
    <row r="276" ht="15.75" customHeight="1">
      <c r="A276" s="11" t="str">
        <f>HYPERLINK("https://portal.hubmapconsortium.org/browse/sample/1e5fcf755e7020baf1bf6e1699558af6", "HBM336.VSWC.334")</f>
        <v>HBM336.VSWC.334</v>
      </c>
      <c r="B276" s="12"/>
      <c r="C276" s="13" t="s">
        <v>413</v>
      </c>
      <c r="D276" s="12" t="s">
        <v>25</v>
      </c>
      <c r="E276" s="7" t="s">
        <v>44</v>
      </c>
      <c r="F276" s="13" t="s">
        <v>427</v>
      </c>
      <c r="G276" s="11" t="b">
        <v>0</v>
      </c>
      <c r="H276" s="11" t="str">
        <f t="shared" si="23"/>
        <v>HBM346.FQHN.263</v>
      </c>
      <c r="I276" s="13" t="s">
        <v>511</v>
      </c>
      <c r="J276" s="13"/>
      <c r="K276" s="13"/>
      <c r="L276" s="13"/>
      <c r="M276" s="13"/>
      <c r="N276" s="13" t="s">
        <v>483</v>
      </c>
      <c r="O276" s="13" t="s">
        <v>28</v>
      </c>
      <c r="P276" s="13" t="s">
        <v>29</v>
      </c>
      <c r="Q276" s="13" t="s">
        <v>30</v>
      </c>
      <c r="R276" s="11" t="b">
        <v>0</v>
      </c>
      <c r="S276" s="11" t="s">
        <v>31</v>
      </c>
      <c r="T276" s="13" t="s">
        <v>32</v>
      </c>
      <c r="U276" s="13" t="s">
        <v>50</v>
      </c>
      <c r="V276" s="13" t="s">
        <v>51</v>
      </c>
      <c r="W276" s="13" t="s">
        <v>35</v>
      </c>
      <c r="X276" s="14">
        <v>45525.86273686343</v>
      </c>
      <c r="Y276" s="14">
        <v>45525.86273686343</v>
      </c>
      <c r="Z276" s="13"/>
      <c r="AA276" s="13"/>
    </row>
    <row r="277" ht="15.75" customHeight="1">
      <c r="A277" s="11" t="str">
        <f>HYPERLINK("https://portal.hubmapconsortium.org/browse/sample/0e3adca918f7d1dc7c003979ce5f1e82", "HBM947.FGLW.954")</f>
        <v>HBM947.FGLW.954</v>
      </c>
      <c r="B277" s="12"/>
      <c r="C277" s="13" t="s">
        <v>413</v>
      </c>
      <c r="D277" s="12" t="s">
        <v>25</v>
      </c>
      <c r="E277" s="7" t="s">
        <v>44</v>
      </c>
      <c r="F277" s="13" t="s">
        <v>427</v>
      </c>
      <c r="G277" s="11" t="b">
        <v>0</v>
      </c>
      <c r="H277" s="11" t="str">
        <f t="shared" si="23"/>
        <v>HBM346.FQHN.263</v>
      </c>
      <c r="I277" s="13" t="s">
        <v>512</v>
      </c>
      <c r="J277" s="13"/>
      <c r="K277" s="13"/>
      <c r="L277" s="13"/>
      <c r="M277" s="13"/>
      <c r="N277" s="13" t="s">
        <v>485</v>
      </c>
      <c r="O277" s="13" t="s">
        <v>28</v>
      </c>
      <c r="P277" s="13" t="s">
        <v>29</v>
      </c>
      <c r="Q277" s="13" t="s">
        <v>30</v>
      </c>
      <c r="R277" s="11" t="b">
        <v>0</v>
      </c>
      <c r="S277" s="11" t="s">
        <v>31</v>
      </c>
      <c r="T277" s="13" t="s">
        <v>49</v>
      </c>
      <c r="U277" s="13" t="s">
        <v>50</v>
      </c>
      <c r="V277" s="13" t="s">
        <v>51</v>
      </c>
      <c r="W277" s="13" t="s">
        <v>35</v>
      </c>
      <c r="X277" s="14">
        <v>45525.86275131944</v>
      </c>
      <c r="Y277" s="14">
        <v>45525.86275131944</v>
      </c>
      <c r="Z277" s="13"/>
      <c r="AA277" s="13"/>
    </row>
    <row r="278" ht="15.75" customHeight="1">
      <c r="A278" s="11" t="str">
        <f>HYPERLINK("https://portal.hubmapconsortium.org/browse/sample/5a8ca0505264257403c90b19813254fc", "HBM378.QJTZ.669")</f>
        <v>HBM378.QJTZ.669</v>
      </c>
      <c r="B278" s="12"/>
      <c r="C278" s="13" t="s">
        <v>413</v>
      </c>
      <c r="D278" s="12" t="s">
        <v>25</v>
      </c>
      <c r="E278" s="7" t="s">
        <v>44</v>
      </c>
      <c r="F278" s="13" t="s">
        <v>427</v>
      </c>
      <c r="G278" s="11" t="b">
        <v>0</v>
      </c>
      <c r="H278" s="11" t="str">
        <f t="shared" si="23"/>
        <v>HBM346.FQHN.263</v>
      </c>
      <c r="I278" s="13" t="s">
        <v>513</v>
      </c>
      <c r="J278" s="13"/>
      <c r="K278" s="13"/>
      <c r="L278" s="13"/>
      <c r="M278" s="13"/>
      <c r="N278" s="13" t="s">
        <v>487</v>
      </c>
      <c r="O278" s="13" t="s">
        <v>28</v>
      </c>
      <c r="P278" s="13" t="s">
        <v>29</v>
      </c>
      <c r="Q278" s="13" t="s">
        <v>30</v>
      </c>
      <c r="R278" s="11" t="b">
        <v>0</v>
      </c>
      <c r="S278" s="11" t="s">
        <v>31</v>
      </c>
      <c r="T278" s="13" t="s">
        <v>49</v>
      </c>
      <c r="U278" s="13" t="s">
        <v>50</v>
      </c>
      <c r="V278" s="13" t="s">
        <v>51</v>
      </c>
      <c r="W278" s="13" t="s">
        <v>35</v>
      </c>
      <c r="X278" s="14">
        <v>45525.8627658912</v>
      </c>
      <c r="Y278" s="14">
        <v>45525.8627658912</v>
      </c>
      <c r="Z278" s="13"/>
      <c r="AA278" s="13"/>
    </row>
    <row r="279" ht="15.75" customHeight="1">
      <c r="A279" s="11" t="str">
        <f>HYPERLINK("https://portal.hubmapconsortium.org/browse/sample/5554643e5a9c37a6bb8dd3839df15390", "HBM976.TVDQ.854")</f>
        <v>HBM976.TVDQ.854</v>
      </c>
      <c r="B279" s="12"/>
      <c r="C279" s="13" t="s">
        <v>413</v>
      </c>
      <c r="D279" s="12" t="s">
        <v>25</v>
      </c>
      <c r="E279" s="7" t="s">
        <v>44</v>
      </c>
      <c r="F279" s="13" t="s">
        <v>427</v>
      </c>
      <c r="G279" s="11" t="b">
        <v>0</v>
      </c>
      <c r="H279" s="11" t="str">
        <f t="shared" si="23"/>
        <v>HBM346.FQHN.263</v>
      </c>
      <c r="I279" s="13" t="s">
        <v>514</v>
      </c>
      <c r="J279" s="13"/>
      <c r="K279" s="13"/>
      <c r="L279" s="13"/>
      <c r="M279" s="13"/>
      <c r="N279" s="13" t="s">
        <v>489</v>
      </c>
      <c r="O279" s="13" t="s">
        <v>28</v>
      </c>
      <c r="P279" s="13" t="s">
        <v>29</v>
      </c>
      <c r="Q279" s="13" t="s">
        <v>30</v>
      </c>
      <c r="R279" s="11" t="b">
        <v>0</v>
      </c>
      <c r="S279" s="11" t="s">
        <v>31</v>
      </c>
      <c r="T279" s="13" t="s">
        <v>49</v>
      </c>
      <c r="U279" s="13" t="s">
        <v>50</v>
      </c>
      <c r="V279" s="13" t="s">
        <v>51</v>
      </c>
      <c r="W279" s="13" t="s">
        <v>35</v>
      </c>
      <c r="X279" s="14">
        <v>45525.86278186343</v>
      </c>
      <c r="Y279" s="14">
        <v>45525.86278186343</v>
      </c>
      <c r="Z279" s="13"/>
      <c r="AA279" s="13"/>
    </row>
    <row r="280" ht="15.75" customHeight="1">
      <c r="A280" s="11" t="str">
        <f>HYPERLINK("https://portal.hubmapconsortium.org/browse/sample/e4303392e3d25cb9dc31a80c18313322", "HBM322.DVSQ.546")</f>
        <v>HBM322.DVSQ.546</v>
      </c>
      <c r="B280" s="12"/>
      <c r="C280" s="13" t="s">
        <v>413</v>
      </c>
      <c r="D280" s="12" t="s">
        <v>25</v>
      </c>
      <c r="E280" s="7" t="s">
        <v>44</v>
      </c>
      <c r="F280" s="13" t="s">
        <v>427</v>
      </c>
      <c r="G280" s="11" t="b">
        <v>0</v>
      </c>
      <c r="H280" s="11" t="str">
        <f t="shared" si="23"/>
        <v>HBM346.FQHN.263</v>
      </c>
      <c r="I280" s="13" t="s">
        <v>515</v>
      </c>
      <c r="J280" s="13"/>
      <c r="K280" s="13"/>
      <c r="L280" s="13"/>
      <c r="M280" s="13"/>
      <c r="N280" s="13" t="s">
        <v>491</v>
      </c>
      <c r="O280" s="13" t="s">
        <v>28</v>
      </c>
      <c r="P280" s="13" t="s">
        <v>29</v>
      </c>
      <c r="Q280" s="13" t="s">
        <v>30</v>
      </c>
      <c r="R280" s="11" t="b">
        <v>0</v>
      </c>
      <c r="S280" s="11" t="s">
        <v>31</v>
      </c>
      <c r="T280" s="13" t="s">
        <v>32</v>
      </c>
      <c r="U280" s="13" t="s">
        <v>50</v>
      </c>
      <c r="V280" s="13" t="s">
        <v>51</v>
      </c>
      <c r="W280" s="13" t="s">
        <v>35</v>
      </c>
      <c r="X280" s="14">
        <v>45525.86279616898</v>
      </c>
      <c r="Y280" s="14">
        <v>45525.86279616898</v>
      </c>
      <c r="Z280" s="13"/>
      <c r="AA280" s="13"/>
    </row>
    <row r="281" ht="15.75" customHeight="1">
      <c r="A281" s="11" t="str">
        <f>HYPERLINK("https://portal.hubmapconsortium.org/browse/sample/e0902efe2ca7c297ee568e6e58268f2c", "HBM838.DSBC.869")</f>
        <v>HBM838.DSBC.869</v>
      </c>
      <c r="B281" s="12"/>
      <c r="C281" s="13" t="s">
        <v>413</v>
      </c>
      <c r="D281" s="12" t="s">
        <v>25</v>
      </c>
      <c r="E281" s="7" t="s">
        <v>44</v>
      </c>
      <c r="F281" s="13" t="s">
        <v>427</v>
      </c>
      <c r="G281" s="11" t="b">
        <v>0</v>
      </c>
      <c r="H281" s="11" t="str">
        <f t="shared" si="23"/>
        <v>HBM346.FQHN.263</v>
      </c>
      <c r="I281" s="13" t="s">
        <v>516</v>
      </c>
      <c r="J281" s="13"/>
      <c r="K281" s="13"/>
      <c r="L281" s="13"/>
      <c r="M281" s="13"/>
      <c r="N281" s="13" t="s">
        <v>493</v>
      </c>
      <c r="O281" s="13" t="s">
        <v>28</v>
      </c>
      <c r="P281" s="13" t="s">
        <v>29</v>
      </c>
      <c r="Q281" s="13" t="s">
        <v>30</v>
      </c>
      <c r="R281" s="11" t="b">
        <v>0</v>
      </c>
      <c r="S281" s="11" t="s">
        <v>31</v>
      </c>
      <c r="T281" s="13" t="s">
        <v>49</v>
      </c>
      <c r="U281" s="13" t="s">
        <v>50</v>
      </c>
      <c r="V281" s="13" t="s">
        <v>51</v>
      </c>
      <c r="W281" s="13" t="s">
        <v>35</v>
      </c>
      <c r="X281" s="14">
        <v>45525.86281135416</v>
      </c>
      <c r="Y281" s="14">
        <v>45525.86281135416</v>
      </c>
      <c r="Z281" s="13"/>
      <c r="AA281" s="13"/>
    </row>
    <row r="282" ht="15.75" customHeight="1">
      <c r="A282" s="11" t="str">
        <f>HYPERLINK("https://portal.hubmapconsortium.org/browse/sample/c6648612006af36390855cce2f3220cc", "HBM645.TVFK.956")</f>
        <v>HBM645.TVFK.956</v>
      </c>
      <c r="B282" s="12"/>
      <c r="C282" s="13" t="s">
        <v>413</v>
      </c>
      <c r="D282" s="12" t="s">
        <v>25</v>
      </c>
      <c r="E282" s="7" t="s">
        <v>44</v>
      </c>
      <c r="F282" s="13" t="s">
        <v>427</v>
      </c>
      <c r="G282" s="11" t="b">
        <v>0</v>
      </c>
      <c r="H282" s="11" t="str">
        <f t="shared" si="23"/>
        <v>HBM346.FQHN.263</v>
      </c>
      <c r="I282" s="13" t="s">
        <v>517</v>
      </c>
      <c r="J282" s="13"/>
      <c r="K282" s="13"/>
      <c r="L282" s="13"/>
      <c r="M282" s="13"/>
      <c r="N282" s="13" t="s">
        <v>495</v>
      </c>
      <c r="O282" s="13" t="s">
        <v>28</v>
      </c>
      <c r="P282" s="13" t="s">
        <v>29</v>
      </c>
      <c r="Q282" s="13" t="s">
        <v>30</v>
      </c>
      <c r="R282" s="11" t="b">
        <v>0</v>
      </c>
      <c r="S282" s="11" t="s">
        <v>31</v>
      </c>
      <c r="T282" s="13" t="s">
        <v>49</v>
      </c>
      <c r="U282" s="13" t="s">
        <v>50</v>
      </c>
      <c r="V282" s="13" t="s">
        <v>51</v>
      </c>
      <c r="W282" s="13" t="s">
        <v>35</v>
      </c>
      <c r="X282" s="14">
        <v>45525.8628262963</v>
      </c>
      <c r="Y282" s="14">
        <v>45525.8628262963</v>
      </c>
      <c r="Z282" s="13"/>
      <c r="AA282" s="13"/>
    </row>
    <row r="283" ht="15.75" customHeight="1">
      <c r="A283" s="11" t="str">
        <f>HYPERLINK("https://portal.hubmapconsortium.org/browse/sample/d1af776b3f262477d7c6ae64133f7093", "HBM989.FFXK.849")</f>
        <v>HBM989.FFXK.849</v>
      </c>
      <c r="B283" s="12"/>
      <c r="C283" s="13" t="s">
        <v>413</v>
      </c>
      <c r="D283" s="12" t="s">
        <v>25</v>
      </c>
      <c r="E283" s="7" t="s">
        <v>44</v>
      </c>
      <c r="F283" s="13" t="s">
        <v>427</v>
      </c>
      <c r="G283" s="11" t="b">
        <v>0</v>
      </c>
      <c r="H283" s="11" t="str">
        <f t="shared" si="23"/>
        <v>HBM346.FQHN.263</v>
      </c>
      <c r="I283" s="13" t="s">
        <v>518</v>
      </c>
      <c r="J283" s="13"/>
      <c r="K283" s="13"/>
      <c r="L283" s="13"/>
      <c r="M283" s="13"/>
      <c r="N283" s="13" t="s">
        <v>497</v>
      </c>
      <c r="O283" s="13" t="s">
        <v>28</v>
      </c>
      <c r="P283" s="13" t="s">
        <v>29</v>
      </c>
      <c r="Q283" s="13" t="s">
        <v>30</v>
      </c>
      <c r="R283" s="11" t="b">
        <v>0</v>
      </c>
      <c r="S283" s="11" t="s">
        <v>31</v>
      </c>
      <c r="T283" s="13" t="s">
        <v>49</v>
      </c>
      <c r="U283" s="13" t="s">
        <v>50</v>
      </c>
      <c r="V283" s="13" t="s">
        <v>51</v>
      </c>
      <c r="W283" s="13" t="s">
        <v>35</v>
      </c>
      <c r="X283" s="14">
        <v>45525.86284078703</v>
      </c>
      <c r="Y283" s="14">
        <v>45525.86284078703</v>
      </c>
      <c r="Z283" s="13"/>
      <c r="AA283" s="13"/>
    </row>
    <row r="284" ht="15.75" customHeight="1">
      <c r="A284" s="11" t="str">
        <f>HYPERLINK("https://portal.hubmapconsortium.org/browse/sample/384645539bd17c181e6cddd390c56552", "HBM734.RCCN.968")</f>
        <v>HBM734.RCCN.968</v>
      </c>
      <c r="B284" s="12"/>
      <c r="C284" s="13" t="s">
        <v>413</v>
      </c>
      <c r="D284" s="12" t="s">
        <v>25</v>
      </c>
      <c r="E284" s="7" t="s">
        <v>44</v>
      </c>
      <c r="F284" s="13" t="s">
        <v>427</v>
      </c>
      <c r="G284" s="11" t="b">
        <v>0</v>
      </c>
      <c r="H284" s="11" t="str">
        <f t="shared" si="23"/>
        <v>HBM346.FQHN.263</v>
      </c>
      <c r="I284" s="13" t="s">
        <v>519</v>
      </c>
      <c r="J284" s="13"/>
      <c r="K284" s="13"/>
      <c r="L284" s="13"/>
      <c r="M284" s="13"/>
      <c r="N284" s="13" t="s">
        <v>499</v>
      </c>
      <c r="O284" s="13" t="s">
        <v>28</v>
      </c>
      <c r="P284" s="13" t="s">
        <v>29</v>
      </c>
      <c r="Q284" s="13" t="s">
        <v>30</v>
      </c>
      <c r="R284" s="11" t="b">
        <v>0</v>
      </c>
      <c r="S284" s="11" t="s">
        <v>31</v>
      </c>
      <c r="T284" s="13" t="s">
        <v>32</v>
      </c>
      <c r="U284" s="13" t="s">
        <v>50</v>
      </c>
      <c r="V284" s="13" t="s">
        <v>51</v>
      </c>
      <c r="W284" s="13" t="s">
        <v>35</v>
      </c>
      <c r="X284" s="14">
        <v>45525.86285825232</v>
      </c>
      <c r="Y284" s="14">
        <v>45525.86285825232</v>
      </c>
      <c r="Z284" s="13"/>
      <c r="AA284" s="13"/>
    </row>
    <row r="285" ht="15.75" customHeight="1">
      <c r="A285" s="11" t="str">
        <f>HYPERLINK("https://portal.hubmapconsortium.org/browse/sample/4d5e930f024b6f1e46e6358dce374d56", "HBM624.LRHN.453")</f>
        <v>HBM624.LRHN.453</v>
      </c>
      <c r="B285" s="12"/>
      <c r="C285" s="13" t="s">
        <v>413</v>
      </c>
      <c r="D285" s="12" t="s">
        <v>25</v>
      </c>
      <c r="E285" s="7" t="s">
        <v>44</v>
      </c>
      <c r="F285" s="13" t="s">
        <v>427</v>
      </c>
      <c r="G285" s="11" t="b">
        <v>0</v>
      </c>
      <c r="H285" s="11" t="str">
        <f t="shared" si="23"/>
        <v>HBM346.FQHN.263</v>
      </c>
      <c r="I285" s="13" t="s">
        <v>520</v>
      </c>
      <c r="J285" s="13"/>
      <c r="K285" s="13"/>
      <c r="L285" s="13"/>
      <c r="M285" s="13"/>
      <c r="N285" s="13" t="s">
        <v>501</v>
      </c>
      <c r="O285" s="13" t="s">
        <v>28</v>
      </c>
      <c r="P285" s="13" t="s">
        <v>29</v>
      </c>
      <c r="Q285" s="13" t="s">
        <v>30</v>
      </c>
      <c r="R285" s="11" t="b">
        <v>0</v>
      </c>
      <c r="S285" s="11" t="s">
        <v>31</v>
      </c>
      <c r="T285" s="13" t="s">
        <v>49</v>
      </c>
      <c r="U285" s="13" t="s">
        <v>50</v>
      </c>
      <c r="V285" s="13" t="s">
        <v>51</v>
      </c>
      <c r="W285" s="13" t="s">
        <v>35</v>
      </c>
      <c r="X285" s="14">
        <v>45525.86287384259</v>
      </c>
      <c r="Y285" s="14">
        <v>45525.86287384259</v>
      </c>
      <c r="Z285" s="13"/>
      <c r="AA285" s="13"/>
    </row>
    <row r="286" ht="15.75" customHeight="1">
      <c r="A286" s="11" t="str">
        <f>HYPERLINK("https://portal.hubmapconsortium.org/browse/sample/75478c0b40acf1546ab78e18c9beab51", "HBM625.WMWR.747")</f>
        <v>HBM625.WMWR.747</v>
      </c>
      <c r="B286" s="12"/>
      <c r="C286" s="13" t="s">
        <v>413</v>
      </c>
      <c r="D286" s="12" t="s">
        <v>25</v>
      </c>
      <c r="E286" s="7" t="s">
        <v>44</v>
      </c>
      <c r="F286" s="13" t="s">
        <v>427</v>
      </c>
      <c r="G286" s="11" t="b">
        <v>0</v>
      </c>
      <c r="H286" s="11" t="str">
        <f t="shared" si="23"/>
        <v>HBM346.FQHN.263</v>
      </c>
      <c r="I286" s="13" t="s">
        <v>521</v>
      </c>
      <c r="J286" s="13"/>
      <c r="K286" s="13"/>
      <c r="L286" s="13"/>
      <c r="M286" s="13"/>
      <c r="N286" s="13" t="s">
        <v>503</v>
      </c>
      <c r="O286" s="13" t="s">
        <v>28</v>
      </c>
      <c r="P286" s="13" t="s">
        <v>29</v>
      </c>
      <c r="Q286" s="13" t="s">
        <v>30</v>
      </c>
      <c r="R286" s="11" t="b">
        <v>0</v>
      </c>
      <c r="S286" s="11" t="s">
        <v>31</v>
      </c>
      <c r="T286" s="13" t="s">
        <v>49</v>
      </c>
      <c r="U286" s="13" t="s">
        <v>50</v>
      </c>
      <c r="V286" s="13" t="s">
        <v>51</v>
      </c>
      <c r="W286" s="13" t="s">
        <v>35</v>
      </c>
      <c r="X286" s="14">
        <v>45525.86288851852</v>
      </c>
      <c r="Y286" s="14">
        <v>45525.86288851852</v>
      </c>
      <c r="Z286" s="13"/>
      <c r="AA286" s="13"/>
    </row>
    <row r="287" ht="15.75" customHeight="1">
      <c r="A287" s="11" t="str">
        <f>HYPERLINK("https://portal.hubmapconsortium.org/browse/sample/d3c167b2ae62f5b3f89e072452e24d0d", "HBM666.PPTZ.923")</f>
        <v>HBM666.PPTZ.923</v>
      </c>
      <c r="B287" s="12"/>
      <c r="C287" s="13" t="s">
        <v>413</v>
      </c>
      <c r="D287" s="12" t="s">
        <v>25</v>
      </c>
      <c r="E287" s="7" t="s">
        <v>44</v>
      </c>
      <c r="F287" s="13" t="s">
        <v>427</v>
      </c>
      <c r="G287" s="11" t="b">
        <v>0</v>
      </c>
      <c r="H287" s="11" t="str">
        <f t="shared" si="23"/>
        <v>HBM346.FQHN.263</v>
      </c>
      <c r="I287" s="13" t="s">
        <v>522</v>
      </c>
      <c r="J287" s="13"/>
      <c r="K287" s="13"/>
      <c r="L287" s="13"/>
      <c r="M287" s="13"/>
      <c r="N287" s="13" t="s">
        <v>505</v>
      </c>
      <c r="O287" s="13" t="s">
        <v>28</v>
      </c>
      <c r="P287" s="13" t="s">
        <v>29</v>
      </c>
      <c r="Q287" s="13" t="s">
        <v>30</v>
      </c>
      <c r="R287" s="11" t="b">
        <v>0</v>
      </c>
      <c r="S287" s="11" t="s">
        <v>31</v>
      </c>
      <c r="T287" s="13" t="s">
        <v>49</v>
      </c>
      <c r="U287" s="13" t="s">
        <v>50</v>
      </c>
      <c r="V287" s="13" t="s">
        <v>51</v>
      </c>
      <c r="W287" s="13" t="s">
        <v>35</v>
      </c>
      <c r="X287" s="14">
        <v>45525.86290300926</v>
      </c>
      <c r="Y287" s="14">
        <v>45525.86290300926</v>
      </c>
      <c r="Z287" s="13"/>
      <c r="AA287" s="13"/>
    </row>
    <row r="288" ht="15.75" customHeight="1">
      <c r="A288" s="11" t="str">
        <f>HYPERLINK("https://portal.hubmapconsortium.org/browse/sample/bfe6a2bab87767e529b742a16e2bdaf9", "HBM439.JMHH.997")</f>
        <v>HBM439.JMHH.997</v>
      </c>
      <c r="B288" s="12"/>
      <c r="C288" s="13" t="s">
        <v>413</v>
      </c>
      <c r="D288" s="12" t="s">
        <v>25</v>
      </c>
      <c r="E288" s="7" t="s">
        <v>44</v>
      </c>
      <c r="F288" s="13" t="s">
        <v>427</v>
      </c>
      <c r="G288" s="11" t="b">
        <v>0</v>
      </c>
      <c r="H288" s="11" t="str">
        <f t="shared" si="23"/>
        <v>HBM346.FQHN.263</v>
      </c>
      <c r="I288" s="13" t="s">
        <v>523</v>
      </c>
      <c r="J288" s="13"/>
      <c r="K288" s="13"/>
      <c r="L288" s="13"/>
      <c r="M288" s="13"/>
      <c r="N288" s="13" t="s">
        <v>507</v>
      </c>
      <c r="O288" s="13" t="s">
        <v>28</v>
      </c>
      <c r="P288" s="13" t="s">
        <v>29</v>
      </c>
      <c r="Q288" s="13" t="s">
        <v>30</v>
      </c>
      <c r="R288" s="11" t="b">
        <v>0</v>
      </c>
      <c r="S288" s="11" t="s">
        <v>31</v>
      </c>
      <c r="T288" s="13" t="s">
        <v>32</v>
      </c>
      <c r="U288" s="13" t="s">
        <v>50</v>
      </c>
      <c r="V288" s="13" t="s">
        <v>51</v>
      </c>
      <c r="W288" s="13" t="s">
        <v>35</v>
      </c>
      <c r="X288" s="14">
        <v>45525.86291793981</v>
      </c>
      <c r="Y288" s="14">
        <v>45525.86291793981</v>
      </c>
      <c r="Z288" s="13"/>
      <c r="AA288" s="13"/>
    </row>
    <row r="289" ht="15.75" customHeight="1">
      <c r="A289" s="5" t="str">
        <f>HYPERLINK("https://portal.hubmapconsortium.org/browse/sample/00bc747eec44be6bb67fb5f9a841f851", "HBM229.NVST.455")</f>
        <v>HBM229.NVST.455</v>
      </c>
      <c r="B289" s="6">
        <v>3.0</v>
      </c>
      <c r="C289" s="7" t="s">
        <v>413</v>
      </c>
      <c r="D289" s="12" t="s">
        <v>25</v>
      </c>
      <c r="E289" s="7" t="s">
        <v>44</v>
      </c>
      <c r="F289" s="7" t="s">
        <v>524</v>
      </c>
      <c r="G289" s="5" t="b">
        <v>0</v>
      </c>
      <c r="H289" s="5" t="str">
        <f t="shared" ref="H289:H296" si="24">HYPERLINK("https://portal.hubmapconsortium.org/browse/sample/7f7f6faf1ed24ed62109de031b99a555", "HBM876.WSJF.893")</f>
        <v>HBM876.WSJF.893</v>
      </c>
      <c r="I289" s="7" t="s">
        <v>525</v>
      </c>
      <c r="J289" s="10">
        <v>25.0</v>
      </c>
      <c r="N289" s="7" t="s">
        <v>526</v>
      </c>
      <c r="O289" s="7" t="s">
        <v>28</v>
      </c>
      <c r="P289" s="7" t="s">
        <v>29</v>
      </c>
      <c r="Q289" s="7" t="s">
        <v>30</v>
      </c>
      <c r="R289" s="5" t="b">
        <v>0</v>
      </c>
      <c r="S289" s="5" t="s">
        <v>31</v>
      </c>
      <c r="T289" s="7" t="s">
        <v>49</v>
      </c>
      <c r="U289" s="7" t="s">
        <v>50</v>
      </c>
      <c r="V289" s="7" t="s">
        <v>51</v>
      </c>
      <c r="W289" s="7" t="s">
        <v>35</v>
      </c>
      <c r="X289" s="9">
        <v>45848.84245113426</v>
      </c>
      <c r="Y289" s="9">
        <v>45848.84245113426</v>
      </c>
    </row>
    <row r="290" ht="15.75" customHeight="1">
      <c r="A290" s="5" t="str">
        <f>HYPERLINK("https://portal.hubmapconsortium.org/browse/sample/9246748c828bfb3acd9e987ff32c7ff3", "HBM239.GSPH.578")</f>
        <v>HBM239.GSPH.578</v>
      </c>
      <c r="B290" s="6">
        <v>3.0</v>
      </c>
      <c r="C290" s="7" t="s">
        <v>413</v>
      </c>
      <c r="D290" s="12" t="s">
        <v>25</v>
      </c>
      <c r="E290" s="7" t="s">
        <v>44</v>
      </c>
      <c r="F290" s="7" t="s">
        <v>524</v>
      </c>
      <c r="G290" s="5" t="b">
        <v>0</v>
      </c>
      <c r="H290" s="5" t="str">
        <f t="shared" si="24"/>
        <v>HBM876.WSJF.893</v>
      </c>
      <c r="I290" s="7" t="s">
        <v>527</v>
      </c>
      <c r="J290" s="10">
        <v>25.0</v>
      </c>
      <c r="N290" s="7" t="s">
        <v>526</v>
      </c>
      <c r="O290" s="7" t="s">
        <v>28</v>
      </c>
      <c r="P290" s="7" t="s">
        <v>29</v>
      </c>
      <c r="Q290" s="7" t="s">
        <v>30</v>
      </c>
      <c r="R290" s="5" t="b">
        <v>0</v>
      </c>
      <c r="S290" s="5" t="s">
        <v>31</v>
      </c>
      <c r="T290" s="7" t="s">
        <v>49</v>
      </c>
      <c r="U290" s="7" t="s">
        <v>50</v>
      </c>
      <c r="V290" s="7" t="s">
        <v>51</v>
      </c>
      <c r="W290" s="7" t="s">
        <v>35</v>
      </c>
      <c r="X290" s="9">
        <v>45848.84246583333</v>
      </c>
      <c r="Y290" s="9">
        <v>45848.84246583333</v>
      </c>
    </row>
    <row r="291" ht="15.75" customHeight="1">
      <c r="A291" s="5" t="str">
        <f>HYPERLINK("https://portal.hubmapconsortium.org/browse/sample/1c0797b0b9cb354d812fb7bf7d81e003", "HBM326.ZQZP.668")</f>
        <v>HBM326.ZQZP.668</v>
      </c>
      <c r="B291" s="6">
        <v>3.0</v>
      </c>
      <c r="C291" s="7" t="s">
        <v>413</v>
      </c>
      <c r="D291" s="12" t="s">
        <v>25</v>
      </c>
      <c r="E291" s="7" t="s">
        <v>44</v>
      </c>
      <c r="F291" s="7" t="s">
        <v>524</v>
      </c>
      <c r="G291" s="5" t="b">
        <v>0</v>
      </c>
      <c r="H291" s="5" t="str">
        <f t="shared" si="24"/>
        <v>HBM876.WSJF.893</v>
      </c>
      <c r="I291" s="7" t="s">
        <v>528</v>
      </c>
      <c r="J291" s="10">
        <v>25.0</v>
      </c>
      <c r="N291" s="7" t="s">
        <v>529</v>
      </c>
      <c r="O291" s="7" t="s">
        <v>28</v>
      </c>
      <c r="P291" s="7" t="s">
        <v>29</v>
      </c>
      <c r="Q291" s="7" t="s">
        <v>30</v>
      </c>
      <c r="R291" s="5" t="b">
        <v>0</v>
      </c>
      <c r="S291" s="5" t="s">
        <v>31</v>
      </c>
      <c r="T291" s="7" t="s">
        <v>49</v>
      </c>
      <c r="U291" s="7" t="s">
        <v>50</v>
      </c>
      <c r="V291" s="7" t="s">
        <v>51</v>
      </c>
      <c r="W291" s="7" t="s">
        <v>35</v>
      </c>
      <c r="X291" s="9">
        <v>45819.77854681713</v>
      </c>
      <c r="Y291" s="9">
        <v>45819.77854681713</v>
      </c>
    </row>
    <row r="292" ht="15.75" customHeight="1">
      <c r="A292" s="5" t="str">
        <f>HYPERLINK("https://portal.hubmapconsortium.org/browse/sample/0ac64586cd00faf117880a12baadd946", "HBM769.RDML.796")</f>
        <v>HBM769.RDML.796</v>
      </c>
      <c r="B292" s="6">
        <v>3.0</v>
      </c>
      <c r="C292" s="7" t="s">
        <v>413</v>
      </c>
      <c r="D292" s="12" t="s">
        <v>25</v>
      </c>
      <c r="E292" s="7" t="s">
        <v>44</v>
      </c>
      <c r="F292" s="7" t="s">
        <v>524</v>
      </c>
      <c r="G292" s="5" t="b">
        <v>0</v>
      </c>
      <c r="H292" s="5" t="str">
        <f t="shared" si="24"/>
        <v>HBM876.WSJF.893</v>
      </c>
      <c r="I292" s="7" t="s">
        <v>530</v>
      </c>
      <c r="J292" s="10">
        <v>25.0</v>
      </c>
      <c r="N292" s="7" t="s">
        <v>529</v>
      </c>
      <c r="O292" s="7" t="s">
        <v>28</v>
      </c>
      <c r="P292" s="7" t="s">
        <v>29</v>
      </c>
      <c r="Q292" s="7" t="s">
        <v>30</v>
      </c>
      <c r="R292" s="5" t="b">
        <v>0</v>
      </c>
      <c r="S292" s="5" t="s">
        <v>31</v>
      </c>
      <c r="T292" s="7" t="s">
        <v>49</v>
      </c>
      <c r="U292" s="7" t="s">
        <v>50</v>
      </c>
      <c r="V292" s="7" t="s">
        <v>51</v>
      </c>
      <c r="W292" s="7" t="s">
        <v>35</v>
      </c>
      <c r="X292" s="9">
        <v>45819.77855729167</v>
      </c>
      <c r="Y292" s="9">
        <v>45819.77855729167</v>
      </c>
    </row>
    <row r="293" ht="15.75" customHeight="1">
      <c r="A293" s="5" t="str">
        <f>HYPERLINK("https://portal.hubmapconsortium.org/browse/sample/988a627172a8c6a0f1907cca2f58c705", "HBM859.FBZR.568")</f>
        <v>HBM859.FBZR.568</v>
      </c>
      <c r="B293" s="6">
        <v>3.0</v>
      </c>
      <c r="C293" s="7" t="s">
        <v>413</v>
      </c>
      <c r="D293" s="12" t="s">
        <v>25</v>
      </c>
      <c r="E293" s="7" t="s">
        <v>44</v>
      </c>
      <c r="F293" s="7" t="s">
        <v>524</v>
      </c>
      <c r="G293" s="5" t="b">
        <v>0</v>
      </c>
      <c r="H293" s="5" t="str">
        <f t="shared" si="24"/>
        <v>HBM876.WSJF.893</v>
      </c>
      <c r="I293" s="7" t="s">
        <v>531</v>
      </c>
      <c r="J293" s="10">
        <v>19.0</v>
      </c>
      <c r="N293" s="7" t="s">
        <v>532</v>
      </c>
      <c r="O293" s="7" t="s">
        <v>28</v>
      </c>
      <c r="P293" s="7" t="s">
        <v>29</v>
      </c>
      <c r="Q293" s="7" t="s">
        <v>30</v>
      </c>
      <c r="R293" s="5" t="b">
        <v>0</v>
      </c>
      <c r="S293" s="5" t="s">
        <v>31</v>
      </c>
      <c r="T293" s="7" t="s">
        <v>49</v>
      </c>
      <c r="U293" s="7" t="s">
        <v>50</v>
      </c>
      <c r="V293" s="7" t="s">
        <v>51</v>
      </c>
      <c r="W293" s="7" t="s">
        <v>35</v>
      </c>
      <c r="X293" s="9">
        <v>45848.84252446759</v>
      </c>
      <c r="Y293" s="9">
        <v>45848.84252446759</v>
      </c>
    </row>
    <row r="294" ht="15.75" customHeight="1">
      <c r="A294" s="5" t="str">
        <f>HYPERLINK("https://portal.hubmapconsortium.org/browse/sample/3424d8ee4f3b0bc8ea5050550bd26bd3", "HBM978.QDDG.272")</f>
        <v>HBM978.QDDG.272</v>
      </c>
      <c r="B294" s="6">
        <v>3.0</v>
      </c>
      <c r="C294" s="7" t="s">
        <v>413</v>
      </c>
      <c r="D294" s="12" t="s">
        <v>25</v>
      </c>
      <c r="E294" s="7" t="s">
        <v>44</v>
      </c>
      <c r="F294" s="7" t="s">
        <v>524</v>
      </c>
      <c r="G294" s="5" t="b">
        <v>0</v>
      </c>
      <c r="H294" s="5" t="str">
        <f t="shared" si="24"/>
        <v>HBM876.WSJF.893</v>
      </c>
      <c r="I294" s="7" t="s">
        <v>533</v>
      </c>
      <c r="J294" s="10">
        <v>19.0</v>
      </c>
      <c r="N294" s="7" t="s">
        <v>532</v>
      </c>
      <c r="O294" s="7" t="s">
        <v>28</v>
      </c>
      <c r="P294" s="7" t="s">
        <v>29</v>
      </c>
      <c r="Q294" s="7" t="s">
        <v>30</v>
      </c>
      <c r="R294" s="5" t="b">
        <v>0</v>
      </c>
      <c r="S294" s="5" t="s">
        <v>31</v>
      </c>
      <c r="T294" s="7" t="s">
        <v>49</v>
      </c>
      <c r="U294" s="7" t="s">
        <v>50</v>
      </c>
      <c r="V294" s="7" t="s">
        <v>51</v>
      </c>
      <c r="W294" s="7" t="s">
        <v>35</v>
      </c>
      <c r="X294" s="9">
        <v>45848.84268186343</v>
      </c>
      <c r="Y294" s="9">
        <v>45848.84268186343</v>
      </c>
    </row>
    <row r="295" ht="15.75" customHeight="1">
      <c r="A295" s="5" t="str">
        <f>HYPERLINK("https://portal.hubmapconsortium.org/browse/sample/9a8431409db2e840fd4d0d3dfb2d1681", "HBM873.DTZL.227")</f>
        <v>HBM873.DTZL.227</v>
      </c>
      <c r="B295" s="6">
        <v>3.0</v>
      </c>
      <c r="C295" s="7" t="s">
        <v>413</v>
      </c>
      <c r="D295" s="12" t="s">
        <v>25</v>
      </c>
      <c r="E295" s="7" t="s">
        <v>44</v>
      </c>
      <c r="F295" s="7" t="s">
        <v>524</v>
      </c>
      <c r="G295" s="5" t="b">
        <v>0</v>
      </c>
      <c r="H295" s="5" t="str">
        <f t="shared" si="24"/>
        <v>HBM876.WSJF.893</v>
      </c>
      <c r="I295" s="7" t="s">
        <v>534</v>
      </c>
      <c r="J295" s="10">
        <v>19.0</v>
      </c>
      <c r="N295" s="7" t="s">
        <v>532</v>
      </c>
      <c r="O295" s="7" t="s">
        <v>28</v>
      </c>
      <c r="P295" s="7" t="s">
        <v>29</v>
      </c>
      <c r="Q295" s="7" t="s">
        <v>30</v>
      </c>
      <c r="R295" s="5" t="b">
        <v>0</v>
      </c>
      <c r="S295" s="5" t="s">
        <v>31</v>
      </c>
      <c r="T295" s="7" t="s">
        <v>49</v>
      </c>
      <c r="U295" s="7" t="s">
        <v>50</v>
      </c>
      <c r="V295" s="7" t="s">
        <v>51</v>
      </c>
      <c r="W295" s="7" t="s">
        <v>35</v>
      </c>
      <c r="X295" s="9">
        <v>45848.84275918981</v>
      </c>
      <c r="Y295" s="9">
        <v>45848.84275918981</v>
      </c>
    </row>
    <row r="296" ht="15.75" customHeight="1">
      <c r="A296" s="5" t="str">
        <f>HYPERLINK("https://portal.hubmapconsortium.org/browse/sample/ae029e006d6a79c90160a4f73134cbfb", "HBM734.PQPM.854")</f>
        <v>HBM734.PQPM.854</v>
      </c>
      <c r="B296" s="6">
        <v>3.0</v>
      </c>
      <c r="C296" s="7" t="s">
        <v>413</v>
      </c>
      <c r="D296" s="12" t="s">
        <v>25</v>
      </c>
      <c r="E296" s="7" t="s">
        <v>44</v>
      </c>
      <c r="F296" s="7" t="s">
        <v>524</v>
      </c>
      <c r="G296" s="5" t="b">
        <v>0</v>
      </c>
      <c r="H296" s="5" t="str">
        <f t="shared" si="24"/>
        <v>HBM876.WSJF.893</v>
      </c>
      <c r="I296" s="7" t="s">
        <v>535</v>
      </c>
      <c r="J296" s="10">
        <v>19.0</v>
      </c>
      <c r="N296" s="7" t="s">
        <v>532</v>
      </c>
      <c r="O296" s="7" t="s">
        <v>28</v>
      </c>
      <c r="P296" s="7" t="s">
        <v>29</v>
      </c>
      <c r="Q296" s="7" t="s">
        <v>30</v>
      </c>
      <c r="R296" s="5" t="b">
        <v>0</v>
      </c>
      <c r="S296" s="5" t="s">
        <v>31</v>
      </c>
      <c r="T296" s="7" t="s">
        <v>49</v>
      </c>
      <c r="U296" s="7" t="s">
        <v>50</v>
      </c>
      <c r="V296" s="7" t="s">
        <v>51</v>
      </c>
      <c r="W296" s="7" t="s">
        <v>35</v>
      </c>
      <c r="X296" s="9">
        <v>45848.84285159722</v>
      </c>
      <c r="Y296" s="9">
        <v>45848.84285159722</v>
      </c>
    </row>
    <row r="297" ht="15.75" customHeight="1">
      <c r="A297" s="11" t="str">
        <f>HYPERLINK("https://portal.hubmapconsortium.org/browse/sample/580a16770fe2cc9683e9f5beaeda66f1", "HBM529.BBLJ.439")</f>
        <v>HBM529.BBLJ.439</v>
      </c>
      <c r="B297" s="12"/>
      <c r="C297" s="13" t="s">
        <v>413</v>
      </c>
      <c r="D297" s="12" t="s">
        <v>25</v>
      </c>
      <c r="E297" s="7" t="s">
        <v>44</v>
      </c>
      <c r="F297" s="13" t="s">
        <v>536</v>
      </c>
      <c r="G297" s="11" t="b">
        <v>0</v>
      </c>
      <c r="H297" s="11" t="str">
        <f t="shared" ref="H297:H304" si="25">HYPERLINK("https://portal.hubmapconsortium.org/browse/sample/a71ec2c3319d3c6e51febfd5f115347d", "HBM797.FCBQ.962")</f>
        <v>HBM797.FCBQ.962</v>
      </c>
      <c r="I297" s="13" t="s">
        <v>537</v>
      </c>
      <c r="J297" s="25" t="s">
        <v>290</v>
      </c>
      <c r="K297" s="13"/>
      <c r="L297" s="13"/>
      <c r="M297" s="13"/>
      <c r="N297" s="13" t="s">
        <v>538</v>
      </c>
      <c r="O297" s="13" t="s">
        <v>28</v>
      </c>
      <c r="P297" s="13" t="s">
        <v>29</v>
      </c>
      <c r="Q297" s="13" t="s">
        <v>30</v>
      </c>
      <c r="R297" s="11" t="b">
        <v>0</v>
      </c>
      <c r="S297" s="11" t="s">
        <v>31</v>
      </c>
      <c r="T297" s="13" t="s">
        <v>49</v>
      </c>
      <c r="U297" s="13" t="s">
        <v>50</v>
      </c>
      <c r="V297" s="13" t="s">
        <v>51</v>
      </c>
      <c r="W297" s="13" t="s">
        <v>35</v>
      </c>
      <c r="X297" s="14">
        <v>45525.65148475694</v>
      </c>
      <c r="Y297" s="14">
        <v>45525.65148475694</v>
      </c>
      <c r="Z297" s="13"/>
      <c r="AA297" s="13"/>
    </row>
    <row r="298" ht="15.75" customHeight="1">
      <c r="A298" s="11" t="str">
        <f>HYPERLINK("https://portal.hubmapconsortium.org/browse/sample/8be5f9740b71062d3eeb420ea07b4a9c", "HBM244.DSWJ.575")</f>
        <v>HBM244.DSWJ.575</v>
      </c>
      <c r="B298" s="12"/>
      <c r="C298" s="13" t="s">
        <v>413</v>
      </c>
      <c r="D298" s="12" t="s">
        <v>25</v>
      </c>
      <c r="E298" s="7" t="s">
        <v>44</v>
      </c>
      <c r="F298" s="13" t="s">
        <v>536</v>
      </c>
      <c r="G298" s="11" t="b">
        <v>0</v>
      </c>
      <c r="H298" s="11" t="str">
        <f t="shared" si="25"/>
        <v>HBM797.FCBQ.962</v>
      </c>
      <c r="I298" s="13" t="s">
        <v>539</v>
      </c>
      <c r="J298" s="13"/>
      <c r="K298" s="13"/>
      <c r="L298" s="13"/>
      <c r="M298" s="13"/>
      <c r="N298" s="13" t="s">
        <v>540</v>
      </c>
      <c r="O298" s="13" t="s">
        <v>28</v>
      </c>
      <c r="P298" s="13" t="s">
        <v>29</v>
      </c>
      <c r="Q298" s="13" t="s">
        <v>30</v>
      </c>
      <c r="R298" s="11" t="b">
        <v>0</v>
      </c>
      <c r="S298" s="11" t="s">
        <v>31</v>
      </c>
      <c r="T298" s="13" t="s">
        <v>49</v>
      </c>
      <c r="U298" s="13" t="s">
        <v>50</v>
      </c>
      <c r="V298" s="13" t="s">
        <v>51</v>
      </c>
      <c r="W298" s="13" t="s">
        <v>35</v>
      </c>
      <c r="X298" s="14">
        <v>45525.65149917824</v>
      </c>
      <c r="Y298" s="14">
        <v>45525.65149917824</v>
      </c>
      <c r="Z298" s="13"/>
      <c r="AA298" s="13"/>
    </row>
    <row r="299" ht="15.75" customHeight="1">
      <c r="A299" s="11" t="str">
        <f>HYPERLINK("https://portal.hubmapconsortium.org/browse/sample/5e0cab49161c5499d7c47e17b8017152", "HBM788.CXRT.572")</f>
        <v>HBM788.CXRT.572</v>
      </c>
      <c r="B299" s="12"/>
      <c r="C299" s="13" t="s">
        <v>413</v>
      </c>
      <c r="D299" s="12" t="s">
        <v>25</v>
      </c>
      <c r="E299" s="7" t="s">
        <v>44</v>
      </c>
      <c r="F299" s="13" t="s">
        <v>536</v>
      </c>
      <c r="G299" s="11" t="b">
        <v>0</v>
      </c>
      <c r="H299" s="11" t="str">
        <f t="shared" si="25"/>
        <v>HBM797.FCBQ.962</v>
      </c>
      <c r="I299" s="13" t="s">
        <v>541</v>
      </c>
      <c r="J299" s="13"/>
      <c r="K299" s="13"/>
      <c r="L299" s="13"/>
      <c r="M299" s="13"/>
      <c r="N299" s="13" t="s">
        <v>542</v>
      </c>
      <c r="O299" s="13" t="s">
        <v>28</v>
      </c>
      <c r="P299" s="13" t="s">
        <v>29</v>
      </c>
      <c r="Q299" s="13" t="s">
        <v>30</v>
      </c>
      <c r="R299" s="11" t="b">
        <v>0</v>
      </c>
      <c r="S299" s="11" t="s">
        <v>31</v>
      </c>
      <c r="T299" s="13" t="s">
        <v>49</v>
      </c>
      <c r="U299" s="13" t="s">
        <v>50</v>
      </c>
      <c r="V299" s="13" t="s">
        <v>51</v>
      </c>
      <c r="W299" s="13" t="s">
        <v>35</v>
      </c>
      <c r="X299" s="14">
        <v>45525.65151391204</v>
      </c>
      <c r="Y299" s="14">
        <v>45525.65151391204</v>
      </c>
      <c r="Z299" s="13"/>
      <c r="AA299" s="13"/>
    </row>
    <row r="300" ht="15.75" customHeight="1">
      <c r="A300" s="11" t="str">
        <f>HYPERLINK("https://portal.hubmapconsortium.org/browse/sample/e181c390484e43f492ad4c86b54a2d63", "HBM298.ZKZV.772")</f>
        <v>HBM298.ZKZV.772</v>
      </c>
      <c r="B300" s="12"/>
      <c r="C300" s="13" t="s">
        <v>413</v>
      </c>
      <c r="D300" s="12" t="s">
        <v>25</v>
      </c>
      <c r="E300" s="7" t="s">
        <v>44</v>
      </c>
      <c r="F300" s="13" t="s">
        <v>536</v>
      </c>
      <c r="G300" s="11" t="b">
        <v>0</v>
      </c>
      <c r="H300" s="11" t="str">
        <f t="shared" si="25"/>
        <v>HBM797.FCBQ.962</v>
      </c>
      <c r="I300" s="13" t="s">
        <v>543</v>
      </c>
      <c r="J300" s="13"/>
      <c r="K300" s="13"/>
      <c r="L300" s="13"/>
      <c r="M300" s="13"/>
      <c r="N300" s="13" t="s">
        <v>544</v>
      </c>
      <c r="O300" s="13" t="s">
        <v>28</v>
      </c>
      <c r="P300" s="13" t="s">
        <v>29</v>
      </c>
      <c r="Q300" s="13" t="s">
        <v>30</v>
      </c>
      <c r="R300" s="11" t="b">
        <v>0</v>
      </c>
      <c r="S300" s="11" t="s">
        <v>31</v>
      </c>
      <c r="T300" s="13" t="s">
        <v>32</v>
      </c>
      <c r="U300" s="13" t="s">
        <v>50</v>
      </c>
      <c r="V300" s="13" t="s">
        <v>51</v>
      </c>
      <c r="W300" s="13" t="s">
        <v>35</v>
      </c>
      <c r="X300" s="14">
        <v>45525.65152797454</v>
      </c>
      <c r="Y300" s="14">
        <v>45525.65152797454</v>
      </c>
      <c r="Z300" s="13"/>
      <c r="AA300" s="13"/>
    </row>
    <row r="301" ht="15.75" customHeight="1">
      <c r="A301" s="11" t="str">
        <f>HYPERLINK("https://portal.hubmapconsortium.org/browse/sample/4c70bbe9355e0f22791f2e76f8c9256d", "HBM554.RJKT.329")</f>
        <v>HBM554.RJKT.329</v>
      </c>
      <c r="B301" s="12"/>
      <c r="C301" s="13" t="s">
        <v>413</v>
      </c>
      <c r="D301" s="12" t="s">
        <v>25</v>
      </c>
      <c r="E301" s="7" t="s">
        <v>44</v>
      </c>
      <c r="F301" s="13" t="s">
        <v>536</v>
      </c>
      <c r="G301" s="11" t="b">
        <v>0</v>
      </c>
      <c r="H301" s="11" t="str">
        <f t="shared" si="25"/>
        <v>HBM797.FCBQ.962</v>
      </c>
      <c r="I301" s="13" t="s">
        <v>545</v>
      </c>
      <c r="J301" s="13"/>
      <c r="K301" s="13"/>
      <c r="L301" s="13"/>
      <c r="M301" s="13"/>
      <c r="N301" s="13" t="s">
        <v>538</v>
      </c>
      <c r="O301" s="13" t="s">
        <v>28</v>
      </c>
      <c r="P301" s="13" t="s">
        <v>29</v>
      </c>
      <c r="Q301" s="13" t="s">
        <v>30</v>
      </c>
      <c r="R301" s="11" t="b">
        <v>0</v>
      </c>
      <c r="S301" s="11" t="s">
        <v>31</v>
      </c>
      <c r="T301" s="13" t="s">
        <v>49</v>
      </c>
      <c r="U301" s="13" t="s">
        <v>50</v>
      </c>
      <c r="V301" s="13" t="s">
        <v>51</v>
      </c>
      <c r="W301" s="13" t="s">
        <v>35</v>
      </c>
      <c r="X301" s="14">
        <v>45525.65154203703</v>
      </c>
      <c r="Y301" s="14">
        <v>45525.65154203703</v>
      </c>
      <c r="Z301" s="13"/>
      <c r="AA301" s="13"/>
    </row>
    <row r="302" ht="15.75" customHeight="1">
      <c r="A302" s="11" t="str">
        <f>HYPERLINK("https://portal.hubmapconsortium.org/browse/sample/a25d84c923f37f9803cac9d6641ae78f", "HBM884.WGFX.556")</f>
        <v>HBM884.WGFX.556</v>
      </c>
      <c r="B302" s="12"/>
      <c r="C302" s="13" t="s">
        <v>413</v>
      </c>
      <c r="D302" s="12" t="s">
        <v>25</v>
      </c>
      <c r="E302" s="7" t="s">
        <v>44</v>
      </c>
      <c r="F302" s="13" t="s">
        <v>536</v>
      </c>
      <c r="G302" s="11" t="b">
        <v>0</v>
      </c>
      <c r="H302" s="11" t="str">
        <f t="shared" si="25"/>
        <v>HBM797.FCBQ.962</v>
      </c>
      <c r="I302" s="13" t="s">
        <v>546</v>
      </c>
      <c r="J302" s="13"/>
      <c r="K302" s="13"/>
      <c r="L302" s="13"/>
      <c r="M302" s="13"/>
      <c r="N302" s="13" t="s">
        <v>540</v>
      </c>
      <c r="O302" s="13" t="s">
        <v>28</v>
      </c>
      <c r="P302" s="13" t="s">
        <v>29</v>
      </c>
      <c r="Q302" s="13" t="s">
        <v>30</v>
      </c>
      <c r="R302" s="11" t="b">
        <v>0</v>
      </c>
      <c r="S302" s="11" t="s">
        <v>31</v>
      </c>
      <c r="T302" s="13" t="s">
        <v>49</v>
      </c>
      <c r="U302" s="13" t="s">
        <v>50</v>
      </c>
      <c r="V302" s="13" t="s">
        <v>51</v>
      </c>
      <c r="W302" s="13" t="s">
        <v>35</v>
      </c>
      <c r="X302" s="14">
        <v>45525.65155681713</v>
      </c>
      <c r="Y302" s="14">
        <v>45525.65155681713</v>
      </c>
      <c r="Z302" s="13"/>
      <c r="AA302" s="13"/>
    </row>
    <row r="303" ht="15.75" customHeight="1">
      <c r="A303" s="11" t="str">
        <f>HYPERLINK("https://portal.hubmapconsortium.org/browse/sample/83ea151ecde7529b21628c5454dcadf9", "HBM383.NJXL.495")</f>
        <v>HBM383.NJXL.495</v>
      </c>
      <c r="B303" s="12"/>
      <c r="C303" s="13" t="s">
        <v>413</v>
      </c>
      <c r="D303" s="12" t="s">
        <v>25</v>
      </c>
      <c r="E303" s="7" t="s">
        <v>44</v>
      </c>
      <c r="F303" s="13" t="s">
        <v>536</v>
      </c>
      <c r="G303" s="11" t="b">
        <v>0</v>
      </c>
      <c r="H303" s="11" t="str">
        <f t="shared" si="25"/>
        <v>HBM797.FCBQ.962</v>
      </c>
      <c r="I303" s="13" t="s">
        <v>547</v>
      </c>
      <c r="J303" s="13"/>
      <c r="K303" s="13"/>
      <c r="L303" s="13"/>
      <c r="M303" s="13"/>
      <c r="N303" s="13" t="s">
        <v>542</v>
      </c>
      <c r="O303" s="13" t="s">
        <v>28</v>
      </c>
      <c r="P303" s="13" t="s">
        <v>29</v>
      </c>
      <c r="Q303" s="13" t="s">
        <v>30</v>
      </c>
      <c r="R303" s="11" t="b">
        <v>0</v>
      </c>
      <c r="S303" s="11" t="s">
        <v>31</v>
      </c>
      <c r="T303" s="13" t="s">
        <v>49</v>
      </c>
      <c r="U303" s="13" t="s">
        <v>50</v>
      </c>
      <c r="V303" s="13" t="s">
        <v>51</v>
      </c>
      <c r="W303" s="13" t="s">
        <v>35</v>
      </c>
      <c r="X303" s="14">
        <v>45525.65157178241</v>
      </c>
      <c r="Y303" s="14">
        <v>45525.65157178241</v>
      </c>
      <c r="Z303" s="13"/>
      <c r="AA303" s="13"/>
    </row>
    <row r="304" ht="15.75" customHeight="1">
      <c r="A304" s="11" t="str">
        <f>HYPERLINK("https://portal.hubmapconsortium.org/browse/sample/611e232869eb92c748ae35367c8e7750", "HBM923.NPJQ.767")</f>
        <v>HBM923.NPJQ.767</v>
      </c>
      <c r="B304" s="12"/>
      <c r="C304" s="13" t="s">
        <v>413</v>
      </c>
      <c r="D304" s="12" t="s">
        <v>25</v>
      </c>
      <c r="E304" s="7" t="s">
        <v>44</v>
      </c>
      <c r="F304" s="13" t="s">
        <v>536</v>
      </c>
      <c r="G304" s="11" t="b">
        <v>0</v>
      </c>
      <c r="H304" s="11" t="str">
        <f t="shared" si="25"/>
        <v>HBM797.FCBQ.962</v>
      </c>
      <c r="I304" s="13" t="s">
        <v>548</v>
      </c>
      <c r="J304" s="13"/>
      <c r="K304" s="13"/>
      <c r="L304" s="13"/>
      <c r="M304" s="13"/>
      <c r="N304" s="13" t="s">
        <v>544</v>
      </c>
      <c r="O304" s="13" t="s">
        <v>28</v>
      </c>
      <c r="P304" s="13" t="s">
        <v>29</v>
      </c>
      <c r="Q304" s="13" t="s">
        <v>30</v>
      </c>
      <c r="R304" s="11" t="b">
        <v>0</v>
      </c>
      <c r="S304" s="11" t="s">
        <v>31</v>
      </c>
      <c r="T304" s="13" t="s">
        <v>32</v>
      </c>
      <c r="U304" s="13" t="s">
        <v>50</v>
      </c>
      <c r="V304" s="13" t="s">
        <v>51</v>
      </c>
      <c r="W304" s="13" t="s">
        <v>35</v>
      </c>
      <c r="X304" s="14">
        <v>45525.65158587963</v>
      </c>
      <c r="Y304" s="14">
        <v>45525.65158587963</v>
      </c>
      <c r="Z304" s="13"/>
      <c r="AA304" s="13"/>
    </row>
    <row r="305" ht="15.75" customHeight="1">
      <c r="A305" s="11" t="str">
        <f>HYPERLINK("https://portal.hubmapconsortium.org/browse/sample/d270d79b5a50c411851607fa9d53a12a", "HBM894.LLTJ.532")</f>
        <v>HBM894.LLTJ.532</v>
      </c>
      <c r="B305" s="12"/>
      <c r="C305" s="13" t="s">
        <v>549</v>
      </c>
      <c r="D305" s="12" t="s">
        <v>25</v>
      </c>
      <c r="E305" s="7" t="s">
        <v>44</v>
      </c>
      <c r="F305" s="13" t="s">
        <v>550</v>
      </c>
      <c r="G305" s="11" t="b">
        <v>0</v>
      </c>
      <c r="H305" s="11" t="str">
        <f t="shared" ref="H305:H312" si="26">HYPERLINK("https://portal.hubmapconsortium.org/browse/sample/fbc0f117563df0ca324dd2001e9b7df6", "HBM387.FLPV.658")</f>
        <v>HBM387.FLPV.658</v>
      </c>
      <c r="I305" s="13" t="s">
        <v>551</v>
      </c>
      <c r="J305" s="13"/>
      <c r="K305" s="13"/>
      <c r="L305" s="13"/>
      <c r="M305" s="13"/>
      <c r="N305" s="13" t="s">
        <v>552</v>
      </c>
      <c r="O305" s="13" t="s">
        <v>28</v>
      </c>
      <c r="P305" s="13" t="s">
        <v>29</v>
      </c>
      <c r="Q305" s="13" t="s">
        <v>30</v>
      </c>
      <c r="R305" s="11" t="b">
        <v>0</v>
      </c>
      <c r="S305" s="11" t="s">
        <v>553</v>
      </c>
      <c r="T305" s="13" t="s">
        <v>49</v>
      </c>
      <c r="U305" s="13" t="s">
        <v>33</v>
      </c>
      <c r="V305" s="13" t="s">
        <v>34</v>
      </c>
      <c r="W305" s="13" t="s">
        <v>35</v>
      </c>
      <c r="X305" s="14">
        <v>45726.68560628472</v>
      </c>
      <c r="Y305" s="14">
        <v>45726.68560628472</v>
      </c>
      <c r="Z305" s="13"/>
      <c r="AA305" s="13"/>
    </row>
    <row r="306" ht="15.75" customHeight="1">
      <c r="A306" s="11" t="str">
        <f>HYPERLINK("https://portal.hubmapconsortium.org/browse/sample/0a191f77274786ff4f4f5a404a46c798", "HBM867.VBNC.459")</f>
        <v>HBM867.VBNC.459</v>
      </c>
      <c r="B306" s="12"/>
      <c r="C306" s="13" t="s">
        <v>549</v>
      </c>
      <c r="D306" s="12" t="s">
        <v>25</v>
      </c>
      <c r="E306" s="7" t="s">
        <v>44</v>
      </c>
      <c r="F306" s="13" t="s">
        <v>550</v>
      </c>
      <c r="G306" s="11" t="b">
        <v>0</v>
      </c>
      <c r="H306" s="11" t="str">
        <f t="shared" si="26"/>
        <v>HBM387.FLPV.658</v>
      </c>
      <c r="I306" s="13" t="s">
        <v>554</v>
      </c>
      <c r="J306" s="13"/>
      <c r="K306" s="13"/>
      <c r="L306" s="13"/>
      <c r="M306" s="13"/>
      <c r="N306" s="13" t="s">
        <v>555</v>
      </c>
      <c r="O306" s="13" t="s">
        <v>28</v>
      </c>
      <c r="P306" s="13" t="s">
        <v>29</v>
      </c>
      <c r="Q306" s="13" t="s">
        <v>30</v>
      </c>
      <c r="R306" s="11" t="b">
        <v>0</v>
      </c>
      <c r="S306" s="11" t="s">
        <v>553</v>
      </c>
      <c r="T306" s="13" t="s">
        <v>49</v>
      </c>
      <c r="U306" s="13" t="s">
        <v>33</v>
      </c>
      <c r="V306" s="13" t="s">
        <v>34</v>
      </c>
      <c r="W306" s="13" t="s">
        <v>35</v>
      </c>
      <c r="X306" s="14">
        <v>45726.68562972223</v>
      </c>
      <c r="Y306" s="14">
        <v>45726.68562972223</v>
      </c>
      <c r="Z306" s="13"/>
      <c r="AA306" s="13"/>
    </row>
    <row r="307" ht="15.75" customHeight="1">
      <c r="A307" s="11" t="str">
        <f>HYPERLINK("https://portal.hubmapconsortium.org/browse/sample/b41a28fe7ed4d547f2844a556171c020", "HBM834.DTLS.928")</f>
        <v>HBM834.DTLS.928</v>
      </c>
      <c r="B307" s="12"/>
      <c r="C307" s="13" t="s">
        <v>549</v>
      </c>
      <c r="D307" s="12" t="s">
        <v>25</v>
      </c>
      <c r="E307" s="7" t="s">
        <v>44</v>
      </c>
      <c r="F307" s="13" t="s">
        <v>550</v>
      </c>
      <c r="G307" s="11" t="b">
        <v>0</v>
      </c>
      <c r="H307" s="11" t="str">
        <f t="shared" si="26"/>
        <v>HBM387.FLPV.658</v>
      </c>
      <c r="I307" s="13" t="s">
        <v>556</v>
      </c>
      <c r="J307" s="13"/>
      <c r="K307" s="13"/>
      <c r="L307" s="13"/>
      <c r="M307" s="13"/>
      <c r="N307" s="13" t="s">
        <v>557</v>
      </c>
      <c r="O307" s="13" t="s">
        <v>28</v>
      </c>
      <c r="P307" s="13" t="s">
        <v>29</v>
      </c>
      <c r="Q307" s="13" t="s">
        <v>30</v>
      </c>
      <c r="R307" s="11" t="b">
        <v>0</v>
      </c>
      <c r="S307" s="11" t="s">
        <v>553</v>
      </c>
      <c r="T307" s="13" t="s">
        <v>49</v>
      </c>
      <c r="U307" s="13" t="s">
        <v>33</v>
      </c>
      <c r="V307" s="13" t="s">
        <v>34</v>
      </c>
      <c r="W307" s="13" t="s">
        <v>35</v>
      </c>
      <c r="X307" s="14">
        <v>45726.68565243055</v>
      </c>
      <c r="Y307" s="14">
        <v>45726.68565243055</v>
      </c>
      <c r="Z307" s="13"/>
      <c r="AA307" s="13"/>
    </row>
    <row r="308" ht="15.75" customHeight="1">
      <c r="A308" s="11" t="str">
        <f>HYPERLINK("https://portal.hubmapconsortium.org/browse/sample/db2d21f65dea4cdb41fff83df2c37481", "HBM323.VXCD.463")</f>
        <v>HBM323.VXCD.463</v>
      </c>
      <c r="B308" s="12"/>
      <c r="C308" s="13" t="s">
        <v>549</v>
      </c>
      <c r="D308" s="12" t="s">
        <v>25</v>
      </c>
      <c r="E308" s="7" t="s">
        <v>44</v>
      </c>
      <c r="F308" s="13" t="s">
        <v>550</v>
      </c>
      <c r="G308" s="11" t="b">
        <v>0</v>
      </c>
      <c r="H308" s="11" t="str">
        <f t="shared" si="26"/>
        <v>HBM387.FLPV.658</v>
      </c>
      <c r="I308" s="13" t="s">
        <v>558</v>
      </c>
      <c r="J308" s="13"/>
      <c r="K308" s="13"/>
      <c r="L308" s="13"/>
      <c r="M308" s="13"/>
      <c r="N308" s="13" t="s">
        <v>299</v>
      </c>
      <c r="O308" s="13" t="s">
        <v>28</v>
      </c>
      <c r="P308" s="13" t="s">
        <v>29</v>
      </c>
      <c r="Q308" s="13" t="s">
        <v>30</v>
      </c>
      <c r="R308" s="11" t="b">
        <v>0</v>
      </c>
      <c r="S308" s="11" t="s">
        <v>553</v>
      </c>
      <c r="T308" s="13" t="s">
        <v>32</v>
      </c>
      <c r="U308" s="13" t="s">
        <v>33</v>
      </c>
      <c r="V308" s="13" t="s">
        <v>34</v>
      </c>
      <c r="W308" s="13" t="s">
        <v>35</v>
      </c>
      <c r="X308" s="14">
        <v>45726.68567237269</v>
      </c>
      <c r="Y308" s="14">
        <v>45726.68567237269</v>
      </c>
      <c r="Z308" s="13"/>
      <c r="AA308" s="13"/>
    </row>
    <row r="309" ht="15.75" customHeight="1">
      <c r="A309" s="11" t="str">
        <f>HYPERLINK("https://portal.hubmapconsortium.org/browse/sample/164b4a33fdbfcb47dbd716dcfec19835", "HBM579.BCKS.947")</f>
        <v>HBM579.BCKS.947</v>
      </c>
      <c r="B309" s="12"/>
      <c r="C309" s="13" t="s">
        <v>549</v>
      </c>
      <c r="D309" s="12" t="s">
        <v>25</v>
      </c>
      <c r="E309" s="7" t="s">
        <v>44</v>
      </c>
      <c r="F309" s="13" t="s">
        <v>550</v>
      </c>
      <c r="G309" s="11" t="b">
        <v>0</v>
      </c>
      <c r="H309" s="11" t="str">
        <f t="shared" si="26"/>
        <v>HBM387.FLPV.658</v>
      </c>
      <c r="I309" s="13" t="s">
        <v>559</v>
      </c>
      <c r="J309" s="13"/>
      <c r="K309" s="13"/>
      <c r="L309" s="13"/>
      <c r="M309" s="13"/>
      <c r="N309" s="13" t="s">
        <v>552</v>
      </c>
      <c r="O309" s="13" t="s">
        <v>28</v>
      </c>
      <c r="P309" s="13" t="s">
        <v>29</v>
      </c>
      <c r="Q309" s="13" t="s">
        <v>30</v>
      </c>
      <c r="R309" s="11" t="b">
        <v>0</v>
      </c>
      <c r="S309" s="11" t="s">
        <v>553</v>
      </c>
      <c r="T309" s="13" t="s">
        <v>49</v>
      </c>
      <c r="U309" s="13" t="s">
        <v>33</v>
      </c>
      <c r="V309" s="13" t="s">
        <v>34</v>
      </c>
      <c r="W309" s="13" t="s">
        <v>35</v>
      </c>
      <c r="X309" s="14">
        <v>45726.68569641204</v>
      </c>
      <c r="Y309" s="14">
        <v>45726.68569641204</v>
      </c>
      <c r="Z309" s="13"/>
      <c r="AA309" s="13"/>
    </row>
    <row r="310" ht="15.75" customHeight="1">
      <c r="A310" s="11" t="str">
        <f>HYPERLINK("https://portal.hubmapconsortium.org/browse/sample/8ce8e3ded04746345a6feb8000ba8d63", "HBM839.WPFM.642")</f>
        <v>HBM839.WPFM.642</v>
      </c>
      <c r="B310" s="12"/>
      <c r="C310" s="13" t="s">
        <v>549</v>
      </c>
      <c r="D310" s="12" t="s">
        <v>25</v>
      </c>
      <c r="E310" s="7" t="s">
        <v>44</v>
      </c>
      <c r="F310" s="13" t="s">
        <v>550</v>
      </c>
      <c r="G310" s="11" t="b">
        <v>0</v>
      </c>
      <c r="H310" s="11" t="str">
        <f t="shared" si="26"/>
        <v>HBM387.FLPV.658</v>
      </c>
      <c r="I310" s="13" t="s">
        <v>560</v>
      </c>
      <c r="J310" s="13"/>
      <c r="K310" s="13"/>
      <c r="L310" s="13"/>
      <c r="M310" s="13"/>
      <c r="N310" s="13" t="s">
        <v>555</v>
      </c>
      <c r="O310" s="13" t="s">
        <v>28</v>
      </c>
      <c r="P310" s="13" t="s">
        <v>29</v>
      </c>
      <c r="Q310" s="13" t="s">
        <v>30</v>
      </c>
      <c r="R310" s="11" t="b">
        <v>0</v>
      </c>
      <c r="S310" s="11" t="s">
        <v>553</v>
      </c>
      <c r="T310" s="13" t="s">
        <v>49</v>
      </c>
      <c r="U310" s="13" t="s">
        <v>33</v>
      </c>
      <c r="V310" s="13" t="s">
        <v>34</v>
      </c>
      <c r="W310" s="13" t="s">
        <v>35</v>
      </c>
      <c r="X310" s="14">
        <v>45726.68572087963</v>
      </c>
      <c r="Y310" s="14">
        <v>45726.68572087963</v>
      </c>
      <c r="Z310" s="13"/>
      <c r="AA310" s="13"/>
    </row>
    <row r="311" ht="15.75" customHeight="1">
      <c r="A311" s="11" t="str">
        <f>HYPERLINK("https://portal.hubmapconsortium.org/browse/sample/88f8b551dcb06d979c380e5b45767963", "HBM977.RVNW.268")</f>
        <v>HBM977.RVNW.268</v>
      </c>
      <c r="B311" s="12"/>
      <c r="C311" s="13" t="s">
        <v>549</v>
      </c>
      <c r="D311" s="12" t="s">
        <v>25</v>
      </c>
      <c r="E311" s="7" t="s">
        <v>44</v>
      </c>
      <c r="F311" s="13" t="s">
        <v>550</v>
      </c>
      <c r="G311" s="11" t="b">
        <v>0</v>
      </c>
      <c r="H311" s="11" t="str">
        <f t="shared" si="26"/>
        <v>HBM387.FLPV.658</v>
      </c>
      <c r="I311" s="13" t="s">
        <v>561</v>
      </c>
      <c r="J311" s="13"/>
      <c r="K311" s="13"/>
      <c r="L311" s="13"/>
      <c r="M311" s="13"/>
      <c r="N311" s="13" t="s">
        <v>557</v>
      </c>
      <c r="O311" s="13" t="s">
        <v>28</v>
      </c>
      <c r="P311" s="13" t="s">
        <v>29</v>
      </c>
      <c r="Q311" s="13" t="s">
        <v>30</v>
      </c>
      <c r="R311" s="11" t="b">
        <v>0</v>
      </c>
      <c r="S311" s="11" t="s">
        <v>553</v>
      </c>
      <c r="T311" s="13" t="s">
        <v>49</v>
      </c>
      <c r="U311" s="13" t="s">
        <v>33</v>
      </c>
      <c r="V311" s="13" t="s">
        <v>34</v>
      </c>
      <c r="W311" s="13" t="s">
        <v>35</v>
      </c>
      <c r="X311" s="14">
        <v>45726.68574642361</v>
      </c>
      <c r="Y311" s="14">
        <v>45726.68574642361</v>
      </c>
      <c r="Z311" s="13"/>
      <c r="AA311" s="13"/>
    </row>
    <row r="312" ht="15.75" customHeight="1">
      <c r="A312" s="11" t="str">
        <f>HYPERLINK("https://portal.hubmapconsortium.org/browse/sample/474e2a00aed43002bda1c22a75e7a4b3", "HBM392.XTCF.759")</f>
        <v>HBM392.XTCF.759</v>
      </c>
      <c r="B312" s="12"/>
      <c r="C312" s="13" t="s">
        <v>549</v>
      </c>
      <c r="D312" s="12" t="s">
        <v>25</v>
      </c>
      <c r="E312" s="7" t="s">
        <v>44</v>
      </c>
      <c r="F312" s="13" t="s">
        <v>550</v>
      </c>
      <c r="G312" s="11" t="b">
        <v>0</v>
      </c>
      <c r="H312" s="11" t="str">
        <f t="shared" si="26"/>
        <v>HBM387.FLPV.658</v>
      </c>
      <c r="I312" s="13" t="s">
        <v>562</v>
      </c>
      <c r="J312" s="13"/>
      <c r="K312" s="13"/>
      <c r="L312" s="13"/>
      <c r="M312" s="13"/>
      <c r="N312" s="13" t="s">
        <v>299</v>
      </c>
      <c r="O312" s="13" t="s">
        <v>28</v>
      </c>
      <c r="P312" s="13" t="s">
        <v>29</v>
      </c>
      <c r="Q312" s="13" t="s">
        <v>30</v>
      </c>
      <c r="R312" s="11" t="b">
        <v>0</v>
      </c>
      <c r="S312" s="11" t="s">
        <v>553</v>
      </c>
      <c r="T312" s="13" t="s">
        <v>32</v>
      </c>
      <c r="U312" s="13" t="s">
        <v>33</v>
      </c>
      <c r="V312" s="13" t="s">
        <v>34</v>
      </c>
      <c r="W312" s="13" t="s">
        <v>35</v>
      </c>
      <c r="X312" s="14">
        <v>45726.68577142361</v>
      </c>
      <c r="Y312" s="14">
        <v>45726.68577142361</v>
      </c>
      <c r="Z312" s="13"/>
      <c r="AA312" s="13"/>
    </row>
    <row r="313" ht="15.75" customHeight="1">
      <c r="A313" s="11" t="str">
        <f>HYPERLINK("https://portal.hubmapconsortium.org/browse/sample/f583c88f020fdd3fdd5e78e47d0af716", "HBM632.LPKH.747")</f>
        <v>HBM632.LPKH.747</v>
      </c>
      <c r="B313" s="12"/>
      <c r="C313" s="13" t="s">
        <v>549</v>
      </c>
      <c r="D313" s="12" t="s">
        <v>25</v>
      </c>
      <c r="E313" s="7" t="s">
        <v>44</v>
      </c>
      <c r="F313" s="13" t="s">
        <v>563</v>
      </c>
      <c r="G313" s="11" t="b">
        <v>0</v>
      </c>
      <c r="H313" s="11" t="str">
        <f t="shared" ref="H313:H376" si="27">HYPERLINK("https://portal.hubmapconsortium.org/browse/sample/76b132346676d19ecc52dd0e7f6ec220", "HBM758.PXTF.453")</f>
        <v>HBM758.PXTF.453</v>
      </c>
      <c r="I313" s="13" t="s">
        <v>564</v>
      </c>
      <c r="J313" s="13"/>
      <c r="K313" s="13"/>
      <c r="L313" s="13"/>
      <c r="M313" s="13"/>
      <c r="N313" s="13" t="s">
        <v>565</v>
      </c>
      <c r="O313" s="13" t="s">
        <v>28</v>
      </c>
      <c r="P313" s="13" t="s">
        <v>29</v>
      </c>
      <c r="Q313" s="13" t="s">
        <v>30</v>
      </c>
      <c r="R313" s="11" t="b">
        <v>0</v>
      </c>
      <c r="S313" s="11" t="s">
        <v>553</v>
      </c>
      <c r="T313" s="13" t="s">
        <v>49</v>
      </c>
      <c r="U313" s="13" t="s">
        <v>33</v>
      </c>
      <c r="V313" s="13" t="s">
        <v>34</v>
      </c>
      <c r="W313" s="13" t="s">
        <v>35</v>
      </c>
      <c r="X313" s="14">
        <v>45726.70084053241</v>
      </c>
      <c r="Y313" s="14">
        <v>45726.70084053241</v>
      </c>
      <c r="Z313" s="13"/>
      <c r="AA313" s="13"/>
    </row>
    <row r="314" ht="15.75" customHeight="1">
      <c r="A314" s="11" t="str">
        <f>HYPERLINK("https://portal.hubmapconsortium.org/browse/sample/fdc84e6caf3816718f1070120d65bec5", "HBM879.WFZP.765")</f>
        <v>HBM879.WFZP.765</v>
      </c>
      <c r="B314" s="12"/>
      <c r="C314" s="13" t="s">
        <v>549</v>
      </c>
      <c r="D314" s="12" t="s">
        <v>25</v>
      </c>
      <c r="E314" s="7" t="s">
        <v>44</v>
      </c>
      <c r="F314" s="13" t="s">
        <v>563</v>
      </c>
      <c r="G314" s="11" t="b">
        <v>0</v>
      </c>
      <c r="H314" s="11" t="str">
        <f t="shared" si="27"/>
        <v>HBM758.PXTF.453</v>
      </c>
      <c r="I314" s="13" t="s">
        <v>566</v>
      </c>
      <c r="J314" s="13"/>
      <c r="K314" s="13"/>
      <c r="L314" s="13"/>
      <c r="M314" s="13"/>
      <c r="N314" s="13" t="s">
        <v>567</v>
      </c>
      <c r="O314" s="13" t="s">
        <v>28</v>
      </c>
      <c r="P314" s="13" t="s">
        <v>29</v>
      </c>
      <c r="Q314" s="13" t="s">
        <v>30</v>
      </c>
      <c r="R314" s="11" t="b">
        <v>0</v>
      </c>
      <c r="S314" s="11" t="s">
        <v>553</v>
      </c>
      <c r="T314" s="13" t="s">
        <v>49</v>
      </c>
      <c r="U314" s="13" t="s">
        <v>33</v>
      </c>
      <c r="V314" s="13" t="s">
        <v>34</v>
      </c>
      <c r="W314" s="13" t="s">
        <v>35</v>
      </c>
      <c r="X314" s="14">
        <v>45726.7008597801</v>
      </c>
      <c r="Y314" s="14">
        <v>45726.7008597801</v>
      </c>
      <c r="Z314" s="13"/>
      <c r="AA314" s="13"/>
    </row>
    <row r="315" ht="15.75" customHeight="1">
      <c r="A315" s="11" t="str">
        <f>HYPERLINK("https://portal.hubmapconsortium.org/browse/sample/b498c0d33b7c4b96eecebdf59bb51002", "HBM294.CDRV.327")</f>
        <v>HBM294.CDRV.327</v>
      </c>
      <c r="B315" s="12"/>
      <c r="C315" s="13" t="s">
        <v>549</v>
      </c>
      <c r="D315" s="12" t="s">
        <v>25</v>
      </c>
      <c r="E315" s="7" t="s">
        <v>44</v>
      </c>
      <c r="F315" s="13" t="s">
        <v>563</v>
      </c>
      <c r="G315" s="11" t="b">
        <v>0</v>
      </c>
      <c r="H315" s="11" t="str">
        <f t="shared" si="27"/>
        <v>HBM758.PXTF.453</v>
      </c>
      <c r="I315" s="13" t="s">
        <v>568</v>
      </c>
      <c r="J315" s="13"/>
      <c r="K315" s="13"/>
      <c r="L315" s="13"/>
      <c r="M315" s="13"/>
      <c r="N315" s="13" t="s">
        <v>569</v>
      </c>
      <c r="O315" s="13" t="s">
        <v>28</v>
      </c>
      <c r="P315" s="13" t="s">
        <v>29</v>
      </c>
      <c r="Q315" s="13" t="s">
        <v>30</v>
      </c>
      <c r="R315" s="11" t="b">
        <v>0</v>
      </c>
      <c r="S315" s="11" t="s">
        <v>553</v>
      </c>
      <c r="T315" s="13" t="s">
        <v>49</v>
      </c>
      <c r="U315" s="13" t="s">
        <v>33</v>
      </c>
      <c r="V315" s="13" t="s">
        <v>34</v>
      </c>
      <c r="W315" s="13" t="s">
        <v>35</v>
      </c>
      <c r="X315" s="14">
        <v>45726.70087984954</v>
      </c>
      <c r="Y315" s="14">
        <v>45726.70087984954</v>
      </c>
      <c r="Z315" s="13"/>
      <c r="AA315" s="13"/>
    </row>
    <row r="316" ht="15.75" customHeight="1">
      <c r="A316" s="11" t="str">
        <f>HYPERLINK("https://portal.hubmapconsortium.org/browse/sample/029031d89e3a9a22f357f23ad7ad8569", "HBM733.GHHT.994")</f>
        <v>HBM733.GHHT.994</v>
      </c>
      <c r="B316" s="12"/>
      <c r="C316" s="13" t="s">
        <v>549</v>
      </c>
      <c r="D316" s="12" t="s">
        <v>25</v>
      </c>
      <c r="E316" s="7" t="s">
        <v>44</v>
      </c>
      <c r="F316" s="13" t="s">
        <v>563</v>
      </c>
      <c r="G316" s="11" t="b">
        <v>0</v>
      </c>
      <c r="H316" s="11" t="str">
        <f t="shared" si="27"/>
        <v>HBM758.PXTF.453</v>
      </c>
      <c r="I316" s="13" t="s">
        <v>570</v>
      </c>
      <c r="J316" s="13"/>
      <c r="K316" s="13"/>
      <c r="L316" s="13"/>
      <c r="M316" s="13"/>
      <c r="N316" s="13" t="s">
        <v>312</v>
      </c>
      <c r="O316" s="13" t="s">
        <v>28</v>
      </c>
      <c r="P316" s="13" t="s">
        <v>29</v>
      </c>
      <c r="Q316" s="13" t="s">
        <v>30</v>
      </c>
      <c r="R316" s="11" t="b">
        <v>0</v>
      </c>
      <c r="S316" s="11" t="s">
        <v>553</v>
      </c>
      <c r="T316" s="13" t="s">
        <v>32</v>
      </c>
      <c r="U316" s="13" t="s">
        <v>33</v>
      </c>
      <c r="V316" s="13" t="s">
        <v>34</v>
      </c>
      <c r="W316" s="13" t="s">
        <v>35</v>
      </c>
      <c r="X316" s="14">
        <v>45726.70089947917</v>
      </c>
      <c r="Y316" s="14">
        <v>45726.70089947917</v>
      </c>
      <c r="Z316" s="13"/>
      <c r="AA316" s="13"/>
    </row>
    <row r="317" ht="15.75" customHeight="1">
      <c r="A317" s="11" t="str">
        <f>HYPERLINK("https://portal.hubmapconsortium.org/browse/sample/0c7972676e993c59f7d3facaa6bff018", "HBM259.LLGN.592")</f>
        <v>HBM259.LLGN.592</v>
      </c>
      <c r="B317" s="12"/>
      <c r="C317" s="13" t="s">
        <v>549</v>
      </c>
      <c r="D317" s="12" t="s">
        <v>25</v>
      </c>
      <c r="E317" s="7" t="s">
        <v>44</v>
      </c>
      <c r="F317" s="13" t="s">
        <v>563</v>
      </c>
      <c r="G317" s="11" t="b">
        <v>0</v>
      </c>
      <c r="H317" s="11" t="str">
        <f t="shared" si="27"/>
        <v>HBM758.PXTF.453</v>
      </c>
      <c r="I317" s="13" t="s">
        <v>571</v>
      </c>
      <c r="J317" s="13"/>
      <c r="K317" s="13"/>
      <c r="L317" s="13"/>
      <c r="M317" s="13"/>
      <c r="N317" s="13" t="s">
        <v>572</v>
      </c>
      <c r="O317" s="13" t="s">
        <v>28</v>
      </c>
      <c r="P317" s="13" t="s">
        <v>29</v>
      </c>
      <c r="Q317" s="13" t="s">
        <v>30</v>
      </c>
      <c r="R317" s="11" t="b">
        <v>0</v>
      </c>
      <c r="S317" s="11" t="s">
        <v>553</v>
      </c>
      <c r="T317" s="13" t="s">
        <v>49</v>
      </c>
      <c r="U317" s="13" t="s">
        <v>33</v>
      </c>
      <c r="V317" s="13" t="s">
        <v>34</v>
      </c>
      <c r="W317" s="13" t="s">
        <v>35</v>
      </c>
      <c r="X317" s="14">
        <v>45726.70091984954</v>
      </c>
      <c r="Y317" s="14">
        <v>45726.70091984954</v>
      </c>
      <c r="Z317" s="13"/>
      <c r="AA317" s="13"/>
    </row>
    <row r="318" ht="15.75" customHeight="1">
      <c r="A318" s="11" t="str">
        <f>HYPERLINK("https://portal.hubmapconsortium.org/browse/sample/4077db05f9ff4097a1dbe5d4eb0632ef", "HBM275.LTQX.937")</f>
        <v>HBM275.LTQX.937</v>
      </c>
      <c r="B318" s="12"/>
      <c r="C318" s="13" t="s">
        <v>549</v>
      </c>
      <c r="D318" s="12" t="s">
        <v>25</v>
      </c>
      <c r="E318" s="7" t="s">
        <v>44</v>
      </c>
      <c r="F318" s="13" t="s">
        <v>563</v>
      </c>
      <c r="G318" s="11" t="b">
        <v>0</v>
      </c>
      <c r="H318" s="11" t="str">
        <f t="shared" si="27"/>
        <v>HBM758.PXTF.453</v>
      </c>
      <c r="I318" s="13" t="s">
        <v>573</v>
      </c>
      <c r="J318" s="13"/>
      <c r="K318" s="13"/>
      <c r="L318" s="13"/>
      <c r="M318" s="13"/>
      <c r="N318" s="13" t="s">
        <v>574</v>
      </c>
      <c r="O318" s="13" t="s">
        <v>28</v>
      </c>
      <c r="P318" s="13" t="s">
        <v>29</v>
      </c>
      <c r="Q318" s="13" t="s">
        <v>30</v>
      </c>
      <c r="R318" s="11" t="b">
        <v>0</v>
      </c>
      <c r="S318" s="11" t="s">
        <v>553</v>
      </c>
      <c r="T318" s="13" t="s">
        <v>49</v>
      </c>
      <c r="U318" s="13" t="s">
        <v>33</v>
      </c>
      <c r="V318" s="13" t="s">
        <v>34</v>
      </c>
      <c r="W318" s="13" t="s">
        <v>35</v>
      </c>
      <c r="X318" s="14">
        <v>45726.70094130787</v>
      </c>
      <c r="Y318" s="14">
        <v>45726.70094130787</v>
      </c>
      <c r="Z318" s="13"/>
      <c r="AA318" s="13"/>
    </row>
    <row r="319" ht="15.75" customHeight="1">
      <c r="A319" s="11" t="str">
        <f>HYPERLINK("https://portal.hubmapconsortium.org/browse/sample/f3c0a28837ee674382eee501d40bef71", "HBM767.DTRP.663")</f>
        <v>HBM767.DTRP.663</v>
      </c>
      <c r="B319" s="12"/>
      <c r="C319" s="13" t="s">
        <v>549</v>
      </c>
      <c r="D319" s="12" t="s">
        <v>25</v>
      </c>
      <c r="E319" s="7" t="s">
        <v>44</v>
      </c>
      <c r="F319" s="13" t="s">
        <v>563</v>
      </c>
      <c r="G319" s="11" t="b">
        <v>0</v>
      </c>
      <c r="H319" s="11" t="str">
        <f t="shared" si="27"/>
        <v>HBM758.PXTF.453</v>
      </c>
      <c r="I319" s="13" t="s">
        <v>575</v>
      </c>
      <c r="J319" s="13"/>
      <c r="K319" s="13"/>
      <c r="L319" s="13"/>
      <c r="M319" s="13"/>
      <c r="N319" s="13" t="s">
        <v>576</v>
      </c>
      <c r="O319" s="13" t="s">
        <v>28</v>
      </c>
      <c r="P319" s="13" t="s">
        <v>29</v>
      </c>
      <c r="Q319" s="13" t="s">
        <v>30</v>
      </c>
      <c r="R319" s="11" t="b">
        <v>0</v>
      </c>
      <c r="S319" s="11" t="s">
        <v>553</v>
      </c>
      <c r="T319" s="13" t="s">
        <v>49</v>
      </c>
      <c r="U319" s="13" t="s">
        <v>33</v>
      </c>
      <c r="V319" s="13" t="s">
        <v>34</v>
      </c>
      <c r="W319" s="13" t="s">
        <v>35</v>
      </c>
      <c r="X319" s="14">
        <v>45726.70095995371</v>
      </c>
      <c r="Y319" s="14">
        <v>45726.70095995371</v>
      </c>
      <c r="Z319" s="13"/>
      <c r="AA319" s="13"/>
    </row>
    <row r="320" ht="15.75" customHeight="1">
      <c r="A320" s="11" t="str">
        <f>HYPERLINK("https://portal.hubmapconsortium.org/browse/sample/9e4a2e02b51dd46978ff15f246cd5646", "HBM498.LZHN.484")</f>
        <v>HBM498.LZHN.484</v>
      </c>
      <c r="B320" s="12"/>
      <c r="C320" s="13" t="s">
        <v>549</v>
      </c>
      <c r="D320" s="12" t="s">
        <v>25</v>
      </c>
      <c r="E320" s="7" t="s">
        <v>44</v>
      </c>
      <c r="F320" s="13" t="s">
        <v>563</v>
      </c>
      <c r="G320" s="11" t="b">
        <v>0</v>
      </c>
      <c r="H320" s="11" t="str">
        <f t="shared" si="27"/>
        <v>HBM758.PXTF.453</v>
      </c>
      <c r="I320" s="13" t="s">
        <v>577</v>
      </c>
      <c r="J320" s="13"/>
      <c r="K320" s="13"/>
      <c r="L320" s="13"/>
      <c r="M320" s="13"/>
      <c r="N320" s="13" t="s">
        <v>320</v>
      </c>
      <c r="O320" s="13" t="s">
        <v>28</v>
      </c>
      <c r="P320" s="13" t="s">
        <v>29</v>
      </c>
      <c r="Q320" s="13" t="s">
        <v>30</v>
      </c>
      <c r="R320" s="11" t="b">
        <v>0</v>
      </c>
      <c r="S320" s="11" t="s">
        <v>553</v>
      </c>
      <c r="T320" s="13" t="s">
        <v>32</v>
      </c>
      <c r="U320" s="13" t="s">
        <v>33</v>
      </c>
      <c r="V320" s="13" t="s">
        <v>34</v>
      </c>
      <c r="W320" s="13" t="s">
        <v>35</v>
      </c>
      <c r="X320" s="14">
        <v>45726.70098101852</v>
      </c>
      <c r="Y320" s="14">
        <v>45726.70098101852</v>
      </c>
      <c r="Z320" s="13"/>
      <c r="AA320" s="13"/>
    </row>
    <row r="321" ht="15.75" customHeight="1">
      <c r="A321" s="11" t="str">
        <f>HYPERLINK("https://portal.hubmapconsortium.org/browse/sample/6310ad325bb162a5d081114758fd6c4c", "HBM797.VMLR.565")</f>
        <v>HBM797.VMLR.565</v>
      </c>
      <c r="B321" s="12"/>
      <c r="C321" s="13" t="s">
        <v>549</v>
      </c>
      <c r="D321" s="12" t="s">
        <v>25</v>
      </c>
      <c r="E321" s="7" t="s">
        <v>44</v>
      </c>
      <c r="F321" s="13" t="s">
        <v>563</v>
      </c>
      <c r="G321" s="11" t="b">
        <v>0</v>
      </c>
      <c r="H321" s="11" t="str">
        <f t="shared" si="27"/>
        <v>HBM758.PXTF.453</v>
      </c>
      <c r="I321" s="13" t="s">
        <v>578</v>
      </c>
      <c r="J321" s="13"/>
      <c r="K321" s="13"/>
      <c r="L321" s="13"/>
      <c r="M321" s="13"/>
      <c r="N321" s="13" t="s">
        <v>579</v>
      </c>
      <c r="O321" s="13" t="s">
        <v>28</v>
      </c>
      <c r="P321" s="13" t="s">
        <v>29</v>
      </c>
      <c r="Q321" s="13" t="s">
        <v>30</v>
      </c>
      <c r="R321" s="11" t="b">
        <v>0</v>
      </c>
      <c r="S321" s="11" t="s">
        <v>553</v>
      </c>
      <c r="T321" s="13" t="s">
        <v>49</v>
      </c>
      <c r="U321" s="13" t="s">
        <v>33</v>
      </c>
      <c r="V321" s="13" t="s">
        <v>34</v>
      </c>
      <c r="W321" s="13" t="s">
        <v>35</v>
      </c>
      <c r="X321" s="14">
        <v>45726.70100094908</v>
      </c>
      <c r="Y321" s="14">
        <v>45726.70100094908</v>
      </c>
      <c r="Z321" s="13"/>
      <c r="AA321" s="13"/>
    </row>
    <row r="322" ht="15.75" customHeight="1">
      <c r="A322" s="11" t="str">
        <f>HYPERLINK("https://portal.hubmapconsortium.org/browse/sample/f1f74418f040a5def71636970ae0284c", "HBM645.LMSN.866")</f>
        <v>HBM645.LMSN.866</v>
      </c>
      <c r="B322" s="12"/>
      <c r="C322" s="13" t="s">
        <v>549</v>
      </c>
      <c r="D322" s="12" t="s">
        <v>25</v>
      </c>
      <c r="E322" s="7" t="s">
        <v>44</v>
      </c>
      <c r="F322" s="13" t="s">
        <v>563</v>
      </c>
      <c r="G322" s="11" t="b">
        <v>0</v>
      </c>
      <c r="H322" s="11" t="str">
        <f t="shared" si="27"/>
        <v>HBM758.PXTF.453</v>
      </c>
      <c r="I322" s="13" t="s">
        <v>580</v>
      </c>
      <c r="J322" s="13"/>
      <c r="K322" s="13"/>
      <c r="L322" s="13"/>
      <c r="M322" s="13"/>
      <c r="N322" s="13" t="s">
        <v>581</v>
      </c>
      <c r="O322" s="13" t="s">
        <v>28</v>
      </c>
      <c r="P322" s="13" t="s">
        <v>29</v>
      </c>
      <c r="Q322" s="13" t="s">
        <v>30</v>
      </c>
      <c r="R322" s="11" t="b">
        <v>0</v>
      </c>
      <c r="S322" s="11" t="s">
        <v>553</v>
      </c>
      <c r="T322" s="13" t="s">
        <v>49</v>
      </c>
      <c r="U322" s="13" t="s">
        <v>33</v>
      </c>
      <c r="V322" s="13" t="s">
        <v>34</v>
      </c>
      <c r="W322" s="13" t="s">
        <v>35</v>
      </c>
      <c r="X322" s="14">
        <v>45726.70101946759</v>
      </c>
      <c r="Y322" s="14">
        <v>45726.70101946759</v>
      </c>
      <c r="Z322" s="13"/>
      <c r="AA322" s="13"/>
    </row>
    <row r="323" ht="15.75" customHeight="1">
      <c r="A323" s="11" t="str">
        <f>HYPERLINK("https://portal.hubmapconsortium.org/browse/sample/085b8ca54946d7017eac6d2fc191e0dc", "HBM572.FVCS.756")</f>
        <v>HBM572.FVCS.756</v>
      </c>
      <c r="B323" s="12"/>
      <c r="C323" s="13" t="s">
        <v>549</v>
      </c>
      <c r="D323" s="12" t="s">
        <v>25</v>
      </c>
      <c r="E323" s="7" t="s">
        <v>44</v>
      </c>
      <c r="F323" s="13" t="s">
        <v>563</v>
      </c>
      <c r="G323" s="11" t="b">
        <v>0</v>
      </c>
      <c r="H323" s="11" t="str">
        <f t="shared" si="27"/>
        <v>HBM758.PXTF.453</v>
      </c>
      <c r="I323" s="13" t="s">
        <v>582</v>
      </c>
      <c r="J323" s="13"/>
      <c r="K323" s="13"/>
      <c r="L323" s="13"/>
      <c r="M323" s="13"/>
      <c r="N323" s="13" t="s">
        <v>583</v>
      </c>
      <c r="O323" s="13" t="s">
        <v>28</v>
      </c>
      <c r="P323" s="13" t="s">
        <v>29</v>
      </c>
      <c r="Q323" s="13" t="s">
        <v>30</v>
      </c>
      <c r="R323" s="11" t="b">
        <v>0</v>
      </c>
      <c r="S323" s="11" t="s">
        <v>553</v>
      </c>
      <c r="T323" s="13" t="s">
        <v>49</v>
      </c>
      <c r="U323" s="13" t="s">
        <v>33</v>
      </c>
      <c r="V323" s="13" t="s">
        <v>34</v>
      </c>
      <c r="W323" s="13" t="s">
        <v>35</v>
      </c>
      <c r="X323" s="14">
        <v>45726.70103692129</v>
      </c>
      <c r="Y323" s="14">
        <v>45726.70103692129</v>
      </c>
      <c r="Z323" s="13"/>
      <c r="AA323" s="13"/>
    </row>
    <row r="324" ht="15.75" customHeight="1">
      <c r="A324" s="11" t="str">
        <f>HYPERLINK("https://portal.hubmapconsortium.org/browse/sample/33b97402e4d0a8f1d6d2ddeb9d603504", "HBM838.HWXK.327")</f>
        <v>HBM838.HWXK.327</v>
      </c>
      <c r="B324" s="12"/>
      <c r="C324" s="13" t="s">
        <v>549</v>
      </c>
      <c r="D324" s="12" t="s">
        <v>25</v>
      </c>
      <c r="E324" s="7" t="s">
        <v>44</v>
      </c>
      <c r="F324" s="13" t="s">
        <v>563</v>
      </c>
      <c r="G324" s="11" t="b">
        <v>0</v>
      </c>
      <c r="H324" s="11" t="str">
        <f t="shared" si="27"/>
        <v>HBM758.PXTF.453</v>
      </c>
      <c r="I324" s="13" t="s">
        <v>584</v>
      </c>
      <c r="J324" s="13"/>
      <c r="K324" s="13"/>
      <c r="L324" s="13"/>
      <c r="M324" s="13"/>
      <c r="N324" s="13" t="s">
        <v>328</v>
      </c>
      <c r="O324" s="13" t="s">
        <v>28</v>
      </c>
      <c r="P324" s="13" t="s">
        <v>29</v>
      </c>
      <c r="Q324" s="13" t="s">
        <v>30</v>
      </c>
      <c r="R324" s="11" t="b">
        <v>0</v>
      </c>
      <c r="S324" s="11" t="s">
        <v>553</v>
      </c>
      <c r="T324" s="13" t="s">
        <v>32</v>
      </c>
      <c r="U324" s="13" t="s">
        <v>33</v>
      </c>
      <c r="V324" s="13" t="s">
        <v>34</v>
      </c>
      <c r="W324" s="13" t="s">
        <v>35</v>
      </c>
      <c r="X324" s="14">
        <v>45726.70105756944</v>
      </c>
      <c r="Y324" s="14">
        <v>45726.70105756944</v>
      </c>
      <c r="Z324" s="13"/>
      <c r="AA324" s="13"/>
    </row>
    <row r="325" ht="15.75" customHeight="1">
      <c r="A325" s="11" t="str">
        <f>HYPERLINK("https://portal.hubmapconsortium.org/browse/sample/1052760ecb2e2d1ac2bb2d3412012652", "HBM372.BHKD.438")</f>
        <v>HBM372.BHKD.438</v>
      </c>
      <c r="B325" s="12"/>
      <c r="C325" s="13" t="s">
        <v>549</v>
      </c>
      <c r="D325" s="12" t="s">
        <v>25</v>
      </c>
      <c r="E325" s="7" t="s">
        <v>44</v>
      </c>
      <c r="F325" s="13" t="s">
        <v>563</v>
      </c>
      <c r="G325" s="11" t="b">
        <v>0</v>
      </c>
      <c r="H325" s="11" t="str">
        <f t="shared" si="27"/>
        <v>HBM758.PXTF.453</v>
      </c>
      <c r="I325" s="13" t="s">
        <v>585</v>
      </c>
      <c r="J325" s="13"/>
      <c r="K325" s="13"/>
      <c r="L325" s="13"/>
      <c r="M325" s="13"/>
      <c r="N325" s="13" t="s">
        <v>586</v>
      </c>
      <c r="O325" s="13" t="s">
        <v>28</v>
      </c>
      <c r="P325" s="13" t="s">
        <v>29</v>
      </c>
      <c r="Q325" s="13" t="s">
        <v>30</v>
      </c>
      <c r="R325" s="11" t="b">
        <v>0</v>
      </c>
      <c r="S325" s="11" t="s">
        <v>553</v>
      </c>
      <c r="T325" s="13" t="s">
        <v>49</v>
      </c>
      <c r="U325" s="13" t="s">
        <v>33</v>
      </c>
      <c r="V325" s="13" t="s">
        <v>34</v>
      </c>
      <c r="W325" s="13" t="s">
        <v>35</v>
      </c>
      <c r="X325" s="14">
        <v>45726.70107682871</v>
      </c>
      <c r="Y325" s="14">
        <v>45726.70107682871</v>
      </c>
      <c r="Z325" s="13"/>
      <c r="AA325" s="13"/>
    </row>
    <row r="326" ht="15.75" customHeight="1">
      <c r="A326" s="11" t="str">
        <f>HYPERLINK("https://portal.hubmapconsortium.org/browse/sample/5e6e8101528bb82c9f85d15601736e93", "HBM657.FDRV.875")</f>
        <v>HBM657.FDRV.875</v>
      </c>
      <c r="B326" s="12"/>
      <c r="C326" s="13" t="s">
        <v>549</v>
      </c>
      <c r="D326" s="12" t="s">
        <v>25</v>
      </c>
      <c r="E326" s="7" t="s">
        <v>44</v>
      </c>
      <c r="F326" s="13" t="s">
        <v>563</v>
      </c>
      <c r="G326" s="11" t="b">
        <v>0</v>
      </c>
      <c r="H326" s="11" t="str">
        <f t="shared" si="27"/>
        <v>HBM758.PXTF.453</v>
      </c>
      <c r="I326" s="13" t="s">
        <v>587</v>
      </c>
      <c r="J326" s="13"/>
      <c r="K326" s="13"/>
      <c r="L326" s="13"/>
      <c r="M326" s="13"/>
      <c r="N326" s="13" t="s">
        <v>588</v>
      </c>
      <c r="O326" s="13" t="s">
        <v>28</v>
      </c>
      <c r="P326" s="13" t="s">
        <v>29</v>
      </c>
      <c r="Q326" s="13" t="s">
        <v>30</v>
      </c>
      <c r="R326" s="11" t="b">
        <v>0</v>
      </c>
      <c r="S326" s="11" t="s">
        <v>553</v>
      </c>
      <c r="T326" s="13" t="s">
        <v>49</v>
      </c>
      <c r="U326" s="13" t="s">
        <v>33</v>
      </c>
      <c r="V326" s="13" t="s">
        <v>34</v>
      </c>
      <c r="W326" s="13" t="s">
        <v>35</v>
      </c>
      <c r="X326" s="14">
        <v>45726.70109771991</v>
      </c>
      <c r="Y326" s="14">
        <v>45726.70109771991</v>
      </c>
      <c r="Z326" s="13"/>
      <c r="AA326" s="13"/>
    </row>
    <row r="327" ht="15.75" customHeight="1">
      <c r="A327" s="11" t="str">
        <f>HYPERLINK("https://portal.hubmapconsortium.org/browse/sample/5bbb2d61384d2cb2cd1e77e86261792f", "HBM395.CCCZ.997")</f>
        <v>HBM395.CCCZ.997</v>
      </c>
      <c r="B327" s="12"/>
      <c r="C327" s="13" t="s">
        <v>549</v>
      </c>
      <c r="D327" s="12" t="s">
        <v>25</v>
      </c>
      <c r="E327" s="7" t="s">
        <v>44</v>
      </c>
      <c r="F327" s="13" t="s">
        <v>563</v>
      </c>
      <c r="G327" s="11" t="b">
        <v>0</v>
      </c>
      <c r="H327" s="11" t="str">
        <f t="shared" si="27"/>
        <v>HBM758.PXTF.453</v>
      </c>
      <c r="I327" s="13" t="s">
        <v>589</v>
      </c>
      <c r="J327" s="13"/>
      <c r="K327" s="13"/>
      <c r="L327" s="13"/>
      <c r="M327" s="13"/>
      <c r="N327" s="13" t="s">
        <v>590</v>
      </c>
      <c r="O327" s="13" t="s">
        <v>28</v>
      </c>
      <c r="P327" s="13" t="s">
        <v>29</v>
      </c>
      <c r="Q327" s="13" t="s">
        <v>30</v>
      </c>
      <c r="R327" s="11" t="b">
        <v>0</v>
      </c>
      <c r="S327" s="11" t="s">
        <v>553</v>
      </c>
      <c r="T327" s="13" t="s">
        <v>49</v>
      </c>
      <c r="U327" s="13" t="s">
        <v>33</v>
      </c>
      <c r="V327" s="13" t="s">
        <v>34</v>
      </c>
      <c r="W327" s="13" t="s">
        <v>35</v>
      </c>
      <c r="X327" s="14">
        <v>45726.70111837963</v>
      </c>
      <c r="Y327" s="14">
        <v>45726.70111837963</v>
      </c>
      <c r="Z327" s="13"/>
      <c r="AA327" s="13"/>
    </row>
    <row r="328" ht="15.75" customHeight="1">
      <c r="A328" s="11" t="str">
        <f>HYPERLINK("https://portal.hubmapconsortium.org/browse/sample/b31afcbae826467cb08bb9570b68ebfa", "HBM838.LCGG.839")</f>
        <v>HBM838.LCGG.839</v>
      </c>
      <c r="B328" s="12"/>
      <c r="C328" s="13" t="s">
        <v>549</v>
      </c>
      <c r="D328" s="12" t="s">
        <v>25</v>
      </c>
      <c r="E328" s="7" t="s">
        <v>44</v>
      </c>
      <c r="F328" s="13" t="s">
        <v>563</v>
      </c>
      <c r="G328" s="11" t="b">
        <v>0</v>
      </c>
      <c r="H328" s="11" t="str">
        <f t="shared" si="27"/>
        <v>HBM758.PXTF.453</v>
      </c>
      <c r="I328" s="13" t="s">
        <v>591</v>
      </c>
      <c r="J328" s="13"/>
      <c r="K328" s="13"/>
      <c r="L328" s="13"/>
      <c r="M328" s="13"/>
      <c r="N328" s="13" t="s">
        <v>336</v>
      </c>
      <c r="O328" s="13" t="s">
        <v>28</v>
      </c>
      <c r="P328" s="13" t="s">
        <v>29</v>
      </c>
      <c r="Q328" s="13" t="s">
        <v>30</v>
      </c>
      <c r="R328" s="11" t="b">
        <v>0</v>
      </c>
      <c r="S328" s="11" t="s">
        <v>553</v>
      </c>
      <c r="T328" s="13" t="s">
        <v>32</v>
      </c>
      <c r="U328" s="13" t="s">
        <v>33</v>
      </c>
      <c r="V328" s="13" t="s">
        <v>34</v>
      </c>
      <c r="W328" s="13" t="s">
        <v>35</v>
      </c>
      <c r="X328" s="14">
        <v>45726.70113847222</v>
      </c>
      <c r="Y328" s="14">
        <v>45726.70113847222</v>
      </c>
      <c r="Z328" s="13"/>
      <c r="AA328" s="13"/>
    </row>
    <row r="329" ht="15.75" customHeight="1">
      <c r="A329" s="11" t="str">
        <f>HYPERLINK("https://portal.hubmapconsortium.org/browse/sample/bc9f34ae876a1c145a4b59ac8d6d872d", "HBM624.JGBB.838")</f>
        <v>HBM624.JGBB.838</v>
      </c>
      <c r="B329" s="12"/>
      <c r="C329" s="13" t="s">
        <v>549</v>
      </c>
      <c r="D329" s="12" t="s">
        <v>25</v>
      </c>
      <c r="E329" s="7" t="s">
        <v>44</v>
      </c>
      <c r="F329" s="13" t="s">
        <v>563</v>
      </c>
      <c r="G329" s="11" t="b">
        <v>0</v>
      </c>
      <c r="H329" s="11" t="str">
        <f t="shared" si="27"/>
        <v>HBM758.PXTF.453</v>
      </c>
      <c r="I329" s="13" t="s">
        <v>592</v>
      </c>
      <c r="J329" s="13"/>
      <c r="K329" s="13"/>
      <c r="L329" s="13"/>
      <c r="M329" s="13"/>
      <c r="N329" s="13" t="s">
        <v>565</v>
      </c>
      <c r="O329" s="13" t="s">
        <v>28</v>
      </c>
      <c r="P329" s="13" t="s">
        <v>29</v>
      </c>
      <c r="Q329" s="13" t="s">
        <v>30</v>
      </c>
      <c r="R329" s="11" t="b">
        <v>0</v>
      </c>
      <c r="S329" s="11" t="s">
        <v>553</v>
      </c>
      <c r="T329" s="13" t="s">
        <v>49</v>
      </c>
      <c r="U329" s="13" t="s">
        <v>33</v>
      </c>
      <c r="V329" s="13" t="s">
        <v>34</v>
      </c>
      <c r="W329" s="13" t="s">
        <v>35</v>
      </c>
      <c r="X329" s="14">
        <v>45726.70115993056</v>
      </c>
      <c r="Y329" s="14">
        <v>45726.70115993056</v>
      </c>
      <c r="Z329" s="13"/>
      <c r="AA329" s="13"/>
    </row>
    <row r="330" ht="15.75" customHeight="1">
      <c r="A330" s="11" t="str">
        <f>HYPERLINK("https://portal.hubmapconsortium.org/browse/sample/fc137d3e9ab7321045a16cd49ad867b3", "HBM369.KKCB.279")</f>
        <v>HBM369.KKCB.279</v>
      </c>
      <c r="B330" s="12"/>
      <c r="C330" s="13" t="s">
        <v>549</v>
      </c>
      <c r="D330" s="12" t="s">
        <v>25</v>
      </c>
      <c r="E330" s="7" t="s">
        <v>44</v>
      </c>
      <c r="F330" s="13" t="s">
        <v>563</v>
      </c>
      <c r="G330" s="11" t="b">
        <v>0</v>
      </c>
      <c r="H330" s="11" t="str">
        <f t="shared" si="27"/>
        <v>HBM758.PXTF.453</v>
      </c>
      <c r="I330" s="13" t="s">
        <v>593</v>
      </c>
      <c r="J330" s="13"/>
      <c r="K330" s="13"/>
      <c r="L330" s="13"/>
      <c r="M330" s="13"/>
      <c r="N330" s="13" t="s">
        <v>567</v>
      </c>
      <c r="O330" s="13" t="s">
        <v>28</v>
      </c>
      <c r="P330" s="13" t="s">
        <v>29</v>
      </c>
      <c r="Q330" s="13" t="s">
        <v>30</v>
      </c>
      <c r="R330" s="11" t="b">
        <v>0</v>
      </c>
      <c r="S330" s="11" t="s">
        <v>553</v>
      </c>
      <c r="T330" s="13" t="s">
        <v>49</v>
      </c>
      <c r="U330" s="13" t="s">
        <v>33</v>
      </c>
      <c r="V330" s="13" t="s">
        <v>34</v>
      </c>
      <c r="W330" s="13" t="s">
        <v>35</v>
      </c>
      <c r="X330" s="14">
        <v>45726.70117907407</v>
      </c>
      <c r="Y330" s="14">
        <v>45726.70117907407</v>
      </c>
      <c r="Z330" s="13"/>
      <c r="AA330" s="13"/>
    </row>
    <row r="331" ht="15.75" customHeight="1">
      <c r="A331" s="11" t="str">
        <f>HYPERLINK("https://portal.hubmapconsortium.org/browse/sample/da1d44f6dd31b7c651c04315baedcae4", "HBM739.DZTS.746")</f>
        <v>HBM739.DZTS.746</v>
      </c>
      <c r="B331" s="12"/>
      <c r="C331" s="13" t="s">
        <v>549</v>
      </c>
      <c r="D331" s="12" t="s">
        <v>25</v>
      </c>
      <c r="E331" s="7" t="s">
        <v>44</v>
      </c>
      <c r="F331" s="13" t="s">
        <v>563</v>
      </c>
      <c r="G331" s="11" t="b">
        <v>0</v>
      </c>
      <c r="H331" s="11" t="str">
        <f t="shared" si="27"/>
        <v>HBM758.PXTF.453</v>
      </c>
      <c r="I331" s="13" t="s">
        <v>594</v>
      </c>
      <c r="J331" s="13"/>
      <c r="K331" s="13"/>
      <c r="L331" s="13"/>
      <c r="M331" s="13"/>
      <c r="N331" s="13" t="s">
        <v>569</v>
      </c>
      <c r="O331" s="13" t="s">
        <v>28</v>
      </c>
      <c r="P331" s="13" t="s">
        <v>29</v>
      </c>
      <c r="Q331" s="13" t="s">
        <v>30</v>
      </c>
      <c r="R331" s="11" t="b">
        <v>0</v>
      </c>
      <c r="S331" s="11" t="s">
        <v>553</v>
      </c>
      <c r="T331" s="13" t="s">
        <v>49</v>
      </c>
      <c r="U331" s="13" t="s">
        <v>33</v>
      </c>
      <c r="V331" s="13" t="s">
        <v>34</v>
      </c>
      <c r="W331" s="13" t="s">
        <v>35</v>
      </c>
      <c r="X331" s="14">
        <v>45726.70120017361</v>
      </c>
      <c r="Y331" s="14">
        <v>45726.70120017361</v>
      </c>
      <c r="Z331" s="13"/>
      <c r="AA331" s="13"/>
    </row>
    <row r="332" ht="15.75" customHeight="1">
      <c r="A332" s="11" t="str">
        <f>HYPERLINK("https://portal.hubmapconsortium.org/browse/sample/e20f8a04b5c410fb2fbf7edd9f3f8f25", "HBM392.MBWR.547")</f>
        <v>HBM392.MBWR.547</v>
      </c>
      <c r="B332" s="12"/>
      <c r="C332" s="13" t="s">
        <v>549</v>
      </c>
      <c r="D332" s="12" t="s">
        <v>25</v>
      </c>
      <c r="E332" s="7" t="s">
        <v>44</v>
      </c>
      <c r="F332" s="13" t="s">
        <v>563</v>
      </c>
      <c r="G332" s="11" t="b">
        <v>0</v>
      </c>
      <c r="H332" s="11" t="str">
        <f t="shared" si="27"/>
        <v>HBM758.PXTF.453</v>
      </c>
      <c r="I332" s="13" t="s">
        <v>595</v>
      </c>
      <c r="J332" s="13"/>
      <c r="K332" s="13"/>
      <c r="L332" s="13"/>
      <c r="M332" s="13"/>
      <c r="N332" s="13" t="s">
        <v>312</v>
      </c>
      <c r="O332" s="13" t="s">
        <v>28</v>
      </c>
      <c r="P332" s="13" t="s">
        <v>29</v>
      </c>
      <c r="Q332" s="13" t="s">
        <v>30</v>
      </c>
      <c r="R332" s="11" t="b">
        <v>0</v>
      </c>
      <c r="S332" s="11" t="s">
        <v>553</v>
      </c>
      <c r="T332" s="13" t="s">
        <v>32</v>
      </c>
      <c r="U332" s="13" t="s">
        <v>33</v>
      </c>
      <c r="V332" s="13" t="s">
        <v>34</v>
      </c>
      <c r="W332" s="13" t="s">
        <v>35</v>
      </c>
      <c r="X332" s="14">
        <v>45726.70121835648</v>
      </c>
      <c r="Y332" s="14">
        <v>45726.70121835648</v>
      </c>
      <c r="Z332" s="13"/>
      <c r="AA332" s="13"/>
    </row>
    <row r="333" ht="15.75" customHeight="1">
      <c r="A333" s="11" t="str">
        <f>HYPERLINK("https://portal.hubmapconsortium.org/browse/sample/ae754d2047e1e46c83b25c4eab9c9919", "HBM397.JJXL.374")</f>
        <v>HBM397.JJXL.374</v>
      </c>
      <c r="B333" s="12"/>
      <c r="C333" s="13" t="s">
        <v>549</v>
      </c>
      <c r="D333" s="12" t="s">
        <v>25</v>
      </c>
      <c r="E333" s="7" t="s">
        <v>44</v>
      </c>
      <c r="F333" s="13" t="s">
        <v>563</v>
      </c>
      <c r="G333" s="11" t="b">
        <v>0</v>
      </c>
      <c r="H333" s="11" t="str">
        <f t="shared" si="27"/>
        <v>HBM758.PXTF.453</v>
      </c>
      <c r="I333" s="13" t="s">
        <v>596</v>
      </c>
      <c r="J333" s="13"/>
      <c r="K333" s="13"/>
      <c r="L333" s="13"/>
      <c r="M333" s="13"/>
      <c r="N333" s="13" t="s">
        <v>572</v>
      </c>
      <c r="O333" s="13" t="s">
        <v>28</v>
      </c>
      <c r="P333" s="13" t="s">
        <v>29</v>
      </c>
      <c r="Q333" s="13" t="s">
        <v>30</v>
      </c>
      <c r="R333" s="11" t="b">
        <v>0</v>
      </c>
      <c r="S333" s="11" t="s">
        <v>553</v>
      </c>
      <c r="T333" s="13" t="s">
        <v>49</v>
      </c>
      <c r="U333" s="13" t="s">
        <v>33</v>
      </c>
      <c r="V333" s="13" t="s">
        <v>34</v>
      </c>
      <c r="W333" s="13" t="s">
        <v>35</v>
      </c>
      <c r="X333" s="14">
        <v>45726.70123770833</v>
      </c>
      <c r="Y333" s="14">
        <v>45726.70123770833</v>
      </c>
      <c r="Z333" s="13"/>
      <c r="AA333" s="13"/>
    </row>
    <row r="334" ht="15.75" customHeight="1">
      <c r="A334" s="11" t="str">
        <f>HYPERLINK("https://portal.hubmapconsortium.org/browse/sample/6d694df002685d64b4e69eb3acd8d058", "HBM889.PCQD.535")</f>
        <v>HBM889.PCQD.535</v>
      </c>
      <c r="B334" s="12"/>
      <c r="C334" s="13" t="s">
        <v>549</v>
      </c>
      <c r="D334" s="12" t="s">
        <v>25</v>
      </c>
      <c r="E334" s="7" t="s">
        <v>44</v>
      </c>
      <c r="F334" s="13" t="s">
        <v>563</v>
      </c>
      <c r="G334" s="11" t="b">
        <v>0</v>
      </c>
      <c r="H334" s="11" t="str">
        <f t="shared" si="27"/>
        <v>HBM758.PXTF.453</v>
      </c>
      <c r="I334" s="13" t="s">
        <v>597</v>
      </c>
      <c r="J334" s="13"/>
      <c r="K334" s="13"/>
      <c r="L334" s="13"/>
      <c r="M334" s="13"/>
      <c r="N334" s="13" t="s">
        <v>574</v>
      </c>
      <c r="O334" s="13" t="s">
        <v>28</v>
      </c>
      <c r="P334" s="13" t="s">
        <v>29</v>
      </c>
      <c r="Q334" s="13" t="s">
        <v>30</v>
      </c>
      <c r="R334" s="11" t="b">
        <v>0</v>
      </c>
      <c r="S334" s="11" t="s">
        <v>553</v>
      </c>
      <c r="T334" s="13" t="s">
        <v>49</v>
      </c>
      <c r="U334" s="13" t="s">
        <v>33</v>
      </c>
      <c r="V334" s="13" t="s">
        <v>34</v>
      </c>
      <c r="W334" s="13" t="s">
        <v>35</v>
      </c>
      <c r="X334" s="14">
        <v>45726.70125898148</v>
      </c>
      <c r="Y334" s="14">
        <v>45726.70125898148</v>
      </c>
      <c r="Z334" s="13"/>
      <c r="AA334" s="13"/>
    </row>
    <row r="335" ht="15.75" customHeight="1">
      <c r="A335" s="11" t="str">
        <f>HYPERLINK("https://portal.hubmapconsortium.org/browse/sample/146015660ca74408564b0ad1be502e3b", "HBM637.BPSB.287")</f>
        <v>HBM637.BPSB.287</v>
      </c>
      <c r="B335" s="12"/>
      <c r="C335" s="13" t="s">
        <v>549</v>
      </c>
      <c r="D335" s="12" t="s">
        <v>25</v>
      </c>
      <c r="E335" s="7" t="s">
        <v>44</v>
      </c>
      <c r="F335" s="13" t="s">
        <v>563</v>
      </c>
      <c r="G335" s="11" t="b">
        <v>0</v>
      </c>
      <c r="H335" s="11" t="str">
        <f t="shared" si="27"/>
        <v>HBM758.PXTF.453</v>
      </c>
      <c r="I335" s="13" t="s">
        <v>598</v>
      </c>
      <c r="J335" s="13"/>
      <c r="K335" s="13"/>
      <c r="L335" s="13"/>
      <c r="M335" s="13"/>
      <c r="N335" s="13" t="s">
        <v>576</v>
      </c>
      <c r="O335" s="13" t="s">
        <v>28</v>
      </c>
      <c r="P335" s="13" t="s">
        <v>29</v>
      </c>
      <c r="Q335" s="13" t="s">
        <v>30</v>
      </c>
      <c r="R335" s="11" t="b">
        <v>0</v>
      </c>
      <c r="S335" s="11" t="s">
        <v>553</v>
      </c>
      <c r="T335" s="13" t="s">
        <v>49</v>
      </c>
      <c r="U335" s="13" t="s">
        <v>33</v>
      </c>
      <c r="V335" s="13" t="s">
        <v>34</v>
      </c>
      <c r="W335" s="13" t="s">
        <v>35</v>
      </c>
      <c r="X335" s="14">
        <v>45726.70128010416</v>
      </c>
      <c r="Y335" s="14">
        <v>45726.70128010416</v>
      </c>
      <c r="Z335" s="13"/>
      <c r="AA335" s="13"/>
    </row>
    <row r="336" ht="15.75" customHeight="1">
      <c r="A336" s="11" t="str">
        <f>HYPERLINK("https://portal.hubmapconsortium.org/browse/sample/3582e6228a4b56ae713760813c12e65b", "HBM695.WRHD.967")</f>
        <v>HBM695.WRHD.967</v>
      </c>
      <c r="B336" s="12"/>
      <c r="C336" s="13" t="s">
        <v>549</v>
      </c>
      <c r="D336" s="12" t="s">
        <v>25</v>
      </c>
      <c r="E336" s="7" t="s">
        <v>44</v>
      </c>
      <c r="F336" s="13" t="s">
        <v>563</v>
      </c>
      <c r="G336" s="11" t="b">
        <v>0</v>
      </c>
      <c r="H336" s="11" t="str">
        <f t="shared" si="27"/>
        <v>HBM758.PXTF.453</v>
      </c>
      <c r="I336" s="13" t="s">
        <v>599</v>
      </c>
      <c r="J336" s="13"/>
      <c r="K336" s="13"/>
      <c r="L336" s="13"/>
      <c r="M336" s="13"/>
      <c r="N336" s="13" t="s">
        <v>320</v>
      </c>
      <c r="O336" s="13" t="s">
        <v>28</v>
      </c>
      <c r="P336" s="13" t="s">
        <v>29</v>
      </c>
      <c r="Q336" s="13" t="s">
        <v>30</v>
      </c>
      <c r="R336" s="11" t="b">
        <v>0</v>
      </c>
      <c r="S336" s="11" t="s">
        <v>553</v>
      </c>
      <c r="T336" s="13" t="s">
        <v>32</v>
      </c>
      <c r="U336" s="13" t="s">
        <v>33</v>
      </c>
      <c r="V336" s="13" t="s">
        <v>34</v>
      </c>
      <c r="W336" s="13" t="s">
        <v>35</v>
      </c>
      <c r="X336" s="14">
        <v>45726.70130535879</v>
      </c>
      <c r="Y336" s="14">
        <v>45726.70130535879</v>
      </c>
      <c r="Z336" s="13"/>
      <c r="AA336" s="13"/>
    </row>
    <row r="337" ht="15.75" customHeight="1">
      <c r="A337" s="11" t="str">
        <f>HYPERLINK("https://portal.hubmapconsortium.org/browse/sample/d6e37bdab2f6d714f8a000b976776e4e", "HBM886.RDCK.722")</f>
        <v>HBM886.RDCK.722</v>
      </c>
      <c r="B337" s="12"/>
      <c r="C337" s="13" t="s">
        <v>549</v>
      </c>
      <c r="D337" s="12" t="s">
        <v>25</v>
      </c>
      <c r="E337" s="7" t="s">
        <v>44</v>
      </c>
      <c r="F337" s="13" t="s">
        <v>563</v>
      </c>
      <c r="G337" s="11" t="b">
        <v>0</v>
      </c>
      <c r="H337" s="11" t="str">
        <f t="shared" si="27"/>
        <v>HBM758.PXTF.453</v>
      </c>
      <c r="I337" s="13" t="s">
        <v>600</v>
      </c>
      <c r="J337" s="13"/>
      <c r="K337" s="13"/>
      <c r="L337" s="13"/>
      <c r="M337" s="13"/>
      <c r="N337" s="13" t="s">
        <v>579</v>
      </c>
      <c r="O337" s="13" t="s">
        <v>28</v>
      </c>
      <c r="P337" s="13" t="s">
        <v>29</v>
      </c>
      <c r="Q337" s="13" t="s">
        <v>30</v>
      </c>
      <c r="R337" s="11" t="b">
        <v>0</v>
      </c>
      <c r="S337" s="11" t="s">
        <v>553</v>
      </c>
      <c r="T337" s="13" t="s">
        <v>49</v>
      </c>
      <c r="U337" s="13" t="s">
        <v>33</v>
      </c>
      <c r="V337" s="13" t="s">
        <v>34</v>
      </c>
      <c r="W337" s="13" t="s">
        <v>35</v>
      </c>
      <c r="X337" s="14">
        <v>45726.70132371528</v>
      </c>
      <c r="Y337" s="14">
        <v>45726.70132371528</v>
      </c>
      <c r="Z337" s="13"/>
      <c r="AA337" s="13"/>
    </row>
    <row r="338" ht="15.75" customHeight="1">
      <c r="A338" s="11" t="str">
        <f>HYPERLINK("https://portal.hubmapconsortium.org/browse/sample/5e8465a4355e7a2a20cfa7ae09b7b52c", "HBM996.HBHN.528")</f>
        <v>HBM996.HBHN.528</v>
      </c>
      <c r="B338" s="12"/>
      <c r="C338" s="13" t="s">
        <v>549</v>
      </c>
      <c r="D338" s="12" t="s">
        <v>25</v>
      </c>
      <c r="E338" s="7" t="s">
        <v>44</v>
      </c>
      <c r="F338" s="13" t="s">
        <v>563</v>
      </c>
      <c r="G338" s="11" t="b">
        <v>0</v>
      </c>
      <c r="H338" s="11" t="str">
        <f t="shared" si="27"/>
        <v>HBM758.PXTF.453</v>
      </c>
      <c r="I338" s="13" t="s">
        <v>601</v>
      </c>
      <c r="J338" s="13"/>
      <c r="K338" s="13"/>
      <c r="L338" s="13"/>
      <c r="M338" s="13"/>
      <c r="N338" s="13" t="s">
        <v>581</v>
      </c>
      <c r="O338" s="13" t="s">
        <v>28</v>
      </c>
      <c r="P338" s="13" t="s">
        <v>29</v>
      </c>
      <c r="Q338" s="13" t="s">
        <v>30</v>
      </c>
      <c r="R338" s="11" t="b">
        <v>0</v>
      </c>
      <c r="S338" s="11" t="s">
        <v>553</v>
      </c>
      <c r="T338" s="13" t="s">
        <v>49</v>
      </c>
      <c r="U338" s="13" t="s">
        <v>33</v>
      </c>
      <c r="V338" s="13" t="s">
        <v>34</v>
      </c>
      <c r="W338" s="13" t="s">
        <v>35</v>
      </c>
      <c r="X338" s="14">
        <v>45726.70134388889</v>
      </c>
      <c r="Y338" s="14">
        <v>45726.70134388889</v>
      </c>
      <c r="Z338" s="13"/>
      <c r="AA338" s="13"/>
    </row>
    <row r="339" ht="15.75" customHeight="1">
      <c r="A339" s="11" t="str">
        <f>HYPERLINK("https://portal.hubmapconsortium.org/browse/sample/e982278e8863bfa5a0b480ae6fa63637", "HBM526.LMZW.847")</f>
        <v>HBM526.LMZW.847</v>
      </c>
      <c r="B339" s="12"/>
      <c r="C339" s="13" t="s">
        <v>549</v>
      </c>
      <c r="D339" s="12" t="s">
        <v>25</v>
      </c>
      <c r="E339" s="7" t="s">
        <v>44</v>
      </c>
      <c r="F339" s="13" t="s">
        <v>563</v>
      </c>
      <c r="G339" s="11" t="b">
        <v>0</v>
      </c>
      <c r="H339" s="11" t="str">
        <f t="shared" si="27"/>
        <v>HBM758.PXTF.453</v>
      </c>
      <c r="I339" s="13" t="s">
        <v>602</v>
      </c>
      <c r="J339" s="13"/>
      <c r="K339" s="13"/>
      <c r="L339" s="13"/>
      <c r="M339" s="13"/>
      <c r="N339" s="13" t="s">
        <v>583</v>
      </c>
      <c r="O339" s="13" t="s">
        <v>28</v>
      </c>
      <c r="P339" s="13" t="s">
        <v>29</v>
      </c>
      <c r="Q339" s="13" t="s">
        <v>30</v>
      </c>
      <c r="R339" s="11" t="b">
        <v>0</v>
      </c>
      <c r="S339" s="11" t="s">
        <v>553</v>
      </c>
      <c r="T339" s="13" t="s">
        <v>49</v>
      </c>
      <c r="U339" s="13" t="s">
        <v>33</v>
      </c>
      <c r="V339" s="13" t="s">
        <v>34</v>
      </c>
      <c r="W339" s="13" t="s">
        <v>35</v>
      </c>
      <c r="X339" s="14">
        <v>45726.70136290509</v>
      </c>
      <c r="Y339" s="14">
        <v>45726.70136290509</v>
      </c>
      <c r="Z339" s="13"/>
      <c r="AA339" s="13"/>
    </row>
    <row r="340" ht="15.75" customHeight="1">
      <c r="A340" s="11" t="str">
        <f>HYPERLINK("https://portal.hubmapconsortium.org/browse/sample/5e429cd3236d7b493849779056f3abbb", "HBM928.JSSN.243")</f>
        <v>HBM928.JSSN.243</v>
      </c>
      <c r="B340" s="12"/>
      <c r="C340" s="13" t="s">
        <v>549</v>
      </c>
      <c r="D340" s="12" t="s">
        <v>25</v>
      </c>
      <c r="E340" s="7" t="s">
        <v>44</v>
      </c>
      <c r="F340" s="13" t="s">
        <v>563</v>
      </c>
      <c r="G340" s="11" t="b">
        <v>0</v>
      </c>
      <c r="H340" s="11" t="str">
        <f t="shared" si="27"/>
        <v>HBM758.PXTF.453</v>
      </c>
      <c r="I340" s="13" t="s">
        <v>603</v>
      </c>
      <c r="J340" s="13"/>
      <c r="K340" s="13"/>
      <c r="L340" s="13"/>
      <c r="M340" s="13"/>
      <c r="N340" s="13" t="s">
        <v>328</v>
      </c>
      <c r="O340" s="13" t="s">
        <v>28</v>
      </c>
      <c r="P340" s="13" t="s">
        <v>29</v>
      </c>
      <c r="Q340" s="13" t="s">
        <v>30</v>
      </c>
      <c r="R340" s="11" t="b">
        <v>0</v>
      </c>
      <c r="S340" s="11" t="s">
        <v>553</v>
      </c>
      <c r="T340" s="13" t="s">
        <v>32</v>
      </c>
      <c r="U340" s="13" t="s">
        <v>33</v>
      </c>
      <c r="V340" s="13" t="s">
        <v>34</v>
      </c>
      <c r="W340" s="13" t="s">
        <v>35</v>
      </c>
      <c r="X340" s="14">
        <v>45726.70138160879</v>
      </c>
      <c r="Y340" s="14">
        <v>45726.70138160879</v>
      </c>
      <c r="Z340" s="13"/>
      <c r="AA340" s="13"/>
    </row>
    <row r="341" ht="15.75" customHeight="1">
      <c r="A341" s="11" t="str">
        <f>HYPERLINK("https://portal.hubmapconsortium.org/browse/sample/71777cfdc0b03dd52523787c447645be", "HBM896.VNGQ.329")</f>
        <v>HBM896.VNGQ.329</v>
      </c>
      <c r="B341" s="12"/>
      <c r="C341" s="13" t="s">
        <v>549</v>
      </c>
      <c r="D341" s="12" t="s">
        <v>25</v>
      </c>
      <c r="E341" s="7" t="s">
        <v>44</v>
      </c>
      <c r="F341" s="13" t="s">
        <v>563</v>
      </c>
      <c r="G341" s="11" t="b">
        <v>0</v>
      </c>
      <c r="H341" s="11" t="str">
        <f t="shared" si="27"/>
        <v>HBM758.PXTF.453</v>
      </c>
      <c r="I341" s="13" t="s">
        <v>604</v>
      </c>
      <c r="J341" s="13"/>
      <c r="K341" s="13"/>
      <c r="L341" s="13"/>
      <c r="M341" s="13"/>
      <c r="N341" s="13" t="s">
        <v>586</v>
      </c>
      <c r="O341" s="13" t="s">
        <v>28</v>
      </c>
      <c r="P341" s="13" t="s">
        <v>29</v>
      </c>
      <c r="Q341" s="13" t="s">
        <v>30</v>
      </c>
      <c r="R341" s="11" t="b">
        <v>0</v>
      </c>
      <c r="S341" s="11" t="s">
        <v>553</v>
      </c>
      <c r="T341" s="13" t="s">
        <v>49</v>
      </c>
      <c r="U341" s="13" t="s">
        <v>33</v>
      </c>
      <c r="V341" s="13" t="s">
        <v>34</v>
      </c>
      <c r="W341" s="13" t="s">
        <v>35</v>
      </c>
      <c r="X341" s="14">
        <v>45726.70140216436</v>
      </c>
      <c r="Y341" s="14">
        <v>45726.70140216436</v>
      </c>
      <c r="Z341" s="13"/>
      <c r="AA341" s="13"/>
    </row>
    <row r="342" ht="15.75" customHeight="1">
      <c r="A342" s="11" t="str">
        <f>HYPERLINK("https://portal.hubmapconsortium.org/browse/sample/bcc81c54566950e15f79c246bcbceb51", "HBM985.THXL.898")</f>
        <v>HBM985.THXL.898</v>
      </c>
      <c r="B342" s="12"/>
      <c r="C342" s="13" t="s">
        <v>549</v>
      </c>
      <c r="D342" s="12" t="s">
        <v>25</v>
      </c>
      <c r="E342" s="7" t="s">
        <v>44</v>
      </c>
      <c r="F342" s="13" t="s">
        <v>563</v>
      </c>
      <c r="G342" s="11" t="b">
        <v>0</v>
      </c>
      <c r="H342" s="11" t="str">
        <f t="shared" si="27"/>
        <v>HBM758.PXTF.453</v>
      </c>
      <c r="I342" s="13" t="s">
        <v>605</v>
      </c>
      <c r="J342" s="13"/>
      <c r="K342" s="13"/>
      <c r="L342" s="13"/>
      <c r="M342" s="13"/>
      <c r="N342" s="13" t="s">
        <v>588</v>
      </c>
      <c r="O342" s="13" t="s">
        <v>28</v>
      </c>
      <c r="P342" s="13" t="s">
        <v>29</v>
      </c>
      <c r="Q342" s="13" t="s">
        <v>30</v>
      </c>
      <c r="R342" s="11" t="b">
        <v>0</v>
      </c>
      <c r="S342" s="11" t="s">
        <v>553</v>
      </c>
      <c r="T342" s="13" t="s">
        <v>49</v>
      </c>
      <c r="U342" s="13" t="s">
        <v>33</v>
      </c>
      <c r="V342" s="13" t="s">
        <v>34</v>
      </c>
      <c r="W342" s="13" t="s">
        <v>35</v>
      </c>
      <c r="X342" s="14">
        <v>45726.70142319444</v>
      </c>
      <c r="Y342" s="14">
        <v>45726.70142319444</v>
      </c>
      <c r="Z342" s="13"/>
      <c r="AA342" s="13"/>
    </row>
    <row r="343" ht="15.75" customHeight="1">
      <c r="A343" s="11" t="str">
        <f>HYPERLINK("https://portal.hubmapconsortium.org/browse/sample/2dc3050efbb28093ff0391842bc5c7a6", "HBM323.SMBF.993")</f>
        <v>HBM323.SMBF.993</v>
      </c>
      <c r="B343" s="12"/>
      <c r="C343" s="13" t="s">
        <v>549</v>
      </c>
      <c r="D343" s="12" t="s">
        <v>25</v>
      </c>
      <c r="E343" s="7" t="s">
        <v>44</v>
      </c>
      <c r="F343" s="13" t="s">
        <v>563</v>
      </c>
      <c r="G343" s="11" t="b">
        <v>0</v>
      </c>
      <c r="H343" s="11" t="str">
        <f t="shared" si="27"/>
        <v>HBM758.PXTF.453</v>
      </c>
      <c r="I343" s="13" t="s">
        <v>606</v>
      </c>
      <c r="J343" s="13"/>
      <c r="K343" s="13"/>
      <c r="L343" s="13"/>
      <c r="M343" s="13"/>
      <c r="N343" s="13" t="s">
        <v>590</v>
      </c>
      <c r="O343" s="13" t="s">
        <v>28</v>
      </c>
      <c r="P343" s="13" t="s">
        <v>29</v>
      </c>
      <c r="Q343" s="13" t="s">
        <v>30</v>
      </c>
      <c r="R343" s="11" t="b">
        <v>0</v>
      </c>
      <c r="S343" s="11" t="s">
        <v>553</v>
      </c>
      <c r="T343" s="13" t="s">
        <v>49</v>
      </c>
      <c r="U343" s="13" t="s">
        <v>33</v>
      </c>
      <c r="V343" s="13" t="s">
        <v>34</v>
      </c>
      <c r="W343" s="13" t="s">
        <v>35</v>
      </c>
      <c r="X343" s="14">
        <v>45726.70144417824</v>
      </c>
      <c r="Y343" s="14">
        <v>45726.70144417824</v>
      </c>
      <c r="Z343" s="13"/>
      <c r="AA343" s="13"/>
    </row>
    <row r="344" ht="15.75" customHeight="1">
      <c r="A344" s="11" t="str">
        <f>HYPERLINK("https://portal.hubmapconsortium.org/browse/sample/fe74aa5bf2e9cf74caa08d068182d6bb", "HBM288.HMLN.437")</f>
        <v>HBM288.HMLN.437</v>
      </c>
      <c r="B344" s="12"/>
      <c r="C344" s="13" t="s">
        <v>549</v>
      </c>
      <c r="D344" s="12" t="s">
        <v>25</v>
      </c>
      <c r="E344" s="7" t="s">
        <v>44</v>
      </c>
      <c r="F344" s="13" t="s">
        <v>563</v>
      </c>
      <c r="G344" s="11" t="b">
        <v>0</v>
      </c>
      <c r="H344" s="11" t="str">
        <f t="shared" si="27"/>
        <v>HBM758.PXTF.453</v>
      </c>
      <c r="I344" s="13" t="s">
        <v>607</v>
      </c>
      <c r="J344" s="13"/>
      <c r="K344" s="13"/>
      <c r="L344" s="13"/>
      <c r="M344" s="13"/>
      <c r="N344" s="13" t="s">
        <v>336</v>
      </c>
      <c r="O344" s="13" t="s">
        <v>28</v>
      </c>
      <c r="P344" s="13" t="s">
        <v>29</v>
      </c>
      <c r="Q344" s="13" t="s">
        <v>30</v>
      </c>
      <c r="R344" s="11" t="b">
        <v>0</v>
      </c>
      <c r="S344" s="11" t="s">
        <v>553</v>
      </c>
      <c r="T344" s="13" t="s">
        <v>32</v>
      </c>
      <c r="U344" s="13" t="s">
        <v>33</v>
      </c>
      <c r="V344" s="13" t="s">
        <v>34</v>
      </c>
      <c r="W344" s="13" t="s">
        <v>35</v>
      </c>
      <c r="X344" s="14">
        <v>45726.70146395834</v>
      </c>
      <c r="Y344" s="14">
        <v>45726.70146395834</v>
      </c>
      <c r="Z344" s="13"/>
      <c r="AA344" s="13"/>
    </row>
    <row r="345" ht="15.75" customHeight="1">
      <c r="A345" s="11" t="str">
        <f>HYPERLINK("https://portal.hubmapconsortium.org/browse/sample/7dad5940848bcc0847ea545511849485", "HBM333.HWPG.777")</f>
        <v>HBM333.HWPG.777</v>
      </c>
      <c r="B345" s="12"/>
      <c r="C345" s="13" t="s">
        <v>549</v>
      </c>
      <c r="D345" s="12" t="s">
        <v>25</v>
      </c>
      <c r="E345" s="7" t="s">
        <v>44</v>
      </c>
      <c r="F345" s="13" t="s">
        <v>563</v>
      </c>
      <c r="G345" s="11" t="b">
        <v>0</v>
      </c>
      <c r="H345" s="11" t="str">
        <f t="shared" si="27"/>
        <v>HBM758.PXTF.453</v>
      </c>
      <c r="I345" s="13" t="s">
        <v>608</v>
      </c>
      <c r="J345" s="13"/>
      <c r="K345" s="13"/>
      <c r="L345" s="13"/>
      <c r="M345" s="13"/>
      <c r="N345" s="13" t="s">
        <v>609</v>
      </c>
      <c r="O345" s="13" t="s">
        <v>28</v>
      </c>
      <c r="P345" s="13" t="s">
        <v>29</v>
      </c>
      <c r="Q345" s="13" t="s">
        <v>30</v>
      </c>
      <c r="R345" s="11" t="b">
        <v>0</v>
      </c>
      <c r="S345" s="11" t="s">
        <v>553</v>
      </c>
      <c r="T345" s="13" t="s">
        <v>49</v>
      </c>
      <c r="U345" s="13" t="s">
        <v>33</v>
      </c>
      <c r="V345" s="13" t="s">
        <v>34</v>
      </c>
      <c r="W345" s="13" t="s">
        <v>35</v>
      </c>
      <c r="X345" s="14">
        <v>45726.69033359954</v>
      </c>
      <c r="Y345" s="14">
        <v>45726.69033359954</v>
      </c>
      <c r="Z345" s="13"/>
      <c r="AA345" s="13"/>
    </row>
    <row r="346" ht="15.75" customHeight="1">
      <c r="A346" s="11" t="str">
        <f>HYPERLINK("https://portal.hubmapconsortium.org/browse/sample/6acb0c4de309282c607a714994e64bac", "HBM366.XMHW.964")</f>
        <v>HBM366.XMHW.964</v>
      </c>
      <c r="B346" s="12"/>
      <c r="C346" s="13" t="s">
        <v>549</v>
      </c>
      <c r="D346" s="12" t="s">
        <v>25</v>
      </c>
      <c r="E346" s="7" t="s">
        <v>44</v>
      </c>
      <c r="F346" s="13" t="s">
        <v>563</v>
      </c>
      <c r="G346" s="11" t="b">
        <v>0</v>
      </c>
      <c r="H346" s="11" t="str">
        <f t="shared" si="27"/>
        <v>HBM758.PXTF.453</v>
      </c>
      <c r="I346" s="13" t="s">
        <v>610</v>
      </c>
      <c r="J346" s="13"/>
      <c r="K346" s="13"/>
      <c r="L346" s="13"/>
      <c r="M346" s="13"/>
      <c r="N346" s="13" t="s">
        <v>611</v>
      </c>
      <c r="O346" s="13" t="s">
        <v>28</v>
      </c>
      <c r="P346" s="13" t="s">
        <v>29</v>
      </c>
      <c r="Q346" s="13" t="s">
        <v>30</v>
      </c>
      <c r="R346" s="11" t="b">
        <v>0</v>
      </c>
      <c r="S346" s="11" t="s">
        <v>553</v>
      </c>
      <c r="T346" s="13" t="s">
        <v>49</v>
      </c>
      <c r="U346" s="13" t="s">
        <v>33</v>
      </c>
      <c r="V346" s="13" t="s">
        <v>34</v>
      </c>
      <c r="W346" s="13" t="s">
        <v>35</v>
      </c>
      <c r="X346" s="14">
        <v>45726.69035313658</v>
      </c>
      <c r="Y346" s="14">
        <v>45726.69035313658</v>
      </c>
      <c r="Z346" s="13"/>
      <c r="AA346" s="13"/>
    </row>
    <row r="347" ht="15.75" customHeight="1">
      <c r="A347" s="11" t="str">
        <f>HYPERLINK("https://portal.hubmapconsortium.org/browse/sample/90c8496e727ca7840570706029ae49f4", "HBM972.CWQZ.485")</f>
        <v>HBM972.CWQZ.485</v>
      </c>
      <c r="B347" s="12"/>
      <c r="C347" s="13" t="s">
        <v>549</v>
      </c>
      <c r="D347" s="12" t="s">
        <v>25</v>
      </c>
      <c r="E347" s="7" t="s">
        <v>44</v>
      </c>
      <c r="F347" s="13" t="s">
        <v>563</v>
      </c>
      <c r="G347" s="11" t="b">
        <v>0</v>
      </c>
      <c r="H347" s="11" t="str">
        <f t="shared" si="27"/>
        <v>HBM758.PXTF.453</v>
      </c>
      <c r="I347" s="13" t="s">
        <v>612</v>
      </c>
      <c r="J347" s="13"/>
      <c r="K347" s="13"/>
      <c r="L347" s="13"/>
      <c r="M347" s="13"/>
      <c r="N347" s="13" t="s">
        <v>613</v>
      </c>
      <c r="O347" s="13" t="s">
        <v>28</v>
      </c>
      <c r="P347" s="13" t="s">
        <v>29</v>
      </c>
      <c r="Q347" s="13" t="s">
        <v>30</v>
      </c>
      <c r="R347" s="11" t="b">
        <v>0</v>
      </c>
      <c r="S347" s="11" t="s">
        <v>553</v>
      </c>
      <c r="T347" s="13" t="s">
        <v>49</v>
      </c>
      <c r="U347" s="13" t="s">
        <v>33</v>
      </c>
      <c r="V347" s="13" t="s">
        <v>34</v>
      </c>
      <c r="W347" s="13" t="s">
        <v>35</v>
      </c>
      <c r="X347" s="14">
        <v>45726.69037320602</v>
      </c>
      <c r="Y347" s="14">
        <v>45726.69037320602</v>
      </c>
      <c r="Z347" s="13"/>
      <c r="AA347" s="13"/>
    </row>
    <row r="348" ht="15.75" customHeight="1">
      <c r="A348" s="11" t="str">
        <f>HYPERLINK("https://portal.hubmapconsortium.org/browse/sample/bd10944c087c8fa7f6b5a81c3d8d8382", "HBM882.QGHQ.643")</f>
        <v>HBM882.QGHQ.643</v>
      </c>
      <c r="B348" s="12"/>
      <c r="C348" s="13" t="s">
        <v>549</v>
      </c>
      <c r="D348" s="12" t="s">
        <v>25</v>
      </c>
      <c r="E348" s="7" t="s">
        <v>44</v>
      </c>
      <c r="F348" s="13" t="s">
        <v>563</v>
      </c>
      <c r="G348" s="11" t="b">
        <v>0</v>
      </c>
      <c r="H348" s="11" t="str">
        <f t="shared" si="27"/>
        <v>HBM758.PXTF.453</v>
      </c>
      <c r="I348" s="13" t="s">
        <v>614</v>
      </c>
      <c r="J348" s="13"/>
      <c r="K348" s="13"/>
      <c r="L348" s="13"/>
      <c r="M348" s="13"/>
      <c r="N348" s="13" t="s">
        <v>360</v>
      </c>
      <c r="O348" s="13" t="s">
        <v>28</v>
      </c>
      <c r="P348" s="13" t="s">
        <v>29</v>
      </c>
      <c r="Q348" s="13" t="s">
        <v>30</v>
      </c>
      <c r="R348" s="11" t="b">
        <v>0</v>
      </c>
      <c r="S348" s="11" t="s">
        <v>553</v>
      </c>
      <c r="T348" s="13" t="s">
        <v>32</v>
      </c>
      <c r="U348" s="13" t="s">
        <v>33</v>
      </c>
      <c r="V348" s="13" t="s">
        <v>34</v>
      </c>
      <c r="W348" s="13" t="s">
        <v>35</v>
      </c>
      <c r="X348" s="14">
        <v>45726.69039418981</v>
      </c>
      <c r="Y348" s="14">
        <v>45726.69039418981</v>
      </c>
      <c r="Z348" s="13"/>
      <c r="AA348" s="13"/>
    </row>
    <row r="349" ht="15.75" customHeight="1">
      <c r="A349" s="11" t="str">
        <f>HYPERLINK("https://portal.hubmapconsortium.org/browse/sample/20acbc758407319f570d44bbba50e50f", "HBM967.MQMM.678")</f>
        <v>HBM967.MQMM.678</v>
      </c>
      <c r="B349" s="12"/>
      <c r="C349" s="13" t="s">
        <v>549</v>
      </c>
      <c r="D349" s="12" t="s">
        <v>25</v>
      </c>
      <c r="E349" s="7" t="s">
        <v>44</v>
      </c>
      <c r="F349" s="13" t="s">
        <v>563</v>
      </c>
      <c r="G349" s="11" t="b">
        <v>0</v>
      </c>
      <c r="H349" s="11" t="str">
        <f t="shared" si="27"/>
        <v>HBM758.PXTF.453</v>
      </c>
      <c r="I349" s="13" t="s">
        <v>615</v>
      </c>
      <c r="J349" s="13"/>
      <c r="K349" s="13"/>
      <c r="L349" s="13"/>
      <c r="M349" s="13"/>
      <c r="N349" s="13" t="s">
        <v>616</v>
      </c>
      <c r="O349" s="13" t="s">
        <v>28</v>
      </c>
      <c r="P349" s="13" t="s">
        <v>29</v>
      </c>
      <c r="Q349" s="13" t="s">
        <v>30</v>
      </c>
      <c r="R349" s="11" t="b">
        <v>0</v>
      </c>
      <c r="S349" s="11" t="s">
        <v>553</v>
      </c>
      <c r="T349" s="13" t="s">
        <v>49</v>
      </c>
      <c r="U349" s="13" t="s">
        <v>33</v>
      </c>
      <c r="V349" s="13" t="s">
        <v>34</v>
      </c>
      <c r="W349" s="13" t="s">
        <v>35</v>
      </c>
      <c r="X349" s="14">
        <v>45726.69041733797</v>
      </c>
      <c r="Y349" s="14">
        <v>45726.69041733797</v>
      </c>
      <c r="Z349" s="13"/>
      <c r="AA349" s="13"/>
    </row>
    <row r="350" ht="15.75" customHeight="1">
      <c r="A350" s="11" t="str">
        <f>HYPERLINK("https://portal.hubmapconsortium.org/browse/sample/f6a6bacc6b3a3c1227afd295cfb54fde", "HBM298.RKQV.869")</f>
        <v>HBM298.RKQV.869</v>
      </c>
      <c r="B350" s="12"/>
      <c r="C350" s="13" t="s">
        <v>549</v>
      </c>
      <c r="D350" s="12" t="s">
        <v>25</v>
      </c>
      <c r="E350" s="7" t="s">
        <v>44</v>
      </c>
      <c r="F350" s="13" t="s">
        <v>563</v>
      </c>
      <c r="G350" s="11" t="b">
        <v>0</v>
      </c>
      <c r="H350" s="11" t="str">
        <f t="shared" si="27"/>
        <v>HBM758.PXTF.453</v>
      </c>
      <c r="I350" s="13" t="s">
        <v>617</v>
      </c>
      <c r="J350" s="13"/>
      <c r="K350" s="13"/>
      <c r="L350" s="13"/>
      <c r="M350" s="13"/>
      <c r="N350" s="13" t="s">
        <v>618</v>
      </c>
      <c r="O350" s="13" t="s">
        <v>28</v>
      </c>
      <c r="P350" s="13" t="s">
        <v>29</v>
      </c>
      <c r="Q350" s="13" t="s">
        <v>30</v>
      </c>
      <c r="R350" s="11" t="b">
        <v>0</v>
      </c>
      <c r="S350" s="11" t="s">
        <v>553</v>
      </c>
      <c r="T350" s="13" t="s">
        <v>49</v>
      </c>
      <c r="U350" s="13" t="s">
        <v>33</v>
      </c>
      <c r="V350" s="13" t="s">
        <v>34</v>
      </c>
      <c r="W350" s="13" t="s">
        <v>35</v>
      </c>
      <c r="X350" s="14">
        <v>45726.69044005787</v>
      </c>
      <c r="Y350" s="14">
        <v>45726.69044005787</v>
      </c>
      <c r="Z350" s="13"/>
      <c r="AA350" s="13"/>
    </row>
    <row r="351" ht="15.75" customHeight="1">
      <c r="A351" s="11" t="str">
        <f>HYPERLINK("https://portal.hubmapconsortium.org/browse/sample/b871f362b9fd0b0c251405fffcdd2c8c", "HBM236.FSMV.489")</f>
        <v>HBM236.FSMV.489</v>
      </c>
      <c r="B351" s="12"/>
      <c r="C351" s="13" t="s">
        <v>549</v>
      </c>
      <c r="D351" s="12" t="s">
        <v>25</v>
      </c>
      <c r="E351" s="7" t="s">
        <v>44</v>
      </c>
      <c r="F351" s="13" t="s">
        <v>563</v>
      </c>
      <c r="G351" s="11" t="b">
        <v>0</v>
      </c>
      <c r="H351" s="11" t="str">
        <f t="shared" si="27"/>
        <v>HBM758.PXTF.453</v>
      </c>
      <c r="I351" s="13" t="s">
        <v>619</v>
      </c>
      <c r="J351" s="13"/>
      <c r="K351" s="13"/>
      <c r="L351" s="13"/>
      <c r="M351" s="13"/>
      <c r="N351" s="13" t="s">
        <v>620</v>
      </c>
      <c r="O351" s="13" t="s">
        <v>28</v>
      </c>
      <c r="P351" s="13" t="s">
        <v>29</v>
      </c>
      <c r="Q351" s="13" t="s">
        <v>30</v>
      </c>
      <c r="R351" s="11" t="b">
        <v>0</v>
      </c>
      <c r="S351" s="11" t="s">
        <v>553</v>
      </c>
      <c r="T351" s="13" t="s">
        <v>49</v>
      </c>
      <c r="U351" s="13" t="s">
        <v>33</v>
      </c>
      <c r="V351" s="13" t="s">
        <v>34</v>
      </c>
      <c r="W351" s="13" t="s">
        <v>35</v>
      </c>
      <c r="X351" s="14">
        <v>45726.69046318287</v>
      </c>
      <c r="Y351" s="14">
        <v>45726.69046318287</v>
      </c>
      <c r="Z351" s="13"/>
      <c r="AA351" s="13"/>
    </row>
    <row r="352" ht="15.75" customHeight="1">
      <c r="A352" s="11" t="str">
        <f>HYPERLINK("https://portal.hubmapconsortium.org/browse/sample/b2faa32c6d742e5ddc97a05e419fd5f7", "HBM954.DZCK.864")</f>
        <v>HBM954.DZCK.864</v>
      </c>
      <c r="B352" s="12"/>
      <c r="C352" s="13" t="s">
        <v>549</v>
      </c>
      <c r="D352" s="12" t="s">
        <v>25</v>
      </c>
      <c r="E352" s="7" t="s">
        <v>44</v>
      </c>
      <c r="F352" s="13" t="s">
        <v>563</v>
      </c>
      <c r="G352" s="11" t="b">
        <v>0</v>
      </c>
      <c r="H352" s="11" t="str">
        <f t="shared" si="27"/>
        <v>HBM758.PXTF.453</v>
      </c>
      <c r="I352" s="13" t="s">
        <v>621</v>
      </c>
      <c r="J352" s="13"/>
      <c r="K352" s="13"/>
      <c r="L352" s="13"/>
      <c r="M352" s="13"/>
      <c r="N352" s="13" t="s">
        <v>368</v>
      </c>
      <c r="O352" s="13" t="s">
        <v>28</v>
      </c>
      <c r="P352" s="13" t="s">
        <v>29</v>
      </c>
      <c r="Q352" s="13" t="s">
        <v>30</v>
      </c>
      <c r="R352" s="11" t="b">
        <v>0</v>
      </c>
      <c r="S352" s="11" t="s">
        <v>553</v>
      </c>
      <c r="T352" s="13" t="s">
        <v>32</v>
      </c>
      <c r="U352" s="13" t="s">
        <v>33</v>
      </c>
      <c r="V352" s="13" t="s">
        <v>34</v>
      </c>
      <c r="W352" s="13" t="s">
        <v>35</v>
      </c>
      <c r="X352" s="14">
        <v>45726.69048484954</v>
      </c>
      <c r="Y352" s="14">
        <v>45726.69048484954</v>
      </c>
      <c r="Z352" s="13"/>
      <c r="AA352" s="13"/>
    </row>
    <row r="353" ht="15.75" customHeight="1">
      <c r="A353" s="11" t="str">
        <f>HYPERLINK("https://portal.hubmapconsortium.org/browse/sample/97660fcbd82f2ecf2fb0ac1a3594ee82", "HBM287.RVBW.874")</f>
        <v>HBM287.RVBW.874</v>
      </c>
      <c r="B353" s="12"/>
      <c r="C353" s="13" t="s">
        <v>549</v>
      </c>
      <c r="D353" s="12" t="s">
        <v>25</v>
      </c>
      <c r="E353" s="7" t="s">
        <v>44</v>
      </c>
      <c r="F353" s="13" t="s">
        <v>563</v>
      </c>
      <c r="G353" s="11" t="b">
        <v>0</v>
      </c>
      <c r="H353" s="11" t="str">
        <f t="shared" si="27"/>
        <v>HBM758.PXTF.453</v>
      </c>
      <c r="I353" s="13" t="s">
        <v>622</v>
      </c>
      <c r="J353" s="13"/>
      <c r="K353" s="13"/>
      <c r="L353" s="13"/>
      <c r="M353" s="13"/>
      <c r="N353" s="13" t="s">
        <v>623</v>
      </c>
      <c r="O353" s="13" t="s">
        <v>28</v>
      </c>
      <c r="P353" s="13" t="s">
        <v>29</v>
      </c>
      <c r="Q353" s="13" t="s">
        <v>30</v>
      </c>
      <c r="R353" s="11" t="b">
        <v>0</v>
      </c>
      <c r="S353" s="11" t="s">
        <v>553</v>
      </c>
      <c r="T353" s="13" t="s">
        <v>49</v>
      </c>
      <c r="U353" s="13" t="s">
        <v>33</v>
      </c>
      <c r="V353" s="13" t="s">
        <v>34</v>
      </c>
      <c r="W353" s="13" t="s">
        <v>35</v>
      </c>
      <c r="X353" s="14">
        <v>45726.69050684028</v>
      </c>
      <c r="Y353" s="14">
        <v>45726.69050684028</v>
      </c>
      <c r="Z353" s="13"/>
      <c r="AA353" s="13"/>
    </row>
    <row r="354" ht="15.75" customHeight="1">
      <c r="A354" s="11" t="str">
        <f>HYPERLINK("https://portal.hubmapconsortium.org/browse/sample/44040daec9b12df81f8b121c9f74fe15", "HBM329.XDLP.379")</f>
        <v>HBM329.XDLP.379</v>
      </c>
      <c r="B354" s="12"/>
      <c r="C354" s="13" t="s">
        <v>549</v>
      </c>
      <c r="D354" s="12" t="s">
        <v>25</v>
      </c>
      <c r="E354" s="7" t="s">
        <v>44</v>
      </c>
      <c r="F354" s="13" t="s">
        <v>563</v>
      </c>
      <c r="G354" s="11" t="b">
        <v>0</v>
      </c>
      <c r="H354" s="11" t="str">
        <f t="shared" si="27"/>
        <v>HBM758.PXTF.453</v>
      </c>
      <c r="I354" s="13" t="s">
        <v>624</v>
      </c>
      <c r="J354" s="13"/>
      <c r="K354" s="13"/>
      <c r="L354" s="13"/>
      <c r="M354" s="13"/>
      <c r="N354" s="13" t="s">
        <v>625</v>
      </c>
      <c r="O354" s="13" t="s">
        <v>28</v>
      </c>
      <c r="P354" s="13" t="s">
        <v>29</v>
      </c>
      <c r="Q354" s="13" t="s">
        <v>30</v>
      </c>
      <c r="R354" s="11" t="b">
        <v>0</v>
      </c>
      <c r="S354" s="11" t="s">
        <v>553</v>
      </c>
      <c r="T354" s="13" t="s">
        <v>49</v>
      </c>
      <c r="U354" s="13" t="s">
        <v>33</v>
      </c>
      <c r="V354" s="13" t="s">
        <v>34</v>
      </c>
      <c r="W354" s="13" t="s">
        <v>35</v>
      </c>
      <c r="X354" s="14">
        <v>45726.69052844907</v>
      </c>
      <c r="Y354" s="14">
        <v>45726.69052844907</v>
      </c>
      <c r="Z354" s="13"/>
      <c r="AA354" s="13"/>
    </row>
    <row r="355" ht="15.75" customHeight="1">
      <c r="A355" s="11" t="str">
        <f>HYPERLINK("https://portal.hubmapconsortium.org/browse/sample/cd9d5b2b42af877d8fd258b5304be3b0", "HBM882.XJVX.478")</f>
        <v>HBM882.XJVX.478</v>
      </c>
      <c r="B355" s="12"/>
      <c r="C355" s="13" t="s">
        <v>549</v>
      </c>
      <c r="D355" s="12" t="s">
        <v>25</v>
      </c>
      <c r="E355" s="7" t="s">
        <v>44</v>
      </c>
      <c r="F355" s="13" t="s">
        <v>563</v>
      </c>
      <c r="G355" s="11" t="b">
        <v>0</v>
      </c>
      <c r="H355" s="11" t="str">
        <f t="shared" si="27"/>
        <v>HBM758.PXTF.453</v>
      </c>
      <c r="I355" s="13" t="s">
        <v>626</v>
      </c>
      <c r="J355" s="13"/>
      <c r="K355" s="13"/>
      <c r="L355" s="13"/>
      <c r="M355" s="13"/>
      <c r="N355" s="13" t="s">
        <v>627</v>
      </c>
      <c r="O355" s="13" t="s">
        <v>28</v>
      </c>
      <c r="P355" s="13" t="s">
        <v>29</v>
      </c>
      <c r="Q355" s="13" t="s">
        <v>30</v>
      </c>
      <c r="R355" s="11" t="b">
        <v>0</v>
      </c>
      <c r="S355" s="11" t="s">
        <v>553</v>
      </c>
      <c r="T355" s="13" t="s">
        <v>49</v>
      </c>
      <c r="U355" s="13" t="s">
        <v>33</v>
      </c>
      <c r="V355" s="13" t="s">
        <v>34</v>
      </c>
      <c r="W355" s="13" t="s">
        <v>35</v>
      </c>
      <c r="X355" s="14">
        <v>45726.69055107639</v>
      </c>
      <c r="Y355" s="14">
        <v>45726.69055107639</v>
      </c>
      <c r="Z355" s="13"/>
      <c r="AA355" s="13"/>
    </row>
    <row r="356" ht="15.75" customHeight="1">
      <c r="A356" s="11" t="str">
        <f>HYPERLINK("https://portal.hubmapconsortium.org/browse/sample/1b05e576b65b80f0acd450f033835222", "HBM395.SCBR.226")</f>
        <v>HBM395.SCBR.226</v>
      </c>
      <c r="B356" s="12"/>
      <c r="C356" s="13" t="s">
        <v>549</v>
      </c>
      <c r="D356" s="12" t="s">
        <v>25</v>
      </c>
      <c r="E356" s="7" t="s">
        <v>44</v>
      </c>
      <c r="F356" s="13" t="s">
        <v>563</v>
      </c>
      <c r="G356" s="11" t="b">
        <v>0</v>
      </c>
      <c r="H356" s="11" t="str">
        <f t="shared" si="27"/>
        <v>HBM758.PXTF.453</v>
      </c>
      <c r="I356" s="13" t="s">
        <v>628</v>
      </c>
      <c r="J356" s="13"/>
      <c r="K356" s="13"/>
      <c r="L356" s="13"/>
      <c r="M356" s="13"/>
      <c r="N356" s="13" t="s">
        <v>629</v>
      </c>
      <c r="O356" s="13" t="s">
        <v>28</v>
      </c>
      <c r="P356" s="13" t="s">
        <v>29</v>
      </c>
      <c r="Q356" s="13" t="s">
        <v>30</v>
      </c>
      <c r="R356" s="11" t="b">
        <v>0</v>
      </c>
      <c r="S356" s="11" t="s">
        <v>553</v>
      </c>
      <c r="T356" s="13" t="s">
        <v>32</v>
      </c>
      <c r="U356" s="13" t="s">
        <v>33</v>
      </c>
      <c r="V356" s="13" t="s">
        <v>34</v>
      </c>
      <c r="W356" s="13" t="s">
        <v>35</v>
      </c>
      <c r="X356" s="14">
        <v>45726.69057332176</v>
      </c>
      <c r="Y356" s="14">
        <v>45726.69057332176</v>
      </c>
      <c r="Z356" s="13"/>
      <c r="AA356" s="13"/>
    </row>
    <row r="357" ht="15.75" customHeight="1">
      <c r="A357" s="11" t="str">
        <f>HYPERLINK("https://portal.hubmapconsortium.org/browse/sample/2ea28d640bbf4badf11f50488ef58520", "HBM562.QXWT.859")</f>
        <v>HBM562.QXWT.859</v>
      </c>
      <c r="B357" s="12"/>
      <c r="C357" s="13" t="s">
        <v>549</v>
      </c>
      <c r="D357" s="12" t="s">
        <v>25</v>
      </c>
      <c r="E357" s="7" t="s">
        <v>44</v>
      </c>
      <c r="F357" s="13" t="s">
        <v>563</v>
      </c>
      <c r="G357" s="11" t="b">
        <v>0</v>
      </c>
      <c r="H357" s="11" t="str">
        <f t="shared" si="27"/>
        <v>HBM758.PXTF.453</v>
      </c>
      <c r="I357" s="13" t="s">
        <v>630</v>
      </c>
      <c r="J357" s="13"/>
      <c r="K357" s="13"/>
      <c r="L357" s="13"/>
      <c r="M357" s="13"/>
      <c r="N357" s="13" t="s">
        <v>631</v>
      </c>
      <c r="O357" s="13" t="s">
        <v>28</v>
      </c>
      <c r="P357" s="13" t="s">
        <v>29</v>
      </c>
      <c r="Q357" s="13" t="s">
        <v>30</v>
      </c>
      <c r="R357" s="11" t="b">
        <v>0</v>
      </c>
      <c r="S357" s="11" t="s">
        <v>553</v>
      </c>
      <c r="T357" s="13" t="s">
        <v>49</v>
      </c>
      <c r="U357" s="13" t="s">
        <v>33</v>
      </c>
      <c r="V357" s="13" t="s">
        <v>34</v>
      </c>
      <c r="W357" s="13" t="s">
        <v>35</v>
      </c>
      <c r="X357" s="14">
        <v>45726.69059392361</v>
      </c>
      <c r="Y357" s="14">
        <v>45726.69059392361</v>
      </c>
      <c r="Z357" s="13"/>
      <c r="AA357" s="13"/>
    </row>
    <row r="358" ht="15.75" customHeight="1">
      <c r="A358" s="11" t="str">
        <f>HYPERLINK("https://portal.hubmapconsortium.org/browse/sample/347b007ea8358995c91c702c382ad3f8", "HBM567.GXTQ.228")</f>
        <v>HBM567.GXTQ.228</v>
      </c>
      <c r="B358" s="12"/>
      <c r="C358" s="13" t="s">
        <v>549</v>
      </c>
      <c r="D358" s="12" t="s">
        <v>25</v>
      </c>
      <c r="E358" s="7" t="s">
        <v>44</v>
      </c>
      <c r="F358" s="13" t="s">
        <v>563</v>
      </c>
      <c r="G358" s="11" t="b">
        <v>0</v>
      </c>
      <c r="H358" s="11" t="str">
        <f t="shared" si="27"/>
        <v>HBM758.PXTF.453</v>
      </c>
      <c r="I358" s="13" t="s">
        <v>632</v>
      </c>
      <c r="J358" s="13"/>
      <c r="K358" s="13"/>
      <c r="L358" s="13"/>
      <c r="M358" s="13"/>
      <c r="N358" s="13" t="s">
        <v>633</v>
      </c>
      <c r="O358" s="13" t="s">
        <v>28</v>
      </c>
      <c r="P358" s="13" t="s">
        <v>29</v>
      </c>
      <c r="Q358" s="13" t="s">
        <v>30</v>
      </c>
      <c r="R358" s="11" t="b">
        <v>0</v>
      </c>
      <c r="S358" s="11" t="s">
        <v>553</v>
      </c>
      <c r="T358" s="13" t="s">
        <v>49</v>
      </c>
      <c r="U358" s="13" t="s">
        <v>33</v>
      </c>
      <c r="V358" s="13" t="s">
        <v>34</v>
      </c>
      <c r="W358" s="13" t="s">
        <v>35</v>
      </c>
      <c r="X358" s="14">
        <v>45726.69061616898</v>
      </c>
      <c r="Y358" s="14">
        <v>45726.69061616898</v>
      </c>
      <c r="Z358" s="13"/>
      <c r="AA358" s="13"/>
    </row>
    <row r="359" ht="15.75" customHeight="1">
      <c r="A359" s="11" t="str">
        <f>HYPERLINK("https://portal.hubmapconsortium.org/browse/sample/b511af7d9d9ac40d84b297a3cffa42d6", "HBM377.ZCFN.836")</f>
        <v>HBM377.ZCFN.836</v>
      </c>
      <c r="B359" s="12"/>
      <c r="C359" s="13" t="s">
        <v>549</v>
      </c>
      <c r="D359" s="12" t="s">
        <v>25</v>
      </c>
      <c r="E359" s="7" t="s">
        <v>44</v>
      </c>
      <c r="F359" s="13" t="s">
        <v>563</v>
      </c>
      <c r="G359" s="11" t="b">
        <v>0</v>
      </c>
      <c r="H359" s="11" t="str">
        <f t="shared" si="27"/>
        <v>HBM758.PXTF.453</v>
      </c>
      <c r="I359" s="13" t="s">
        <v>634</v>
      </c>
      <c r="J359" s="13"/>
      <c r="K359" s="13"/>
      <c r="L359" s="13"/>
      <c r="M359" s="13"/>
      <c r="N359" s="13" t="s">
        <v>635</v>
      </c>
      <c r="O359" s="13" t="s">
        <v>28</v>
      </c>
      <c r="P359" s="13" t="s">
        <v>29</v>
      </c>
      <c r="Q359" s="13" t="s">
        <v>30</v>
      </c>
      <c r="R359" s="11" t="b">
        <v>0</v>
      </c>
      <c r="S359" s="11" t="s">
        <v>553</v>
      </c>
      <c r="T359" s="13" t="s">
        <v>49</v>
      </c>
      <c r="U359" s="13" t="s">
        <v>33</v>
      </c>
      <c r="V359" s="13" t="s">
        <v>34</v>
      </c>
      <c r="W359" s="13" t="s">
        <v>35</v>
      </c>
      <c r="X359" s="14">
        <v>45726.69063706019</v>
      </c>
      <c r="Y359" s="14">
        <v>45726.69063706019</v>
      </c>
      <c r="Z359" s="13"/>
      <c r="AA359" s="13"/>
    </row>
    <row r="360" ht="15.75" customHeight="1">
      <c r="A360" s="11" t="str">
        <f>HYPERLINK("https://portal.hubmapconsortium.org/browse/sample/033a20a600ce885358b2b2b00176c992", "HBM489.LPPX.848")</f>
        <v>HBM489.LPPX.848</v>
      </c>
      <c r="B360" s="12"/>
      <c r="C360" s="13" t="s">
        <v>549</v>
      </c>
      <c r="D360" s="12" t="s">
        <v>25</v>
      </c>
      <c r="E360" s="7" t="s">
        <v>44</v>
      </c>
      <c r="F360" s="13" t="s">
        <v>563</v>
      </c>
      <c r="G360" s="11" t="b">
        <v>0</v>
      </c>
      <c r="H360" s="11" t="str">
        <f t="shared" si="27"/>
        <v>HBM758.PXTF.453</v>
      </c>
      <c r="I360" s="13" t="s">
        <v>636</v>
      </c>
      <c r="J360" s="13"/>
      <c r="K360" s="13"/>
      <c r="L360" s="13"/>
      <c r="M360" s="13"/>
      <c r="N360" s="13" t="s">
        <v>384</v>
      </c>
      <c r="O360" s="13" t="s">
        <v>28</v>
      </c>
      <c r="P360" s="13" t="s">
        <v>29</v>
      </c>
      <c r="Q360" s="13" t="s">
        <v>30</v>
      </c>
      <c r="R360" s="11" t="b">
        <v>0</v>
      </c>
      <c r="S360" s="11" t="s">
        <v>553</v>
      </c>
      <c r="T360" s="13" t="s">
        <v>32</v>
      </c>
      <c r="U360" s="13" t="s">
        <v>33</v>
      </c>
      <c r="V360" s="13" t="s">
        <v>34</v>
      </c>
      <c r="W360" s="13" t="s">
        <v>35</v>
      </c>
      <c r="X360" s="14">
        <v>45726.6906575</v>
      </c>
      <c r="Y360" s="14">
        <v>45726.6906575</v>
      </c>
      <c r="Z360" s="13"/>
      <c r="AA360" s="13"/>
    </row>
    <row r="361" ht="15.75" customHeight="1">
      <c r="A361" s="11" t="str">
        <f>HYPERLINK("https://portal.hubmapconsortium.org/browse/sample/83f0f28ca96b4500e9dce5a1294ac280", "HBM633.KLQB.384")</f>
        <v>HBM633.KLQB.384</v>
      </c>
      <c r="B361" s="12"/>
      <c r="C361" s="13" t="s">
        <v>549</v>
      </c>
      <c r="D361" s="12" t="s">
        <v>25</v>
      </c>
      <c r="E361" s="7" t="s">
        <v>44</v>
      </c>
      <c r="F361" s="13" t="s">
        <v>563</v>
      </c>
      <c r="G361" s="11" t="b">
        <v>0</v>
      </c>
      <c r="H361" s="11" t="str">
        <f t="shared" si="27"/>
        <v>HBM758.PXTF.453</v>
      </c>
      <c r="I361" s="13" t="s">
        <v>637</v>
      </c>
      <c r="J361" s="13"/>
      <c r="K361" s="13"/>
      <c r="L361" s="13"/>
      <c r="M361" s="13"/>
      <c r="N361" s="13" t="s">
        <v>609</v>
      </c>
      <c r="O361" s="13" t="s">
        <v>28</v>
      </c>
      <c r="P361" s="13" t="s">
        <v>29</v>
      </c>
      <c r="Q361" s="13" t="s">
        <v>30</v>
      </c>
      <c r="R361" s="11" t="b">
        <v>0</v>
      </c>
      <c r="S361" s="11" t="s">
        <v>553</v>
      </c>
      <c r="T361" s="13" t="s">
        <v>49</v>
      </c>
      <c r="U361" s="13" t="s">
        <v>33</v>
      </c>
      <c r="V361" s="13" t="s">
        <v>34</v>
      </c>
      <c r="W361" s="13" t="s">
        <v>35</v>
      </c>
      <c r="X361" s="14">
        <v>45726.6906775463</v>
      </c>
      <c r="Y361" s="14">
        <v>45726.6906775463</v>
      </c>
      <c r="Z361" s="13"/>
      <c r="AA361" s="13"/>
    </row>
    <row r="362" ht="15.75" customHeight="1">
      <c r="A362" s="11" t="str">
        <f>HYPERLINK("https://portal.hubmapconsortium.org/browse/sample/95f0c5d785585c752608349acaf69be0", "HBM736.BPZP.596")</f>
        <v>HBM736.BPZP.596</v>
      </c>
      <c r="B362" s="12"/>
      <c r="C362" s="13" t="s">
        <v>549</v>
      </c>
      <c r="D362" s="12" t="s">
        <v>25</v>
      </c>
      <c r="E362" s="7" t="s">
        <v>44</v>
      </c>
      <c r="F362" s="13" t="s">
        <v>563</v>
      </c>
      <c r="G362" s="11" t="b">
        <v>0</v>
      </c>
      <c r="H362" s="11" t="str">
        <f t="shared" si="27"/>
        <v>HBM758.PXTF.453</v>
      </c>
      <c r="I362" s="13" t="s">
        <v>638</v>
      </c>
      <c r="J362" s="13"/>
      <c r="K362" s="13"/>
      <c r="L362" s="13"/>
      <c r="M362" s="13"/>
      <c r="N362" s="13" t="s">
        <v>611</v>
      </c>
      <c r="O362" s="13" t="s">
        <v>28</v>
      </c>
      <c r="P362" s="13" t="s">
        <v>29</v>
      </c>
      <c r="Q362" s="13" t="s">
        <v>30</v>
      </c>
      <c r="R362" s="11" t="b">
        <v>0</v>
      </c>
      <c r="S362" s="11" t="s">
        <v>553</v>
      </c>
      <c r="T362" s="13" t="s">
        <v>49</v>
      </c>
      <c r="U362" s="13" t="s">
        <v>33</v>
      </c>
      <c r="V362" s="13" t="s">
        <v>34</v>
      </c>
      <c r="W362" s="13" t="s">
        <v>35</v>
      </c>
      <c r="X362" s="14">
        <v>45726.69069944444</v>
      </c>
      <c r="Y362" s="14">
        <v>45726.69069944444</v>
      </c>
      <c r="Z362" s="13"/>
      <c r="AA362" s="13"/>
    </row>
    <row r="363" ht="15.75" customHeight="1">
      <c r="A363" s="11" t="str">
        <f>HYPERLINK("https://portal.hubmapconsortium.org/browse/sample/77316b4449b76adcb3de42f21948c704", "HBM465.DVKC.693")</f>
        <v>HBM465.DVKC.693</v>
      </c>
      <c r="B363" s="12"/>
      <c r="C363" s="13" t="s">
        <v>549</v>
      </c>
      <c r="D363" s="12" t="s">
        <v>25</v>
      </c>
      <c r="E363" s="7" t="s">
        <v>44</v>
      </c>
      <c r="F363" s="13" t="s">
        <v>563</v>
      </c>
      <c r="G363" s="11" t="b">
        <v>0</v>
      </c>
      <c r="H363" s="11" t="str">
        <f t="shared" si="27"/>
        <v>HBM758.PXTF.453</v>
      </c>
      <c r="I363" s="13" t="s">
        <v>639</v>
      </c>
      <c r="J363" s="13"/>
      <c r="K363" s="13"/>
      <c r="L363" s="13"/>
      <c r="M363" s="13"/>
      <c r="N363" s="13" t="s">
        <v>613</v>
      </c>
      <c r="O363" s="13" t="s">
        <v>28</v>
      </c>
      <c r="P363" s="13" t="s">
        <v>29</v>
      </c>
      <c r="Q363" s="13" t="s">
        <v>30</v>
      </c>
      <c r="R363" s="11" t="b">
        <v>0</v>
      </c>
      <c r="S363" s="11" t="s">
        <v>553</v>
      </c>
      <c r="T363" s="13" t="s">
        <v>49</v>
      </c>
      <c r="U363" s="13" t="s">
        <v>33</v>
      </c>
      <c r="V363" s="13" t="s">
        <v>34</v>
      </c>
      <c r="W363" s="13" t="s">
        <v>35</v>
      </c>
      <c r="X363" s="14">
        <v>45726.69071984954</v>
      </c>
      <c r="Y363" s="14">
        <v>45726.69071984954</v>
      </c>
      <c r="Z363" s="13"/>
      <c r="AA363" s="13"/>
    </row>
    <row r="364" ht="15.75" customHeight="1">
      <c r="A364" s="11" t="str">
        <f>HYPERLINK("https://portal.hubmapconsortium.org/browse/sample/a5430e1400533c42cd7374913169dd89", "HBM552.XBBV.597")</f>
        <v>HBM552.XBBV.597</v>
      </c>
      <c r="B364" s="12"/>
      <c r="C364" s="13" t="s">
        <v>549</v>
      </c>
      <c r="D364" s="12" t="s">
        <v>25</v>
      </c>
      <c r="E364" s="7" t="s">
        <v>44</v>
      </c>
      <c r="F364" s="13" t="s">
        <v>563</v>
      </c>
      <c r="G364" s="11" t="b">
        <v>0</v>
      </c>
      <c r="H364" s="11" t="str">
        <f t="shared" si="27"/>
        <v>HBM758.PXTF.453</v>
      </c>
      <c r="I364" s="13" t="s">
        <v>640</v>
      </c>
      <c r="J364" s="13"/>
      <c r="K364" s="13"/>
      <c r="L364" s="13"/>
      <c r="M364" s="13"/>
      <c r="N364" s="13" t="s">
        <v>641</v>
      </c>
      <c r="O364" s="13" t="s">
        <v>28</v>
      </c>
      <c r="P364" s="13" t="s">
        <v>29</v>
      </c>
      <c r="Q364" s="13" t="s">
        <v>30</v>
      </c>
      <c r="R364" s="11" t="b">
        <v>0</v>
      </c>
      <c r="S364" s="11" t="s">
        <v>553</v>
      </c>
      <c r="T364" s="13" t="s">
        <v>32</v>
      </c>
      <c r="U364" s="13" t="s">
        <v>33</v>
      </c>
      <c r="V364" s="13" t="s">
        <v>34</v>
      </c>
      <c r="W364" s="13" t="s">
        <v>35</v>
      </c>
      <c r="X364" s="14">
        <v>45726.69074293981</v>
      </c>
      <c r="Y364" s="14">
        <v>45726.69074293981</v>
      </c>
      <c r="Z364" s="13"/>
      <c r="AA364" s="13"/>
    </row>
    <row r="365" ht="15.75" customHeight="1">
      <c r="A365" s="11" t="str">
        <f>HYPERLINK("https://portal.hubmapconsortium.org/browse/sample/d35dc7e2665324fdc2d1bb4fbe1fb292", "HBM975.VCDS.432")</f>
        <v>HBM975.VCDS.432</v>
      </c>
      <c r="B365" s="12"/>
      <c r="C365" s="13" t="s">
        <v>549</v>
      </c>
      <c r="D365" s="12" t="s">
        <v>25</v>
      </c>
      <c r="E365" s="7" t="s">
        <v>44</v>
      </c>
      <c r="F365" s="13" t="s">
        <v>563</v>
      </c>
      <c r="G365" s="11" t="b">
        <v>0</v>
      </c>
      <c r="H365" s="11" t="str">
        <f t="shared" si="27"/>
        <v>HBM758.PXTF.453</v>
      </c>
      <c r="I365" s="13" t="s">
        <v>642</v>
      </c>
      <c r="J365" s="13"/>
      <c r="K365" s="13"/>
      <c r="L365" s="13"/>
      <c r="M365" s="13"/>
      <c r="N365" s="13" t="s">
        <v>616</v>
      </c>
      <c r="O365" s="13" t="s">
        <v>28</v>
      </c>
      <c r="P365" s="13" t="s">
        <v>29</v>
      </c>
      <c r="Q365" s="13" t="s">
        <v>30</v>
      </c>
      <c r="R365" s="11" t="b">
        <v>0</v>
      </c>
      <c r="S365" s="11" t="s">
        <v>553</v>
      </c>
      <c r="T365" s="13" t="s">
        <v>49</v>
      </c>
      <c r="U365" s="13" t="s">
        <v>33</v>
      </c>
      <c r="V365" s="13" t="s">
        <v>34</v>
      </c>
      <c r="W365" s="13" t="s">
        <v>35</v>
      </c>
      <c r="X365" s="14">
        <v>45726.69076225694</v>
      </c>
      <c r="Y365" s="14">
        <v>45726.69076225694</v>
      </c>
      <c r="Z365" s="13"/>
      <c r="AA365" s="13"/>
    </row>
    <row r="366" ht="15.75" customHeight="1">
      <c r="A366" s="11" t="str">
        <f>HYPERLINK("https://portal.hubmapconsortium.org/browse/sample/0ead5575b0aca239a532f0459c840de5", "HBM372.PCPN.425")</f>
        <v>HBM372.PCPN.425</v>
      </c>
      <c r="B366" s="12"/>
      <c r="C366" s="13" t="s">
        <v>549</v>
      </c>
      <c r="D366" s="12" t="s">
        <v>25</v>
      </c>
      <c r="E366" s="7" t="s">
        <v>44</v>
      </c>
      <c r="F366" s="13" t="s">
        <v>563</v>
      </c>
      <c r="G366" s="11" t="b">
        <v>0</v>
      </c>
      <c r="H366" s="11" t="str">
        <f t="shared" si="27"/>
        <v>HBM758.PXTF.453</v>
      </c>
      <c r="I366" s="13" t="s">
        <v>643</v>
      </c>
      <c r="J366" s="13"/>
      <c r="K366" s="13"/>
      <c r="L366" s="13"/>
      <c r="M366" s="13"/>
      <c r="N366" s="13" t="s">
        <v>618</v>
      </c>
      <c r="O366" s="13" t="s">
        <v>28</v>
      </c>
      <c r="P366" s="13" t="s">
        <v>29</v>
      </c>
      <c r="Q366" s="13" t="s">
        <v>30</v>
      </c>
      <c r="R366" s="11" t="b">
        <v>0</v>
      </c>
      <c r="S366" s="11" t="s">
        <v>553</v>
      </c>
      <c r="T366" s="13" t="s">
        <v>49</v>
      </c>
      <c r="U366" s="13" t="s">
        <v>33</v>
      </c>
      <c r="V366" s="13" t="s">
        <v>34</v>
      </c>
      <c r="W366" s="13" t="s">
        <v>35</v>
      </c>
      <c r="X366" s="14">
        <v>45726.6907797801</v>
      </c>
      <c r="Y366" s="14">
        <v>45726.6907797801</v>
      </c>
      <c r="Z366" s="13"/>
      <c r="AA366" s="13"/>
    </row>
    <row r="367" ht="15.75" customHeight="1">
      <c r="A367" s="11" t="str">
        <f>HYPERLINK("https://portal.hubmapconsortium.org/browse/sample/ee7587f4e34006a8cfc2bb2a2e2eee7c", "HBM598.NVVL.654")</f>
        <v>HBM598.NVVL.654</v>
      </c>
      <c r="B367" s="12"/>
      <c r="C367" s="13" t="s">
        <v>549</v>
      </c>
      <c r="D367" s="12" t="s">
        <v>25</v>
      </c>
      <c r="E367" s="7" t="s">
        <v>44</v>
      </c>
      <c r="F367" s="13" t="s">
        <v>563</v>
      </c>
      <c r="G367" s="11" t="b">
        <v>0</v>
      </c>
      <c r="H367" s="11" t="str">
        <f t="shared" si="27"/>
        <v>HBM758.PXTF.453</v>
      </c>
      <c r="I367" s="13" t="s">
        <v>644</v>
      </c>
      <c r="J367" s="13"/>
      <c r="K367" s="13"/>
      <c r="L367" s="13"/>
      <c r="M367" s="13"/>
      <c r="N367" s="13" t="s">
        <v>620</v>
      </c>
      <c r="O367" s="13" t="s">
        <v>28</v>
      </c>
      <c r="P367" s="13" t="s">
        <v>29</v>
      </c>
      <c r="Q367" s="13" t="s">
        <v>30</v>
      </c>
      <c r="R367" s="11" t="b">
        <v>0</v>
      </c>
      <c r="S367" s="11" t="s">
        <v>553</v>
      </c>
      <c r="T367" s="13" t="s">
        <v>49</v>
      </c>
      <c r="U367" s="13" t="s">
        <v>33</v>
      </c>
      <c r="V367" s="13" t="s">
        <v>34</v>
      </c>
      <c r="W367" s="13" t="s">
        <v>35</v>
      </c>
      <c r="X367" s="14">
        <v>45726.69079788194</v>
      </c>
      <c r="Y367" s="14">
        <v>45726.69079788194</v>
      </c>
      <c r="Z367" s="13"/>
      <c r="AA367" s="13"/>
    </row>
    <row r="368" ht="15.75" customHeight="1">
      <c r="A368" s="11" t="str">
        <f>HYPERLINK("https://portal.hubmapconsortium.org/browse/sample/13b393418952e9d5fad5bc305eff1ce3", "HBM598.NXLG.884")</f>
        <v>HBM598.NXLG.884</v>
      </c>
      <c r="B368" s="12"/>
      <c r="C368" s="13" t="s">
        <v>549</v>
      </c>
      <c r="D368" s="12" t="s">
        <v>25</v>
      </c>
      <c r="E368" s="7" t="s">
        <v>44</v>
      </c>
      <c r="F368" s="13" t="s">
        <v>563</v>
      </c>
      <c r="G368" s="11" t="b">
        <v>0</v>
      </c>
      <c r="H368" s="11" t="str">
        <f t="shared" si="27"/>
        <v>HBM758.PXTF.453</v>
      </c>
      <c r="I368" s="13" t="s">
        <v>645</v>
      </c>
      <c r="J368" s="13"/>
      <c r="K368" s="13"/>
      <c r="L368" s="13"/>
      <c r="M368" s="13"/>
      <c r="N368" s="13" t="s">
        <v>368</v>
      </c>
      <c r="O368" s="13" t="s">
        <v>28</v>
      </c>
      <c r="P368" s="13" t="s">
        <v>29</v>
      </c>
      <c r="Q368" s="13" t="s">
        <v>30</v>
      </c>
      <c r="R368" s="11" t="b">
        <v>0</v>
      </c>
      <c r="S368" s="11" t="s">
        <v>553</v>
      </c>
      <c r="T368" s="13" t="s">
        <v>32</v>
      </c>
      <c r="U368" s="13" t="s">
        <v>33</v>
      </c>
      <c r="V368" s="13" t="s">
        <v>34</v>
      </c>
      <c r="W368" s="13" t="s">
        <v>35</v>
      </c>
      <c r="X368" s="14">
        <v>45726.6908194213</v>
      </c>
      <c r="Y368" s="14">
        <v>45726.6908194213</v>
      </c>
      <c r="Z368" s="13"/>
      <c r="AA368" s="13"/>
    </row>
    <row r="369" ht="15.75" customHeight="1">
      <c r="A369" s="11" t="str">
        <f>HYPERLINK("https://portal.hubmapconsortium.org/browse/sample/7c0596e5bd564c6dbc9ec2f0b3a04424", "HBM766.JMHD.754")</f>
        <v>HBM766.JMHD.754</v>
      </c>
      <c r="B369" s="12"/>
      <c r="C369" s="13" t="s">
        <v>549</v>
      </c>
      <c r="D369" s="12" t="s">
        <v>25</v>
      </c>
      <c r="E369" s="7" t="s">
        <v>44</v>
      </c>
      <c r="F369" s="13" t="s">
        <v>563</v>
      </c>
      <c r="G369" s="11" t="b">
        <v>0</v>
      </c>
      <c r="H369" s="11" t="str">
        <f t="shared" si="27"/>
        <v>HBM758.PXTF.453</v>
      </c>
      <c r="I369" s="13" t="s">
        <v>646</v>
      </c>
      <c r="J369" s="13"/>
      <c r="K369" s="13"/>
      <c r="L369" s="13"/>
      <c r="M369" s="13"/>
      <c r="N369" s="13" t="s">
        <v>623</v>
      </c>
      <c r="O369" s="13" t="s">
        <v>28</v>
      </c>
      <c r="P369" s="13" t="s">
        <v>29</v>
      </c>
      <c r="Q369" s="13" t="s">
        <v>30</v>
      </c>
      <c r="R369" s="11" t="b">
        <v>0</v>
      </c>
      <c r="S369" s="11" t="s">
        <v>553</v>
      </c>
      <c r="T369" s="13" t="s">
        <v>49</v>
      </c>
      <c r="U369" s="13" t="s">
        <v>33</v>
      </c>
      <c r="V369" s="13" t="s">
        <v>34</v>
      </c>
      <c r="W369" s="13" t="s">
        <v>35</v>
      </c>
      <c r="X369" s="14">
        <v>45726.69083802083</v>
      </c>
      <c r="Y369" s="14">
        <v>45726.69083802083</v>
      </c>
      <c r="Z369" s="13"/>
      <c r="AA369" s="13"/>
    </row>
    <row r="370" ht="15.75" customHeight="1">
      <c r="A370" s="11" t="str">
        <f>HYPERLINK("https://portal.hubmapconsortium.org/browse/sample/eeb5d4d8c0018b4ff0cbb7cccdd06626", "HBM796.BCXS.676")</f>
        <v>HBM796.BCXS.676</v>
      </c>
      <c r="B370" s="12"/>
      <c r="C370" s="13" t="s">
        <v>549</v>
      </c>
      <c r="D370" s="12" t="s">
        <v>25</v>
      </c>
      <c r="E370" s="7" t="s">
        <v>44</v>
      </c>
      <c r="F370" s="13" t="s">
        <v>563</v>
      </c>
      <c r="G370" s="11" t="b">
        <v>0</v>
      </c>
      <c r="H370" s="11" t="str">
        <f t="shared" si="27"/>
        <v>HBM758.PXTF.453</v>
      </c>
      <c r="I370" s="13" t="s">
        <v>647</v>
      </c>
      <c r="J370" s="13"/>
      <c r="K370" s="13"/>
      <c r="L370" s="13"/>
      <c r="M370" s="13"/>
      <c r="N370" s="13" t="s">
        <v>625</v>
      </c>
      <c r="O370" s="13" t="s">
        <v>28</v>
      </c>
      <c r="P370" s="13" t="s">
        <v>29</v>
      </c>
      <c r="Q370" s="13" t="s">
        <v>30</v>
      </c>
      <c r="R370" s="11" t="b">
        <v>0</v>
      </c>
      <c r="S370" s="11" t="s">
        <v>553</v>
      </c>
      <c r="T370" s="13" t="s">
        <v>49</v>
      </c>
      <c r="U370" s="13" t="s">
        <v>33</v>
      </c>
      <c r="V370" s="13" t="s">
        <v>34</v>
      </c>
      <c r="W370" s="13" t="s">
        <v>35</v>
      </c>
      <c r="X370" s="14">
        <v>45726.69085722222</v>
      </c>
      <c r="Y370" s="14">
        <v>45726.69085722222</v>
      </c>
      <c r="Z370" s="13"/>
      <c r="AA370" s="13"/>
    </row>
    <row r="371" ht="15.75" customHeight="1">
      <c r="A371" s="11" t="str">
        <f>HYPERLINK("https://portal.hubmapconsortium.org/browse/sample/39f83461260c8c7c71ebce0984689b72", "HBM276.LTNB.573")</f>
        <v>HBM276.LTNB.573</v>
      </c>
      <c r="B371" s="12"/>
      <c r="C371" s="13" t="s">
        <v>549</v>
      </c>
      <c r="D371" s="12" t="s">
        <v>25</v>
      </c>
      <c r="E371" s="7" t="s">
        <v>44</v>
      </c>
      <c r="F371" s="13" t="s">
        <v>563</v>
      </c>
      <c r="G371" s="11" t="b">
        <v>0</v>
      </c>
      <c r="H371" s="11" t="str">
        <f t="shared" si="27"/>
        <v>HBM758.PXTF.453</v>
      </c>
      <c r="I371" s="13" t="s">
        <v>648</v>
      </c>
      <c r="J371" s="13"/>
      <c r="K371" s="13"/>
      <c r="L371" s="13"/>
      <c r="M371" s="13"/>
      <c r="N371" s="13" t="s">
        <v>627</v>
      </c>
      <c r="O371" s="13" t="s">
        <v>28</v>
      </c>
      <c r="P371" s="13" t="s">
        <v>29</v>
      </c>
      <c r="Q371" s="13" t="s">
        <v>30</v>
      </c>
      <c r="R371" s="11" t="b">
        <v>0</v>
      </c>
      <c r="S371" s="11" t="s">
        <v>553</v>
      </c>
      <c r="T371" s="13" t="s">
        <v>49</v>
      </c>
      <c r="U371" s="13" t="s">
        <v>33</v>
      </c>
      <c r="V371" s="13" t="s">
        <v>34</v>
      </c>
      <c r="W371" s="13" t="s">
        <v>35</v>
      </c>
      <c r="X371" s="14">
        <v>45726.69087604167</v>
      </c>
      <c r="Y371" s="14">
        <v>45726.69087604167</v>
      </c>
      <c r="Z371" s="13"/>
      <c r="AA371" s="13"/>
    </row>
    <row r="372" ht="15.75" customHeight="1">
      <c r="A372" s="11" t="str">
        <f>HYPERLINK("https://portal.hubmapconsortium.org/browse/sample/c3dd65ba2eb1138c18de6a471cfd6ec6", "HBM334.FWWX.853")</f>
        <v>HBM334.FWWX.853</v>
      </c>
      <c r="B372" s="12"/>
      <c r="C372" s="13" t="s">
        <v>549</v>
      </c>
      <c r="D372" s="12" t="s">
        <v>25</v>
      </c>
      <c r="E372" s="7" t="s">
        <v>44</v>
      </c>
      <c r="F372" s="13" t="s">
        <v>563</v>
      </c>
      <c r="G372" s="11" t="b">
        <v>0</v>
      </c>
      <c r="H372" s="11" t="str">
        <f t="shared" si="27"/>
        <v>HBM758.PXTF.453</v>
      </c>
      <c r="I372" s="13" t="s">
        <v>649</v>
      </c>
      <c r="J372" s="13"/>
      <c r="K372" s="13"/>
      <c r="L372" s="13"/>
      <c r="M372" s="13"/>
      <c r="N372" s="13" t="s">
        <v>629</v>
      </c>
      <c r="O372" s="13" t="s">
        <v>28</v>
      </c>
      <c r="P372" s="13" t="s">
        <v>29</v>
      </c>
      <c r="Q372" s="13" t="s">
        <v>30</v>
      </c>
      <c r="R372" s="11" t="b">
        <v>0</v>
      </c>
      <c r="S372" s="11" t="s">
        <v>553</v>
      </c>
      <c r="T372" s="13" t="s">
        <v>32</v>
      </c>
      <c r="U372" s="13" t="s">
        <v>33</v>
      </c>
      <c r="V372" s="13" t="s">
        <v>34</v>
      </c>
      <c r="W372" s="13" t="s">
        <v>35</v>
      </c>
      <c r="X372" s="14">
        <v>45726.69089422454</v>
      </c>
      <c r="Y372" s="14">
        <v>45726.69089422454</v>
      </c>
      <c r="Z372" s="13"/>
      <c r="AA372" s="13"/>
    </row>
    <row r="373" ht="15.75" customHeight="1">
      <c r="A373" s="11" t="str">
        <f>HYPERLINK("https://portal.hubmapconsortium.org/browse/sample/47c104d1312f07a2a5e531e237c7fb16", "HBM256.PWGJ.789")</f>
        <v>HBM256.PWGJ.789</v>
      </c>
      <c r="B373" s="12"/>
      <c r="C373" s="13" t="s">
        <v>549</v>
      </c>
      <c r="D373" s="12" t="s">
        <v>25</v>
      </c>
      <c r="E373" s="7" t="s">
        <v>44</v>
      </c>
      <c r="F373" s="13" t="s">
        <v>563</v>
      </c>
      <c r="G373" s="11" t="b">
        <v>0</v>
      </c>
      <c r="H373" s="11" t="str">
        <f t="shared" si="27"/>
        <v>HBM758.PXTF.453</v>
      </c>
      <c r="I373" s="13" t="s">
        <v>650</v>
      </c>
      <c r="J373" s="13"/>
      <c r="K373" s="13"/>
      <c r="L373" s="13"/>
      <c r="M373" s="13"/>
      <c r="N373" s="13" t="s">
        <v>631</v>
      </c>
      <c r="O373" s="13" t="s">
        <v>28</v>
      </c>
      <c r="P373" s="13" t="s">
        <v>29</v>
      </c>
      <c r="Q373" s="13" t="s">
        <v>30</v>
      </c>
      <c r="R373" s="11" t="b">
        <v>0</v>
      </c>
      <c r="S373" s="11" t="s">
        <v>553</v>
      </c>
      <c r="T373" s="13" t="s">
        <v>49</v>
      </c>
      <c r="U373" s="13" t="s">
        <v>33</v>
      </c>
      <c r="V373" s="13" t="s">
        <v>34</v>
      </c>
      <c r="W373" s="13" t="s">
        <v>35</v>
      </c>
      <c r="X373" s="14">
        <v>45726.69091523148</v>
      </c>
      <c r="Y373" s="14">
        <v>45726.69091523148</v>
      </c>
      <c r="Z373" s="13"/>
      <c r="AA373" s="13"/>
    </row>
    <row r="374" ht="15.75" customHeight="1">
      <c r="A374" s="11" t="str">
        <f>HYPERLINK("https://portal.hubmapconsortium.org/browse/sample/bc96e60f4ce59dea480b8cec9e6d8cf4", "HBM566.SLNL.594")</f>
        <v>HBM566.SLNL.594</v>
      </c>
      <c r="B374" s="12"/>
      <c r="C374" s="13" t="s">
        <v>549</v>
      </c>
      <c r="D374" s="12" t="s">
        <v>25</v>
      </c>
      <c r="E374" s="7" t="s">
        <v>44</v>
      </c>
      <c r="F374" s="13" t="s">
        <v>563</v>
      </c>
      <c r="G374" s="11" t="b">
        <v>0</v>
      </c>
      <c r="H374" s="11" t="str">
        <f t="shared" si="27"/>
        <v>HBM758.PXTF.453</v>
      </c>
      <c r="I374" s="13" t="s">
        <v>651</v>
      </c>
      <c r="J374" s="13"/>
      <c r="K374" s="13"/>
      <c r="L374" s="13"/>
      <c r="M374" s="13"/>
      <c r="N374" s="13" t="s">
        <v>633</v>
      </c>
      <c r="O374" s="13" t="s">
        <v>28</v>
      </c>
      <c r="P374" s="13" t="s">
        <v>29</v>
      </c>
      <c r="Q374" s="13" t="s">
        <v>30</v>
      </c>
      <c r="R374" s="11" t="b">
        <v>0</v>
      </c>
      <c r="S374" s="11" t="s">
        <v>553</v>
      </c>
      <c r="T374" s="13" t="s">
        <v>49</v>
      </c>
      <c r="U374" s="13" t="s">
        <v>33</v>
      </c>
      <c r="V374" s="13" t="s">
        <v>34</v>
      </c>
      <c r="W374" s="13" t="s">
        <v>35</v>
      </c>
      <c r="X374" s="14">
        <v>45726.6909344213</v>
      </c>
      <c r="Y374" s="14">
        <v>45726.6909344213</v>
      </c>
      <c r="Z374" s="13"/>
      <c r="AA374" s="13"/>
    </row>
    <row r="375" ht="15.75" customHeight="1">
      <c r="A375" s="11" t="str">
        <f>HYPERLINK("https://portal.hubmapconsortium.org/browse/sample/8dcfc0bbd20e300b37b306b911583e0f", "HBM338.VLWX.858")</f>
        <v>HBM338.VLWX.858</v>
      </c>
      <c r="B375" s="12"/>
      <c r="C375" s="13" t="s">
        <v>549</v>
      </c>
      <c r="D375" s="12" t="s">
        <v>25</v>
      </c>
      <c r="E375" s="7" t="s">
        <v>44</v>
      </c>
      <c r="F375" s="13" t="s">
        <v>563</v>
      </c>
      <c r="G375" s="11" t="b">
        <v>0</v>
      </c>
      <c r="H375" s="11" t="str">
        <f t="shared" si="27"/>
        <v>HBM758.PXTF.453</v>
      </c>
      <c r="I375" s="13" t="s">
        <v>652</v>
      </c>
      <c r="J375" s="13"/>
      <c r="K375" s="13"/>
      <c r="L375" s="13"/>
      <c r="M375" s="13"/>
      <c r="N375" s="13" t="s">
        <v>635</v>
      </c>
      <c r="O375" s="13" t="s">
        <v>28</v>
      </c>
      <c r="P375" s="13" t="s">
        <v>29</v>
      </c>
      <c r="Q375" s="13" t="s">
        <v>30</v>
      </c>
      <c r="R375" s="11" t="b">
        <v>0</v>
      </c>
      <c r="S375" s="11" t="s">
        <v>553</v>
      </c>
      <c r="T375" s="13" t="s">
        <v>49</v>
      </c>
      <c r="U375" s="13" t="s">
        <v>33</v>
      </c>
      <c r="V375" s="13" t="s">
        <v>34</v>
      </c>
      <c r="W375" s="13" t="s">
        <v>35</v>
      </c>
      <c r="X375" s="14">
        <v>45726.69095326389</v>
      </c>
      <c r="Y375" s="14">
        <v>45726.69095326389</v>
      </c>
      <c r="Z375" s="13"/>
      <c r="AA375" s="13"/>
    </row>
    <row r="376" ht="15.75" customHeight="1">
      <c r="A376" s="11" t="str">
        <f>HYPERLINK("https://portal.hubmapconsortium.org/browse/sample/43f8f7d7172ddc42bc3666a52193d19d", "HBM237.FCRJ.552")</f>
        <v>HBM237.FCRJ.552</v>
      </c>
      <c r="B376" s="12"/>
      <c r="C376" s="13" t="s">
        <v>549</v>
      </c>
      <c r="D376" s="12" t="s">
        <v>25</v>
      </c>
      <c r="E376" s="7" t="s">
        <v>44</v>
      </c>
      <c r="F376" s="13" t="s">
        <v>563</v>
      </c>
      <c r="G376" s="11" t="b">
        <v>0</v>
      </c>
      <c r="H376" s="11" t="str">
        <f t="shared" si="27"/>
        <v>HBM758.PXTF.453</v>
      </c>
      <c r="I376" s="13" t="s">
        <v>653</v>
      </c>
      <c r="J376" s="13"/>
      <c r="K376" s="13"/>
      <c r="L376" s="13"/>
      <c r="M376" s="13"/>
      <c r="N376" s="13" t="s">
        <v>384</v>
      </c>
      <c r="O376" s="13" t="s">
        <v>28</v>
      </c>
      <c r="P376" s="13" t="s">
        <v>29</v>
      </c>
      <c r="Q376" s="13" t="s">
        <v>30</v>
      </c>
      <c r="R376" s="11" t="b">
        <v>0</v>
      </c>
      <c r="S376" s="11" t="s">
        <v>553</v>
      </c>
      <c r="T376" s="13" t="s">
        <v>32</v>
      </c>
      <c r="U376" s="13" t="s">
        <v>33</v>
      </c>
      <c r="V376" s="13" t="s">
        <v>34</v>
      </c>
      <c r="W376" s="13" t="s">
        <v>35</v>
      </c>
      <c r="X376" s="14">
        <v>45726.69097217593</v>
      </c>
      <c r="Y376" s="14">
        <v>45726.69097217593</v>
      </c>
      <c r="Z376" s="13"/>
      <c r="AA376" s="13"/>
    </row>
    <row r="377" ht="15.75" customHeight="1">
      <c r="A377" s="11" t="str">
        <f>HYPERLINK("https://portal.hubmapconsortium.org/browse/sample/92456ac1f27eadc5d7066f9bb052498c", "HBM325.JZLF.922")</f>
        <v>HBM325.JZLF.922</v>
      </c>
      <c r="B377" s="12"/>
      <c r="C377" s="13" t="s">
        <v>654</v>
      </c>
      <c r="D377" s="12" t="s">
        <v>655</v>
      </c>
      <c r="E377" s="7" t="s">
        <v>44</v>
      </c>
      <c r="F377" s="13" t="s">
        <v>656</v>
      </c>
      <c r="G377" s="11" t="b">
        <v>0</v>
      </c>
      <c r="H377" s="11" t="str">
        <f>HYPERLINK("https://portal.hubmapconsortium.org/browse/sample/832aaec86c7f929d60da603f889ee78a", "HBM942.XRQR.236")</f>
        <v>HBM942.XRQR.236</v>
      </c>
      <c r="I377" s="13" t="s">
        <v>657</v>
      </c>
      <c r="J377" s="13" t="s">
        <v>655</v>
      </c>
      <c r="K377" s="13"/>
      <c r="L377" s="13"/>
      <c r="M377" s="13"/>
      <c r="N377" s="13" t="s">
        <v>658</v>
      </c>
      <c r="O377" s="13" t="s">
        <v>28</v>
      </c>
      <c r="P377" s="13" t="s">
        <v>29</v>
      </c>
      <c r="Q377" s="13" t="s">
        <v>30</v>
      </c>
      <c r="R377" s="11" t="b">
        <v>0</v>
      </c>
      <c r="S377" s="11" t="s">
        <v>31</v>
      </c>
      <c r="T377" s="13" t="s">
        <v>32</v>
      </c>
      <c r="U377" s="13" t="s">
        <v>33</v>
      </c>
      <c r="V377" s="13" t="s">
        <v>34</v>
      </c>
      <c r="W377" s="13" t="s">
        <v>35</v>
      </c>
      <c r="X377" s="14">
        <v>45460.72841717592</v>
      </c>
      <c r="Y377" s="14">
        <v>45460.72841717592</v>
      </c>
      <c r="Z377" s="13"/>
      <c r="AA377" s="13"/>
    </row>
    <row r="378" ht="15.75" customHeight="1">
      <c r="B378" s="8"/>
      <c r="D378" s="8"/>
    </row>
    <row r="379" ht="15.75" customHeight="1">
      <c r="B379" s="8"/>
      <c r="D379" s="8"/>
    </row>
    <row r="380" ht="15.75" customHeight="1">
      <c r="B380" s="8"/>
      <c r="D380" s="8"/>
    </row>
    <row r="381" ht="15.75" customHeight="1">
      <c r="B381" s="8"/>
      <c r="D381" s="8"/>
    </row>
    <row r="382" ht="15.75" customHeight="1">
      <c r="B382" s="8"/>
      <c r="D382" s="8"/>
    </row>
    <row r="383" ht="15.75" customHeight="1">
      <c r="B383" s="8"/>
      <c r="D383" s="8"/>
    </row>
    <row r="384" ht="15.75" customHeight="1">
      <c r="B384" s="8"/>
      <c r="D384" s="8"/>
    </row>
    <row r="385" ht="15.75" customHeight="1">
      <c r="B385" s="8"/>
      <c r="D385" s="8"/>
    </row>
    <row r="386" ht="15.75" customHeight="1">
      <c r="B386" s="8"/>
      <c r="D386" s="8"/>
    </row>
    <row r="387" ht="15.75" customHeight="1">
      <c r="B387" s="8"/>
      <c r="D387" s="8"/>
    </row>
    <row r="388" ht="15.75" customHeight="1">
      <c r="B388" s="8"/>
      <c r="D388" s="8"/>
    </row>
    <row r="389" ht="15.75" customHeight="1">
      <c r="B389" s="8"/>
      <c r="D389" s="8"/>
    </row>
    <row r="390" ht="15.75" customHeight="1">
      <c r="B390" s="8"/>
      <c r="D390" s="8"/>
    </row>
    <row r="391" ht="15.75" customHeight="1">
      <c r="B391" s="8"/>
      <c r="D391" s="8"/>
    </row>
    <row r="392" ht="15.75" customHeight="1">
      <c r="B392" s="8"/>
      <c r="D392" s="8"/>
    </row>
    <row r="393" ht="15.75" customHeight="1">
      <c r="B393" s="8"/>
      <c r="D393" s="8"/>
    </row>
    <row r="394" ht="15.75" customHeight="1">
      <c r="B394" s="8"/>
      <c r="D394" s="8"/>
    </row>
    <row r="395" ht="15.75" customHeight="1">
      <c r="B395" s="8"/>
      <c r="D395" s="8"/>
    </row>
    <row r="396" ht="15.75" customHeight="1">
      <c r="B396" s="8"/>
      <c r="D396" s="8"/>
    </row>
    <row r="397" ht="15.75" customHeight="1">
      <c r="B397" s="8"/>
      <c r="D397" s="8"/>
    </row>
    <row r="398" ht="15.75" customHeight="1">
      <c r="B398" s="8"/>
      <c r="D398" s="8"/>
    </row>
    <row r="399" ht="15.75" customHeight="1">
      <c r="B399" s="8"/>
      <c r="D399" s="8"/>
    </row>
    <row r="400" ht="15.75" customHeight="1">
      <c r="B400" s="8"/>
      <c r="D400" s="8"/>
    </row>
    <row r="401" ht="15.75" customHeight="1">
      <c r="B401" s="8"/>
      <c r="D401" s="8"/>
    </row>
    <row r="402" ht="15.75" customHeight="1">
      <c r="B402" s="8"/>
      <c r="D402" s="8"/>
    </row>
    <row r="403" ht="15.75" customHeight="1">
      <c r="B403" s="8"/>
      <c r="D403" s="8"/>
    </row>
    <row r="404" ht="15.75" customHeight="1">
      <c r="B404" s="8"/>
      <c r="D404" s="8"/>
    </row>
    <row r="405" ht="15.75" customHeight="1">
      <c r="B405" s="8"/>
      <c r="D405" s="8"/>
    </row>
    <row r="406" ht="15.75" customHeight="1">
      <c r="B406" s="8"/>
      <c r="D406" s="8"/>
    </row>
    <row r="407" ht="15.75" customHeight="1">
      <c r="B407" s="8"/>
      <c r="D407" s="8"/>
    </row>
    <row r="408" ht="15.75" customHeight="1">
      <c r="B408" s="8"/>
      <c r="D408" s="8"/>
    </row>
    <row r="409" ht="15.75" customHeight="1">
      <c r="B409" s="8"/>
      <c r="D409" s="8"/>
    </row>
    <row r="410" ht="15.75" customHeight="1">
      <c r="B410" s="8"/>
      <c r="D410" s="8"/>
    </row>
    <row r="411" ht="15.75" customHeight="1">
      <c r="B411" s="8"/>
      <c r="D411" s="8"/>
    </row>
    <row r="412" ht="15.75" customHeight="1">
      <c r="B412" s="8"/>
      <c r="D412" s="8"/>
    </row>
    <row r="413" ht="15.75" customHeight="1">
      <c r="B413" s="8"/>
      <c r="D413" s="8"/>
    </row>
    <row r="414" ht="15.75" customHeight="1">
      <c r="B414" s="8"/>
      <c r="D414" s="8"/>
    </row>
    <row r="415" ht="15.75" customHeight="1">
      <c r="B415" s="8"/>
      <c r="D415" s="8"/>
    </row>
    <row r="416" ht="15.75" customHeight="1">
      <c r="B416" s="8"/>
      <c r="D416" s="8"/>
    </row>
    <row r="417" ht="15.75" customHeight="1">
      <c r="B417" s="8"/>
      <c r="D417" s="8"/>
    </row>
    <row r="418" ht="15.75" customHeight="1">
      <c r="B418" s="8"/>
      <c r="D418" s="8"/>
    </row>
    <row r="419" ht="15.75" customHeight="1">
      <c r="B419" s="8"/>
      <c r="D419" s="8"/>
    </row>
    <row r="420" ht="15.75" customHeight="1">
      <c r="B420" s="8"/>
      <c r="D420" s="8"/>
    </row>
    <row r="421" ht="15.75" customHeight="1">
      <c r="B421" s="8"/>
      <c r="D421" s="8"/>
    </row>
    <row r="422" ht="15.75" customHeight="1">
      <c r="B422" s="8"/>
      <c r="D422" s="8"/>
    </row>
    <row r="423" ht="15.75" customHeight="1">
      <c r="B423" s="8"/>
      <c r="D423" s="8"/>
    </row>
    <row r="424" ht="15.75" customHeight="1">
      <c r="B424" s="8"/>
      <c r="D424" s="8"/>
    </row>
    <row r="425" ht="15.75" customHeight="1">
      <c r="B425" s="8"/>
      <c r="D425" s="8"/>
    </row>
    <row r="426" ht="15.75" customHeight="1">
      <c r="B426" s="8"/>
      <c r="D426" s="8"/>
    </row>
    <row r="427" ht="15.75" customHeight="1">
      <c r="B427" s="8"/>
      <c r="D427" s="8"/>
    </row>
    <row r="428" ht="15.75" customHeight="1">
      <c r="B428" s="8"/>
      <c r="D428" s="8"/>
    </row>
    <row r="429" ht="15.75" customHeight="1">
      <c r="B429" s="8"/>
      <c r="D429" s="8"/>
    </row>
    <row r="430" ht="15.75" customHeight="1">
      <c r="B430" s="8"/>
      <c r="D430" s="8"/>
    </row>
    <row r="431" ht="15.75" customHeight="1">
      <c r="B431" s="8"/>
      <c r="D431" s="8"/>
    </row>
    <row r="432" ht="15.75" customHeight="1">
      <c r="B432" s="8"/>
      <c r="D432" s="8"/>
    </row>
    <row r="433" ht="15.75" customHeight="1">
      <c r="B433" s="8"/>
      <c r="D433" s="8"/>
    </row>
    <row r="434" ht="15.75" customHeight="1">
      <c r="B434" s="8"/>
      <c r="D434" s="8"/>
    </row>
    <row r="435" ht="15.75" customHeight="1">
      <c r="B435" s="8"/>
      <c r="D435" s="8"/>
    </row>
    <row r="436" ht="15.75" customHeight="1">
      <c r="B436" s="8"/>
      <c r="D436" s="8"/>
    </row>
    <row r="437" ht="15.75" customHeight="1">
      <c r="B437" s="8"/>
      <c r="D437" s="8"/>
    </row>
    <row r="438" ht="15.75" customHeight="1">
      <c r="B438" s="8"/>
      <c r="D438" s="8"/>
    </row>
    <row r="439" ht="15.75" customHeight="1">
      <c r="B439" s="8"/>
      <c r="D439" s="8"/>
    </row>
    <row r="440" ht="15.75" customHeight="1">
      <c r="B440" s="8"/>
      <c r="D440" s="8"/>
    </row>
    <row r="441" ht="15.75" customHeight="1">
      <c r="B441" s="8"/>
      <c r="D441" s="8"/>
    </row>
    <row r="442" ht="15.75" customHeight="1">
      <c r="B442" s="8"/>
      <c r="D442" s="8"/>
    </row>
    <row r="443" ht="15.75" customHeight="1">
      <c r="B443" s="8"/>
      <c r="D443" s="8"/>
    </row>
    <row r="444" ht="15.75" customHeight="1">
      <c r="B444" s="8"/>
      <c r="D444" s="8"/>
    </row>
    <row r="445" ht="15.75" customHeight="1">
      <c r="B445" s="8"/>
      <c r="D445" s="8"/>
    </row>
    <row r="446" ht="15.75" customHeight="1">
      <c r="B446" s="8"/>
      <c r="D446" s="8"/>
    </row>
    <row r="447" ht="15.75" customHeight="1">
      <c r="B447" s="8"/>
      <c r="D447" s="8"/>
    </row>
    <row r="448" ht="15.75" customHeight="1">
      <c r="B448" s="8"/>
      <c r="D448" s="8"/>
    </row>
    <row r="449" ht="15.75" customHeight="1">
      <c r="B449" s="8"/>
      <c r="D449" s="8"/>
    </row>
    <row r="450" ht="15.75" customHeight="1">
      <c r="B450" s="8"/>
      <c r="D450" s="8"/>
    </row>
    <row r="451" ht="15.75" customHeight="1">
      <c r="B451" s="8"/>
      <c r="D451" s="8"/>
    </row>
    <row r="452" ht="15.75" customHeight="1">
      <c r="B452" s="8"/>
      <c r="D452" s="8"/>
    </row>
    <row r="453" ht="15.75" customHeight="1">
      <c r="B453" s="8"/>
      <c r="D453" s="8"/>
    </row>
    <row r="454" ht="15.75" customHeight="1">
      <c r="B454" s="8"/>
      <c r="D454" s="8"/>
    </row>
    <row r="455" ht="15.75" customHeight="1">
      <c r="B455" s="8"/>
      <c r="D455" s="8"/>
    </row>
    <row r="456" ht="15.75" customHeight="1">
      <c r="B456" s="8"/>
      <c r="D456" s="8"/>
    </row>
    <row r="457" ht="15.75" customHeight="1">
      <c r="B457" s="8"/>
      <c r="D457" s="8"/>
    </row>
    <row r="458" ht="15.75" customHeight="1">
      <c r="B458" s="8"/>
      <c r="D458" s="8"/>
    </row>
    <row r="459" ht="15.75" customHeight="1">
      <c r="B459" s="8"/>
      <c r="D459" s="8"/>
    </row>
    <row r="460" ht="15.75" customHeight="1">
      <c r="B460" s="8"/>
      <c r="D460" s="8"/>
    </row>
    <row r="461" ht="15.75" customHeight="1">
      <c r="B461" s="8"/>
      <c r="D461" s="8"/>
    </row>
    <row r="462" ht="15.75" customHeight="1">
      <c r="B462" s="8"/>
      <c r="D462" s="8"/>
    </row>
    <row r="463" ht="15.75" customHeight="1">
      <c r="B463" s="8"/>
      <c r="D463" s="8"/>
    </row>
    <row r="464" ht="15.75" customHeight="1">
      <c r="B464" s="8"/>
      <c r="D464" s="8"/>
    </row>
    <row r="465" ht="15.75" customHeight="1">
      <c r="B465" s="8"/>
      <c r="D465" s="8"/>
    </row>
    <row r="466" ht="15.75" customHeight="1">
      <c r="B466" s="8"/>
      <c r="D466" s="8"/>
    </row>
    <row r="467" ht="15.75" customHeight="1">
      <c r="B467" s="8"/>
      <c r="D467" s="8"/>
    </row>
    <row r="468" ht="15.75" customHeight="1">
      <c r="B468" s="8"/>
      <c r="D468" s="8"/>
    </row>
    <row r="469" ht="15.75" customHeight="1">
      <c r="B469" s="8"/>
      <c r="D469" s="8"/>
    </row>
    <row r="470" ht="15.75" customHeight="1">
      <c r="B470" s="8"/>
      <c r="D470" s="8"/>
    </row>
    <row r="471" ht="15.75" customHeight="1">
      <c r="B471" s="8"/>
      <c r="D471" s="8"/>
    </row>
    <row r="472" ht="15.75" customHeight="1">
      <c r="B472" s="8"/>
      <c r="D472" s="8"/>
    </row>
    <row r="473" ht="15.75" customHeight="1">
      <c r="B473" s="8"/>
      <c r="D473" s="8"/>
    </row>
    <row r="474" ht="15.75" customHeight="1">
      <c r="B474" s="8"/>
      <c r="D474" s="8"/>
    </row>
    <row r="475" ht="15.75" customHeight="1">
      <c r="B475" s="8"/>
      <c r="D475" s="8"/>
    </row>
    <row r="476" ht="15.75" customHeight="1">
      <c r="B476" s="8"/>
      <c r="D476" s="8"/>
    </row>
    <row r="477" ht="15.75" customHeight="1">
      <c r="B477" s="8"/>
      <c r="D477" s="8"/>
    </row>
    <row r="478" ht="15.75" customHeight="1">
      <c r="B478" s="8"/>
      <c r="D478" s="8"/>
    </row>
    <row r="479" ht="15.75" customHeight="1">
      <c r="B479" s="8"/>
      <c r="D479" s="8"/>
    </row>
    <row r="480" ht="15.75" customHeight="1">
      <c r="B480" s="8"/>
      <c r="D480" s="8"/>
    </row>
    <row r="481" ht="15.75" customHeight="1">
      <c r="B481" s="8"/>
      <c r="D481" s="8"/>
    </row>
    <row r="482" ht="15.75" customHeight="1">
      <c r="B482" s="8"/>
      <c r="D482" s="8"/>
    </row>
    <row r="483" ht="15.75" customHeight="1">
      <c r="B483" s="8"/>
      <c r="D483" s="8"/>
    </row>
    <row r="484" ht="15.75" customHeight="1">
      <c r="B484" s="8"/>
      <c r="D484" s="8"/>
    </row>
    <row r="485" ht="15.75" customHeight="1">
      <c r="B485" s="8"/>
      <c r="D485" s="8"/>
    </row>
    <row r="486" ht="15.75" customHeight="1">
      <c r="B486" s="8"/>
      <c r="D486" s="8"/>
    </row>
    <row r="487" ht="15.75" customHeight="1">
      <c r="B487" s="8"/>
      <c r="D487" s="8"/>
    </row>
    <row r="488" ht="15.75" customHeight="1">
      <c r="B488" s="8"/>
      <c r="D488" s="8"/>
    </row>
    <row r="489" ht="15.75" customHeight="1">
      <c r="B489" s="8"/>
      <c r="D489" s="8"/>
    </row>
    <row r="490" ht="15.75" customHeight="1">
      <c r="B490" s="8"/>
      <c r="D490" s="8"/>
    </row>
    <row r="491" ht="15.75" customHeight="1">
      <c r="B491" s="8"/>
      <c r="D491" s="8"/>
    </row>
    <row r="492" ht="15.75" customHeight="1">
      <c r="B492" s="8"/>
      <c r="D492" s="8"/>
    </row>
    <row r="493" ht="15.75" customHeight="1">
      <c r="B493" s="8"/>
      <c r="D493" s="8"/>
    </row>
    <row r="494" ht="15.75" customHeight="1">
      <c r="B494" s="8"/>
      <c r="D494" s="8"/>
    </row>
    <row r="495" ht="15.75" customHeight="1">
      <c r="B495" s="8"/>
      <c r="D495" s="8"/>
    </row>
    <row r="496" ht="15.75" customHeight="1">
      <c r="B496" s="8"/>
      <c r="D496" s="8"/>
    </row>
    <row r="497" ht="15.75" customHeight="1">
      <c r="B497" s="8"/>
      <c r="D497" s="8"/>
    </row>
    <row r="498" ht="15.75" customHeight="1">
      <c r="B498" s="8"/>
      <c r="D498" s="8"/>
    </row>
    <row r="499" ht="15.75" customHeight="1">
      <c r="B499" s="8"/>
      <c r="D499" s="8"/>
    </row>
    <row r="500" ht="15.75" customHeight="1">
      <c r="B500" s="8"/>
      <c r="D500" s="8"/>
    </row>
    <row r="501" ht="15.75" customHeight="1">
      <c r="B501" s="8"/>
      <c r="D501" s="8"/>
    </row>
    <row r="502" ht="15.75" customHeight="1">
      <c r="B502" s="8"/>
      <c r="D502" s="8"/>
    </row>
    <row r="503" ht="15.75" customHeight="1">
      <c r="B503" s="8"/>
      <c r="D503" s="8"/>
    </row>
    <row r="504" ht="15.75" customHeight="1">
      <c r="B504" s="8"/>
      <c r="D504" s="8"/>
    </row>
    <row r="505" ht="15.75" customHeight="1">
      <c r="B505" s="8"/>
      <c r="D505" s="8"/>
    </row>
    <row r="506" ht="15.75" customHeight="1">
      <c r="B506" s="8"/>
      <c r="D506" s="8"/>
    </row>
    <row r="507" ht="15.75" customHeight="1">
      <c r="B507" s="8"/>
      <c r="D507" s="8"/>
    </row>
    <row r="508" ht="15.75" customHeight="1">
      <c r="B508" s="8"/>
      <c r="D508" s="8"/>
    </row>
    <row r="509" ht="15.75" customHeight="1">
      <c r="B509" s="8"/>
      <c r="D509" s="8"/>
    </row>
    <row r="510" ht="15.75" customHeight="1">
      <c r="B510" s="8"/>
      <c r="D510" s="8"/>
    </row>
    <row r="511" ht="15.75" customHeight="1">
      <c r="B511" s="8"/>
      <c r="D511" s="8"/>
    </row>
    <row r="512" ht="15.75" customHeight="1">
      <c r="B512" s="8"/>
      <c r="D512" s="8"/>
    </row>
    <row r="513" ht="15.75" customHeight="1">
      <c r="B513" s="8"/>
      <c r="D513" s="8"/>
    </row>
    <row r="514" ht="15.75" customHeight="1">
      <c r="B514" s="8"/>
      <c r="D514" s="8"/>
    </row>
    <row r="515" ht="15.75" customHeight="1">
      <c r="B515" s="8"/>
      <c r="D515" s="8"/>
    </row>
    <row r="516" ht="15.75" customHeight="1">
      <c r="B516" s="8"/>
      <c r="D516" s="8"/>
    </row>
    <row r="517" ht="15.75" customHeight="1">
      <c r="B517" s="8"/>
      <c r="D517" s="8"/>
    </row>
    <row r="518" ht="15.75" customHeight="1">
      <c r="B518" s="8"/>
      <c r="D518" s="8"/>
    </row>
    <row r="519" ht="15.75" customHeight="1">
      <c r="B519" s="8"/>
      <c r="D519" s="8"/>
    </row>
    <row r="520" ht="15.75" customHeight="1">
      <c r="B520" s="8"/>
      <c r="D520" s="8"/>
    </row>
    <row r="521" ht="15.75" customHeight="1">
      <c r="B521" s="8"/>
      <c r="D521" s="8"/>
    </row>
    <row r="522" ht="15.75" customHeight="1">
      <c r="B522" s="8"/>
      <c r="D522" s="8"/>
    </row>
    <row r="523" ht="15.75" customHeight="1">
      <c r="B523" s="8"/>
      <c r="D523" s="8"/>
    </row>
    <row r="524" ht="15.75" customHeight="1">
      <c r="B524" s="8"/>
      <c r="D524" s="8"/>
    </row>
    <row r="525" ht="15.75" customHeight="1">
      <c r="B525" s="8"/>
      <c r="D525" s="8"/>
    </row>
    <row r="526" ht="15.75" customHeight="1">
      <c r="B526" s="8"/>
      <c r="D526" s="8"/>
    </row>
    <row r="527" ht="15.75" customHeight="1">
      <c r="B527" s="8"/>
      <c r="D527" s="8"/>
    </row>
    <row r="528" ht="15.75" customHeight="1">
      <c r="B528" s="8"/>
      <c r="D528" s="8"/>
    </row>
    <row r="529" ht="15.75" customHeight="1">
      <c r="B529" s="8"/>
      <c r="D529" s="8"/>
    </row>
    <row r="530" ht="15.75" customHeight="1">
      <c r="B530" s="8"/>
      <c r="D530" s="8"/>
    </row>
    <row r="531" ht="15.75" customHeight="1">
      <c r="B531" s="8"/>
      <c r="D531" s="8"/>
    </row>
    <row r="532" ht="15.75" customHeight="1">
      <c r="B532" s="8"/>
      <c r="D532" s="8"/>
    </row>
    <row r="533" ht="15.75" customHeight="1">
      <c r="B533" s="8"/>
      <c r="D533" s="8"/>
    </row>
    <row r="534" ht="15.75" customHeight="1">
      <c r="B534" s="8"/>
      <c r="D534" s="8"/>
    </row>
    <row r="535" ht="15.75" customHeight="1">
      <c r="B535" s="8"/>
      <c r="D535" s="8"/>
    </row>
    <row r="536" ht="15.75" customHeight="1">
      <c r="B536" s="8"/>
      <c r="D536" s="8"/>
    </row>
    <row r="537" ht="15.75" customHeight="1">
      <c r="B537" s="8"/>
      <c r="D537" s="8"/>
    </row>
    <row r="538" ht="15.75" customHeight="1">
      <c r="B538" s="8"/>
      <c r="D538" s="8"/>
    </row>
    <row r="539" ht="15.75" customHeight="1">
      <c r="B539" s="8"/>
      <c r="D539" s="8"/>
    </row>
    <row r="540" ht="15.75" customHeight="1">
      <c r="B540" s="8"/>
      <c r="D540" s="8"/>
    </row>
    <row r="541" ht="15.75" customHeight="1">
      <c r="B541" s="8"/>
      <c r="D541" s="8"/>
    </row>
    <row r="542" ht="15.75" customHeight="1">
      <c r="B542" s="8"/>
      <c r="D542" s="8"/>
    </row>
    <row r="543" ht="15.75" customHeight="1">
      <c r="B543" s="8"/>
      <c r="D543" s="8"/>
    </row>
    <row r="544" ht="15.75" customHeight="1">
      <c r="B544" s="8"/>
      <c r="D544" s="8"/>
    </row>
    <row r="545" ht="15.75" customHeight="1">
      <c r="B545" s="8"/>
      <c r="D545" s="8"/>
    </row>
    <row r="546" ht="15.75" customHeight="1">
      <c r="B546" s="8"/>
      <c r="D546" s="8"/>
    </row>
    <row r="547" ht="15.75" customHeight="1">
      <c r="B547" s="8"/>
      <c r="D547" s="8"/>
    </row>
    <row r="548" ht="15.75" customHeight="1">
      <c r="B548" s="8"/>
      <c r="D548" s="8"/>
    </row>
    <row r="549" ht="15.75" customHeight="1">
      <c r="B549" s="8"/>
      <c r="D549" s="8"/>
    </row>
    <row r="550" ht="15.75" customHeight="1">
      <c r="B550" s="8"/>
      <c r="D550" s="8"/>
    </row>
    <row r="551" ht="15.75" customHeight="1">
      <c r="B551" s="8"/>
      <c r="D551" s="8"/>
    </row>
    <row r="552" ht="15.75" customHeight="1">
      <c r="B552" s="8"/>
      <c r="D552" s="8"/>
    </row>
    <row r="553" ht="15.75" customHeight="1">
      <c r="B553" s="8"/>
      <c r="D553" s="8"/>
    </row>
    <row r="554" ht="15.75" customHeight="1">
      <c r="B554" s="8"/>
      <c r="D554" s="8"/>
    </row>
    <row r="555" ht="15.75" customHeight="1">
      <c r="B555" s="8"/>
      <c r="D555" s="8"/>
    </row>
    <row r="556" ht="15.75" customHeight="1">
      <c r="B556" s="8"/>
      <c r="D556" s="8"/>
    </row>
    <row r="557" ht="15.75" customHeight="1">
      <c r="B557" s="8"/>
      <c r="D557" s="8"/>
    </row>
    <row r="558" ht="15.75" customHeight="1">
      <c r="B558" s="8"/>
      <c r="D558" s="8"/>
    </row>
    <row r="559" ht="15.75" customHeight="1">
      <c r="B559" s="8"/>
      <c r="D559" s="8"/>
    </row>
    <row r="560" ht="15.75" customHeight="1">
      <c r="B560" s="8"/>
      <c r="D560" s="8"/>
    </row>
    <row r="561" ht="15.75" customHeight="1">
      <c r="B561" s="8"/>
      <c r="D561" s="8"/>
    </row>
    <row r="562" ht="15.75" customHeight="1">
      <c r="B562" s="8"/>
      <c r="D562" s="8"/>
    </row>
    <row r="563" ht="15.75" customHeight="1">
      <c r="B563" s="8"/>
      <c r="D563" s="8"/>
    </row>
    <row r="564" ht="15.75" customHeight="1">
      <c r="B564" s="8"/>
      <c r="D564" s="8"/>
    </row>
    <row r="565" ht="15.75" customHeight="1">
      <c r="B565" s="8"/>
      <c r="D565" s="8"/>
    </row>
    <row r="566" ht="15.75" customHeight="1">
      <c r="B566" s="8"/>
      <c r="D566" s="8"/>
    </row>
    <row r="567" ht="15.75" customHeight="1">
      <c r="B567" s="8"/>
      <c r="D567" s="8"/>
    </row>
    <row r="568" ht="15.75" customHeight="1">
      <c r="B568" s="8"/>
      <c r="D568" s="8"/>
    </row>
    <row r="569" ht="15.75" customHeight="1">
      <c r="B569" s="8"/>
      <c r="D569" s="8"/>
    </row>
    <row r="570" ht="15.75" customHeight="1">
      <c r="B570" s="8"/>
      <c r="D570" s="8"/>
    </row>
    <row r="571" ht="15.75" customHeight="1">
      <c r="B571" s="8"/>
      <c r="D571" s="8"/>
    </row>
    <row r="572" ht="15.75" customHeight="1">
      <c r="B572" s="8"/>
      <c r="D572" s="8"/>
    </row>
    <row r="573" ht="15.75" customHeight="1">
      <c r="B573" s="8"/>
      <c r="D573" s="8"/>
    </row>
    <row r="574" ht="15.75" customHeight="1">
      <c r="B574" s="8"/>
      <c r="D574" s="8"/>
    </row>
    <row r="575" ht="15.75" customHeight="1">
      <c r="B575" s="8"/>
      <c r="D575" s="8"/>
    </row>
    <row r="576" ht="15.75" customHeight="1">
      <c r="B576" s="8"/>
      <c r="D576" s="8"/>
    </row>
    <row r="577" ht="15.75" customHeight="1">
      <c r="B577" s="8"/>
      <c r="D577" s="8"/>
    </row>
    <row r="578" ht="15.75" customHeight="1">
      <c r="B578" s="8"/>
      <c r="D578" s="8"/>
    </row>
    <row r="579" ht="15.75" customHeight="1">
      <c r="B579" s="8"/>
      <c r="D579" s="8"/>
    </row>
    <row r="580" ht="15.75" customHeight="1">
      <c r="B580" s="8"/>
      <c r="D580" s="8"/>
    </row>
    <row r="581" ht="15.75" customHeight="1">
      <c r="B581" s="8"/>
      <c r="D581" s="8"/>
    </row>
    <row r="582" ht="15.75" customHeight="1">
      <c r="B582" s="8"/>
      <c r="D582" s="8"/>
    </row>
    <row r="583" ht="15.75" customHeight="1">
      <c r="B583" s="8"/>
      <c r="D583" s="8"/>
    </row>
    <row r="584" ht="15.75" customHeight="1">
      <c r="B584" s="8"/>
      <c r="D584" s="8"/>
    </row>
    <row r="585" ht="15.75" customHeight="1">
      <c r="B585" s="8"/>
      <c r="D585" s="8"/>
    </row>
    <row r="586" ht="15.75" customHeight="1">
      <c r="B586" s="8"/>
      <c r="D586" s="8"/>
    </row>
    <row r="587" ht="15.75" customHeight="1">
      <c r="B587" s="8"/>
      <c r="D587" s="8"/>
    </row>
    <row r="588" ht="15.75" customHeight="1">
      <c r="B588" s="8"/>
      <c r="D588" s="8"/>
    </row>
    <row r="589" ht="15.75" customHeight="1">
      <c r="B589" s="8"/>
      <c r="D589" s="8"/>
    </row>
    <row r="590" ht="15.75" customHeight="1">
      <c r="B590" s="8"/>
      <c r="D590" s="8"/>
    </row>
    <row r="591" ht="15.75" customHeight="1">
      <c r="B591" s="8"/>
      <c r="D591" s="8"/>
    </row>
    <row r="592" ht="15.75" customHeight="1">
      <c r="B592" s="8"/>
      <c r="D592" s="8"/>
    </row>
    <row r="593" ht="15.75" customHeight="1">
      <c r="B593" s="8"/>
      <c r="D593" s="8"/>
    </row>
    <row r="594" ht="15.75" customHeight="1">
      <c r="B594" s="8"/>
      <c r="D594" s="8"/>
    </row>
    <row r="595" ht="15.75" customHeight="1">
      <c r="B595" s="8"/>
      <c r="D595" s="8"/>
    </row>
    <row r="596" ht="15.75" customHeight="1">
      <c r="B596" s="8"/>
      <c r="D596" s="8"/>
    </row>
    <row r="597" ht="15.75" customHeight="1">
      <c r="B597" s="8"/>
      <c r="D597" s="8"/>
    </row>
    <row r="598" ht="15.75" customHeight="1">
      <c r="B598" s="8"/>
      <c r="D598" s="8"/>
    </row>
    <row r="599" ht="15.75" customHeight="1">
      <c r="B599" s="8"/>
      <c r="D599" s="8"/>
    </row>
    <row r="600" ht="15.75" customHeight="1">
      <c r="B600" s="8"/>
      <c r="D600" s="8"/>
    </row>
    <row r="601" ht="15.75" customHeight="1">
      <c r="B601" s="8"/>
      <c r="D601" s="8"/>
    </row>
    <row r="602" ht="15.75" customHeight="1">
      <c r="B602" s="8"/>
      <c r="D602" s="8"/>
    </row>
    <row r="603" ht="15.75" customHeight="1">
      <c r="B603" s="8"/>
      <c r="D603" s="8"/>
    </row>
    <row r="604" ht="15.75" customHeight="1">
      <c r="B604" s="8"/>
      <c r="D604" s="8"/>
    </row>
    <row r="605" ht="15.75" customHeight="1">
      <c r="B605" s="8"/>
      <c r="D605" s="8"/>
    </row>
    <row r="606" ht="15.75" customHeight="1">
      <c r="B606" s="8"/>
      <c r="D606" s="8"/>
    </row>
    <row r="607" ht="15.75" customHeight="1">
      <c r="B607" s="8"/>
      <c r="D607" s="8"/>
    </row>
    <row r="608" ht="15.75" customHeight="1">
      <c r="B608" s="8"/>
      <c r="D608" s="8"/>
    </row>
    <row r="609" ht="15.75" customHeight="1">
      <c r="B609" s="8"/>
      <c r="D609" s="8"/>
    </row>
    <row r="610" ht="15.75" customHeight="1">
      <c r="B610" s="8"/>
      <c r="D610" s="8"/>
    </row>
    <row r="611" ht="15.75" customHeight="1">
      <c r="B611" s="8"/>
      <c r="D611" s="8"/>
    </row>
    <row r="612" ht="15.75" customHeight="1">
      <c r="B612" s="8"/>
      <c r="D612" s="8"/>
    </row>
    <row r="613" ht="15.75" customHeight="1">
      <c r="B613" s="8"/>
      <c r="D613" s="8"/>
    </row>
    <row r="614" ht="15.75" customHeight="1">
      <c r="B614" s="8"/>
      <c r="D614" s="8"/>
    </row>
    <row r="615" ht="15.75" customHeight="1">
      <c r="B615" s="8"/>
      <c r="D615" s="8"/>
    </row>
    <row r="616" ht="15.75" customHeight="1">
      <c r="B616" s="8"/>
      <c r="D616" s="8"/>
    </row>
    <row r="617" ht="15.75" customHeight="1">
      <c r="B617" s="8"/>
      <c r="D617" s="8"/>
    </row>
    <row r="618" ht="15.75" customHeight="1">
      <c r="B618" s="8"/>
      <c r="D618" s="8"/>
    </row>
    <row r="619" ht="15.75" customHeight="1">
      <c r="B619" s="8"/>
      <c r="D619" s="8"/>
    </row>
    <row r="620" ht="15.75" customHeight="1">
      <c r="B620" s="8"/>
      <c r="D620" s="8"/>
    </row>
    <row r="621" ht="15.75" customHeight="1">
      <c r="B621" s="8"/>
      <c r="D621" s="8"/>
    </row>
    <row r="622" ht="15.75" customHeight="1">
      <c r="B622" s="8"/>
      <c r="D622" s="8"/>
    </row>
    <row r="623" ht="15.75" customHeight="1">
      <c r="B623" s="8"/>
      <c r="D623" s="8"/>
    </row>
    <row r="624" ht="15.75" customHeight="1">
      <c r="B624" s="8"/>
      <c r="D624" s="8"/>
    </row>
    <row r="625" ht="15.75" customHeight="1">
      <c r="B625" s="8"/>
      <c r="D625" s="8"/>
    </row>
    <row r="626" ht="15.75" customHeight="1">
      <c r="B626" s="8"/>
      <c r="D626" s="8"/>
    </row>
    <row r="627" ht="15.75" customHeight="1">
      <c r="B627" s="8"/>
      <c r="D627" s="8"/>
    </row>
    <row r="628" ht="15.75" customHeight="1">
      <c r="B628" s="8"/>
      <c r="D628" s="8"/>
    </row>
    <row r="629" ht="15.75" customHeight="1">
      <c r="B629" s="8"/>
      <c r="D629" s="8"/>
    </row>
    <row r="630" ht="15.75" customHeight="1">
      <c r="B630" s="8"/>
      <c r="D630" s="8"/>
    </row>
    <row r="631" ht="15.75" customHeight="1">
      <c r="B631" s="8"/>
      <c r="D631" s="8"/>
    </row>
    <row r="632" ht="15.75" customHeight="1">
      <c r="B632" s="8"/>
      <c r="D632" s="8"/>
    </row>
    <row r="633" ht="15.75" customHeight="1">
      <c r="B633" s="8"/>
      <c r="D633" s="8"/>
    </row>
    <row r="634" ht="15.75" customHeight="1">
      <c r="B634" s="8"/>
      <c r="D634" s="8"/>
    </row>
    <row r="635" ht="15.75" customHeight="1">
      <c r="B635" s="8"/>
      <c r="D635" s="8"/>
    </row>
    <row r="636" ht="15.75" customHeight="1">
      <c r="B636" s="8"/>
      <c r="D636" s="8"/>
    </row>
    <row r="637" ht="15.75" customHeight="1">
      <c r="B637" s="8"/>
      <c r="D637" s="8"/>
    </row>
    <row r="638" ht="15.75" customHeight="1">
      <c r="B638" s="8"/>
      <c r="D638" s="8"/>
    </row>
    <row r="639" ht="15.75" customHeight="1">
      <c r="B639" s="8"/>
      <c r="D639" s="8"/>
    </row>
    <row r="640" ht="15.75" customHeight="1">
      <c r="B640" s="8"/>
      <c r="D640" s="8"/>
    </row>
    <row r="641" ht="15.75" customHeight="1">
      <c r="B641" s="8"/>
      <c r="D641" s="8"/>
    </row>
    <row r="642" ht="15.75" customHeight="1">
      <c r="B642" s="8"/>
      <c r="D642" s="8"/>
    </row>
    <row r="643" ht="15.75" customHeight="1">
      <c r="B643" s="8"/>
      <c r="D643" s="8"/>
    </row>
    <row r="644" ht="15.75" customHeight="1">
      <c r="B644" s="8"/>
      <c r="D644" s="8"/>
    </row>
    <row r="645" ht="15.75" customHeight="1">
      <c r="B645" s="8"/>
      <c r="D645" s="8"/>
    </row>
    <row r="646" ht="15.75" customHeight="1">
      <c r="B646" s="8"/>
      <c r="D646" s="8"/>
    </row>
    <row r="647" ht="15.75" customHeight="1">
      <c r="B647" s="8"/>
      <c r="D647" s="8"/>
    </row>
    <row r="648" ht="15.75" customHeight="1">
      <c r="B648" s="8"/>
      <c r="D648" s="8"/>
    </row>
    <row r="649" ht="15.75" customHeight="1">
      <c r="B649" s="8"/>
      <c r="D649" s="8"/>
    </row>
    <row r="650" ht="15.75" customHeight="1">
      <c r="B650" s="8"/>
      <c r="D650" s="8"/>
    </row>
    <row r="651" ht="15.75" customHeight="1">
      <c r="B651" s="8"/>
      <c r="D651" s="8"/>
    </row>
    <row r="652" ht="15.75" customHeight="1">
      <c r="B652" s="8"/>
      <c r="D652" s="8"/>
    </row>
    <row r="653" ht="15.75" customHeight="1">
      <c r="B653" s="8"/>
      <c r="D653" s="8"/>
    </row>
    <row r="654" ht="15.75" customHeight="1">
      <c r="B654" s="8"/>
      <c r="D654" s="8"/>
    </row>
    <row r="655" ht="15.75" customHeight="1">
      <c r="B655" s="8"/>
      <c r="D655" s="8"/>
    </row>
    <row r="656" ht="15.75" customHeight="1">
      <c r="B656" s="8"/>
      <c r="D656" s="8"/>
    </row>
    <row r="657" ht="15.75" customHeight="1">
      <c r="B657" s="8"/>
      <c r="D657" s="8"/>
    </row>
    <row r="658" ht="15.75" customHeight="1">
      <c r="B658" s="8"/>
      <c r="D658" s="8"/>
    </row>
    <row r="659" ht="15.75" customHeight="1">
      <c r="B659" s="8"/>
      <c r="D659" s="8"/>
    </row>
    <row r="660" ht="15.75" customHeight="1">
      <c r="B660" s="8"/>
      <c r="D660" s="8"/>
    </row>
    <row r="661" ht="15.75" customHeight="1">
      <c r="B661" s="8"/>
      <c r="D661" s="8"/>
    </row>
    <row r="662" ht="15.75" customHeight="1">
      <c r="B662" s="8"/>
      <c r="D662" s="8"/>
    </row>
    <row r="663" ht="15.75" customHeight="1">
      <c r="B663" s="8"/>
      <c r="D663" s="8"/>
    </row>
    <row r="664" ht="15.75" customHeight="1">
      <c r="B664" s="8"/>
      <c r="D664" s="8"/>
    </row>
    <row r="665" ht="15.75" customHeight="1">
      <c r="B665" s="8"/>
      <c r="D665" s="8"/>
    </row>
    <row r="666" ht="15.75" customHeight="1">
      <c r="B666" s="8"/>
      <c r="D666" s="8"/>
    </row>
    <row r="667" ht="15.75" customHeight="1">
      <c r="B667" s="8"/>
      <c r="D667" s="8"/>
    </row>
    <row r="668" ht="15.75" customHeight="1">
      <c r="B668" s="8"/>
      <c r="D668" s="8"/>
    </row>
    <row r="669" ht="15.75" customHeight="1">
      <c r="B669" s="8"/>
      <c r="D669" s="8"/>
    </row>
    <row r="670" ht="15.75" customHeight="1">
      <c r="B670" s="8"/>
      <c r="D670" s="8"/>
    </row>
    <row r="671" ht="15.75" customHeight="1">
      <c r="B671" s="8"/>
      <c r="D671" s="8"/>
    </row>
    <row r="672" ht="15.75" customHeight="1">
      <c r="B672" s="8"/>
      <c r="D672" s="8"/>
    </row>
    <row r="673" ht="15.75" customHeight="1">
      <c r="B673" s="8"/>
      <c r="D673" s="8"/>
    </row>
    <row r="674" ht="15.75" customHeight="1">
      <c r="B674" s="8"/>
      <c r="D674" s="8"/>
    </row>
    <row r="675" ht="15.75" customHeight="1">
      <c r="B675" s="8"/>
      <c r="D675" s="8"/>
    </row>
    <row r="676" ht="15.75" customHeight="1">
      <c r="B676" s="8"/>
      <c r="D676" s="8"/>
    </row>
    <row r="677" ht="15.75" customHeight="1">
      <c r="B677" s="8"/>
      <c r="D677" s="8"/>
    </row>
    <row r="678" ht="15.75" customHeight="1">
      <c r="B678" s="8"/>
      <c r="D678" s="8"/>
    </row>
    <row r="679" ht="15.75" customHeight="1">
      <c r="B679" s="8"/>
      <c r="D679" s="8"/>
    </row>
    <row r="680" ht="15.75" customHeight="1">
      <c r="B680" s="8"/>
      <c r="D680" s="8"/>
    </row>
    <row r="681" ht="15.75" customHeight="1">
      <c r="B681" s="8"/>
      <c r="D681" s="8"/>
    </row>
    <row r="682" ht="15.75" customHeight="1">
      <c r="B682" s="8"/>
      <c r="D682" s="8"/>
    </row>
    <row r="683" ht="15.75" customHeight="1">
      <c r="B683" s="8"/>
      <c r="D683" s="8"/>
    </row>
    <row r="684" ht="15.75" customHeight="1">
      <c r="B684" s="8"/>
      <c r="D684" s="8"/>
    </row>
    <row r="685" ht="15.75" customHeight="1">
      <c r="B685" s="8"/>
      <c r="D685" s="8"/>
    </row>
    <row r="686" ht="15.75" customHeight="1">
      <c r="B686" s="8"/>
      <c r="D686" s="8"/>
    </row>
    <row r="687" ht="15.75" customHeight="1">
      <c r="B687" s="8"/>
      <c r="D687" s="8"/>
    </row>
    <row r="688" ht="15.75" customHeight="1">
      <c r="B688" s="8"/>
      <c r="D688" s="8"/>
    </row>
    <row r="689" ht="15.75" customHeight="1">
      <c r="B689" s="8"/>
      <c r="D689" s="8"/>
    </row>
    <row r="690" ht="15.75" customHeight="1">
      <c r="B690" s="8"/>
      <c r="D690" s="8"/>
    </row>
    <row r="691" ht="15.75" customHeight="1">
      <c r="B691" s="8"/>
      <c r="D691" s="8"/>
    </row>
    <row r="692" ht="15.75" customHeight="1">
      <c r="B692" s="8"/>
      <c r="D692" s="8"/>
    </row>
    <row r="693" ht="15.75" customHeight="1">
      <c r="B693" s="8"/>
      <c r="D693" s="8"/>
    </row>
    <row r="694" ht="15.75" customHeight="1">
      <c r="B694" s="8"/>
      <c r="D694" s="8"/>
    </row>
    <row r="695" ht="15.75" customHeight="1">
      <c r="B695" s="8"/>
      <c r="D695" s="8"/>
    </row>
    <row r="696" ht="15.75" customHeight="1">
      <c r="B696" s="8"/>
      <c r="D696" s="8"/>
    </row>
    <row r="697" ht="15.75" customHeight="1">
      <c r="B697" s="8"/>
      <c r="D697" s="8"/>
    </row>
    <row r="698" ht="15.75" customHeight="1">
      <c r="B698" s="8"/>
      <c r="D698" s="8"/>
    </row>
    <row r="699" ht="15.75" customHeight="1">
      <c r="B699" s="8"/>
      <c r="D699" s="8"/>
    </row>
    <row r="700" ht="15.75" customHeight="1">
      <c r="B700" s="8"/>
      <c r="D700" s="8"/>
    </row>
    <row r="701" ht="15.75" customHeight="1">
      <c r="B701" s="8"/>
      <c r="D701" s="8"/>
    </row>
    <row r="702" ht="15.75" customHeight="1">
      <c r="B702" s="8"/>
      <c r="D702" s="8"/>
    </row>
    <row r="703" ht="15.75" customHeight="1">
      <c r="B703" s="8"/>
      <c r="D703" s="8"/>
    </row>
    <row r="704" ht="15.75" customHeight="1">
      <c r="B704" s="8"/>
      <c r="D704" s="8"/>
    </row>
    <row r="705" ht="15.75" customHeight="1">
      <c r="B705" s="8"/>
      <c r="D705" s="8"/>
    </row>
    <row r="706" ht="15.75" customHeight="1">
      <c r="B706" s="8"/>
      <c r="D706" s="8"/>
    </row>
    <row r="707" ht="15.75" customHeight="1">
      <c r="B707" s="8"/>
      <c r="D707" s="8"/>
    </row>
    <row r="708" ht="15.75" customHeight="1">
      <c r="B708" s="8"/>
      <c r="D708" s="8"/>
    </row>
    <row r="709" ht="15.75" customHeight="1">
      <c r="B709" s="8"/>
      <c r="D709" s="8"/>
    </row>
    <row r="710" ht="15.75" customHeight="1">
      <c r="B710" s="8"/>
      <c r="D710" s="8"/>
    </row>
    <row r="711" ht="15.75" customHeight="1">
      <c r="B711" s="8"/>
      <c r="D711" s="8"/>
    </row>
    <row r="712" ht="15.75" customHeight="1">
      <c r="B712" s="8"/>
      <c r="D712" s="8"/>
    </row>
    <row r="713" ht="15.75" customHeight="1">
      <c r="B713" s="8"/>
      <c r="D713" s="8"/>
    </row>
    <row r="714" ht="15.75" customHeight="1">
      <c r="B714" s="8"/>
      <c r="D714" s="8"/>
    </row>
    <row r="715" ht="15.75" customHeight="1">
      <c r="B715" s="8"/>
      <c r="D715" s="8"/>
    </row>
    <row r="716" ht="15.75" customHeight="1">
      <c r="B716" s="8"/>
      <c r="D716" s="8"/>
    </row>
    <row r="717" ht="15.75" customHeight="1">
      <c r="B717" s="8"/>
      <c r="D717" s="8"/>
    </row>
    <row r="718" ht="15.75" customHeight="1">
      <c r="B718" s="8"/>
      <c r="D718" s="8"/>
    </row>
    <row r="719" ht="15.75" customHeight="1">
      <c r="B719" s="8"/>
      <c r="D719" s="8"/>
    </row>
    <row r="720" ht="15.75" customHeight="1">
      <c r="B720" s="8"/>
      <c r="D720" s="8"/>
    </row>
    <row r="721" ht="15.75" customHeight="1">
      <c r="B721" s="8"/>
      <c r="D721" s="8"/>
    </row>
    <row r="722" ht="15.75" customHeight="1">
      <c r="B722" s="8"/>
      <c r="D722" s="8"/>
    </row>
    <row r="723" ht="15.75" customHeight="1">
      <c r="B723" s="8"/>
      <c r="D723" s="8"/>
    </row>
    <row r="724" ht="15.75" customHeight="1">
      <c r="B724" s="8"/>
      <c r="D724" s="8"/>
    </row>
    <row r="725" ht="15.75" customHeight="1">
      <c r="B725" s="8"/>
      <c r="D725" s="8"/>
    </row>
    <row r="726" ht="15.75" customHeight="1">
      <c r="B726" s="8"/>
      <c r="D726" s="8"/>
    </row>
    <row r="727" ht="15.75" customHeight="1">
      <c r="B727" s="8"/>
      <c r="D727" s="8"/>
    </row>
    <row r="728" ht="15.75" customHeight="1">
      <c r="B728" s="8"/>
      <c r="D728" s="8"/>
    </row>
    <row r="729" ht="15.75" customHeight="1">
      <c r="B729" s="8"/>
      <c r="D729" s="8"/>
    </row>
    <row r="730" ht="15.75" customHeight="1">
      <c r="B730" s="8"/>
      <c r="D730" s="8"/>
    </row>
    <row r="731" ht="15.75" customHeight="1">
      <c r="B731" s="8"/>
      <c r="D731" s="8"/>
    </row>
    <row r="732" ht="15.75" customHeight="1">
      <c r="B732" s="8"/>
      <c r="D732" s="8"/>
    </row>
    <row r="733" ht="15.75" customHeight="1">
      <c r="B733" s="8"/>
      <c r="D733" s="8"/>
    </row>
    <row r="734" ht="15.75" customHeight="1">
      <c r="B734" s="8"/>
      <c r="D734" s="8"/>
    </row>
    <row r="735" ht="15.75" customHeight="1">
      <c r="B735" s="8"/>
      <c r="D735" s="8"/>
    </row>
    <row r="736" ht="15.75" customHeight="1">
      <c r="B736" s="8"/>
      <c r="D736" s="8"/>
    </row>
    <row r="737" ht="15.75" customHeight="1">
      <c r="B737" s="8"/>
      <c r="D737" s="8"/>
    </row>
    <row r="738" ht="15.75" customHeight="1">
      <c r="B738" s="8"/>
      <c r="D738" s="8"/>
    </row>
    <row r="739" ht="15.75" customHeight="1">
      <c r="B739" s="8"/>
      <c r="D739" s="8"/>
    </row>
    <row r="740" ht="15.75" customHeight="1">
      <c r="B740" s="8"/>
      <c r="D740" s="8"/>
    </row>
    <row r="741" ht="15.75" customHeight="1">
      <c r="B741" s="8"/>
      <c r="D741" s="8"/>
    </row>
    <row r="742" ht="15.75" customHeight="1">
      <c r="B742" s="8"/>
      <c r="D742" s="8"/>
    </row>
    <row r="743" ht="15.75" customHeight="1">
      <c r="B743" s="8"/>
      <c r="D743" s="8"/>
    </row>
    <row r="744" ht="15.75" customHeight="1">
      <c r="B744" s="8"/>
      <c r="D744" s="8"/>
    </row>
    <row r="745" ht="15.75" customHeight="1">
      <c r="B745" s="8"/>
      <c r="D745" s="8"/>
    </row>
    <row r="746" ht="15.75" customHeight="1">
      <c r="B746" s="8"/>
      <c r="D746" s="8"/>
    </row>
    <row r="747" ht="15.75" customHeight="1">
      <c r="B747" s="8"/>
      <c r="D747" s="8"/>
    </row>
    <row r="748" ht="15.75" customHeight="1">
      <c r="B748" s="8"/>
      <c r="D748" s="8"/>
    </row>
    <row r="749" ht="15.75" customHeight="1">
      <c r="B749" s="8"/>
      <c r="D749" s="8"/>
    </row>
    <row r="750" ht="15.75" customHeight="1">
      <c r="B750" s="8"/>
      <c r="D750" s="8"/>
    </row>
    <row r="751" ht="15.75" customHeight="1">
      <c r="B751" s="8"/>
      <c r="D751" s="8"/>
    </row>
    <row r="752" ht="15.75" customHeight="1">
      <c r="B752" s="8"/>
      <c r="D752" s="8"/>
    </row>
    <row r="753" ht="15.75" customHeight="1">
      <c r="B753" s="8"/>
      <c r="D753" s="8"/>
    </row>
    <row r="754" ht="15.75" customHeight="1">
      <c r="B754" s="8"/>
      <c r="D754" s="8"/>
    </row>
    <row r="755" ht="15.75" customHeight="1">
      <c r="B755" s="8"/>
      <c r="D755" s="8"/>
    </row>
    <row r="756" ht="15.75" customHeight="1">
      <c r="B756" s="8"/>
      <c r="D756" s="8"/>
    </row>
    <row r="757" ht="15.75" customHeight="1">
      <c r="B757" s="8"/>
      <c r="D757" s="8"/>
    </row>
    <row r="758" ht="15.75" customHeight="1">
      <c r="B758" s="8"/>
      <c r="D758" s="8"/>
    </row>
    <row r="759" ht="15.75" customHeight="1">
      <c r="B759" s="8"/>
      <c r="D759" s="8"/>
    </row>
    <row r="760" ht="15.75" customHeight="1">
      <c r="B760" s="8"/>
      <c r="D760" s="8"/>
    </row>
    <row r="761" ht="15.75" customHeight="1">
      <c r="B761" s="8"/>
      <c r="D761" s="8"/>
    </row>
    <row r="762" ht="15.75" customHeight="1">
      <c r="B762" s="8"/>
      <c r="D762" s="8"/>
    </row>
    <row r="763" ht="15.75" customHeight="1">
      <c r="B763" s="8"/>
      <c r="D763" s="8"/>
    </row>
    <row r="764" ht="15.75" customHeight="1">
      <c r="B764" s="8"/>
      <c r="D764" s="8"/>
    </row>
    <row r="765" ht="15.75" customHeight="1">
      <c r="B765" s="8"/>
      <c r="D765" s="8"/>
    </row>
    <row r="766" ht="15.75" customHeight="1">
      <c r="B766" s="8"/>
      <c r="D766" s="8"/>
    </row>
    <row r="767" ht="15.75" customHeight="1">
      <c r="B767" s="8"/>
      <c r="D767" s="8"/>
    </row>
    <row r="768" ht="15.75" customHeight="1">
      <c r="B768" s="8"/>
      <c r="D768" s="8"/>
    </row>
    <row r="769" ht="15.75" customHeight="1">
      <c r="B769" s="8"/>
      <c r="D769" s="8"/>
    </row>
    <row r="770" ht="15.75" customHeight="1">
      <c r="B770" s="8"/>
      <c r="D770" s="8"/>
    </row>
    <row r="771" ht="15.75" customHeight="1">
      <c r="B771" s="8"/>
      <c r="D771" s="8"/>
    </row>
    <row r="772" ht="15.75" customHeight="1">
      <c r="B772" s="8"/>
      <c r="D772" s="8"/>
    </row>
    <row r="773" ht="15.75" customHeight="1">
      <c r="B773" s="8"/>
      <c r="D773" s="8"/>
    </row>
    <row r="774" ht="15.75" customHeight="1">
      <c r="B774" s="8"/>
      <c r="D774" s="8"/>
    </row>
    <row r="775" ht="15.75" customHeight="1">
      <c r="B775" s="8"/>
      <c r="D775" s="8"/>
    </row>
    <row r="776" ht="15.75" customHeight="1">
      <c r="B776" s="8"/>
      <c r="D776" s="8"/>
    </row>
    <row r="777" ht="15.75" customHeight="1">
      <c r="B777" s="8"/>
      <c r="D777" s="8"/>
    </row>
    <row r="778" ht="15.75" customHeight="1">
      <c r="B778" s="8"/>
      <c r="D778" s="8"/>
    </row>
    <row r="779" ht="15.75" customHeight="1">
      <c r="B779" s="8"/>
      <c r="D779" s="8"/>
    </row>
    <row r="780" ht="15.75" customHeight="1">
      <c r="B780" s="8"/>
      <c r="D780" s="8"/>
    </row>
    <row r="781" ht="15.75" customHeight="1">
      <c r="B781" s="8"/>
      <c r="D781" s="8"/>
    </row>
    <row r="782" ht="15.75" customHeight="1">
      <c r="B782" s="8"/>
      <c r="D782" s="8"/>
    </row>
    <row r="783" ht="15.75" customHeight="1">
      <c r="B783" s="8"/>
      <c r="D783" s="8"/>
    </row>
    <row r="784" ht="15.75" customHeight="1">
      <c r="B784" s="8"/>
      <c r="D784" s="8"/>
    </row>
    <row r="785" ht="15.75" customHeight="1">
      <c r="B785" s="8"/>
      <c r="D785" s="8"/>
    </row>
    <row r="786" ht="15.75" customHeight="1">
      <c r="B786" s="8"/>
      <c r="D786" s="8"/>
    </row>
    <row r="787" ht="15.75" customHeight="1">
      <c r="B787" s="8"/>
      <c r="D787" s="8"/>
    </row>
    <row r="788" ht="15.75" customHeight="1">
      <c r="B788" s="8"/>
      <c r="D788" s="8"/>
    </row>
    <row r="789" ht="15.75" customHeight="1">
      <c r="B789" s="8"/>
      <c r="D789" s="8"/>
    </row>
    <row r="790" ht="15.75" customHeight="1">
      <c r="B790" s="8"/>
      <c r="D790" s="8"/>
    </row>
    <row r="791" ht="15.75" customHeight="1">
      <c r="B791" s="8"/>
      <c r="D791" s="8"/>
    </row>
    <row r="792" ht="15.75" customHeight="1">
      <c r="B792" s="8"/>
      <c r="D792" s="8"/>
    </row>
    <row r="793" ht="15.75" customHeight="1">
      <c r="B793" s="8"/>
      <c r="D793" s="8"/>
    </row>
    <row r="794" ht="15.75" customHeight="1">
      <c r="B794" s="8"/>
      <c r="D794" s="8"/>
    </row>
    <row r="795" ht="15.75" customHeight="1">
      <c r="B795" s="8"/>
      <c r="D795" s="8"/>
    </row>
    <row r="796" ht="15.75" customHeight="1">
      <c r="B796" s="8"/>
      <c r="D796" s="8"/>
    </row>
    <row r="797" ht="15.75" customHeight="1">
      <c r="B797" s="8"/>
      <c r="D797" s="8"/>
    </row>
    <row r="798" ht="15.75" customHeight="1">
      <c r="B798" s="8"/>
      <c r="D798" s="8"/>
    </row>
    <row r="799" ht="15.75" customHeight="1">
      <c r="B799" s="8"/>
      <c r="D799" s="8"/>
    </row>
    <row r="800" ht="15.75" customHeight="1">
      <c r="B800" s="8"/>
      <c r="D800" s="8"/>
    </row>
    <row r="801" ht="15.75" customHeight="1">
      <c r="B801" s="8"/>
      <c r="D801" s="8"/>
    </row>
    <row r="802" ht="15.75" customHeight="1">
      <c r="B802" s="8"/>
      <c r="D802" s="8"/>
    </row>
    <row r="803" ht="15.75" customHeight="1">
      <c r="B803" s="8"/>
      <c r="D803" s="8"/>
    </row>
    <row r="804" ht="15.75" customHeight="1">
      <c r="B804" s="8"/>
      <c r="D804" s="8"/>
    </row>
    <row r="805" ht="15.75" customHeight="1">
      <c r="B805" s="8"/>
      <c r="D805" s="8"/>
    </row>
    <row r="806" ht="15.75" customHeight="1">
      <c r="B806" s="8"/>
      <c r="D806" s="8"/>
    </row>
    <row r="807" ht="15.75" customHeight="1">
      <c r="B807" s="8"/>
      <c r="D807" s="8"/>
    </row>
    <row r="808" ht="15.75" customHeight="1">
      <c r="B808" s="8"/>
      <c r="D808" s="8"/>
    </row>
    <row r="809" ht="15.75" customHeight="1">
      <c r="B809" s="8"/>
      <c r="D809" s="8"/>
    </row>
    <row r="810" ht="15.75" customHeight="1">
      <c r="B810" s="8"/>
      <c r="D810" s="8"/>
    </row>
    <row r="811" ht="15.75" customHeight="1">
      <c r="B811" s="8"/>
      <c r="D811" s="8"/>
    </row>
    <row r="812" ht="15.75" customHeight="1">
      <c r="B812" s="8"/>
      <c r="D812" s="8"/>
    </row>
    <row r="813" ht="15.75" customHeight="1">
      <c r="B813" s="8"/>
      <c r="D813" s="8"/>
    </row>
    <row r="814" ht="15.75" customHeight="1">
      <c r="B814" s="8"/>
      <c r="D814" s="8"/>
    </row>
    <row r="815" ht="15.75" customHeight="1">
      <c r="B815" s="8"/>
      <c r="D815" s="8"/>
    </row>
    <row r="816" ht="15.75" customHeight="1">
      <c r="B816" s="8"/>
      <c r="D816" s="8"/>
    </row>
    <row r="817" ht="15.75" customHeight="1">
      <c r="B817" s="8"/>
      <c r="D817" s="8"/>
    </row>
    <row r="818" ht="15.75" customHeight="1">
      <c r="B818" s="8"/>
      <c r="D818" s="8"/>
    </row>
    <row r="819" ht="15.75" customHeight="1">
      <c r="B819" s="8"/>
      <c r="D819" s="8"/>
    </row>
    <row r="820" ht="15.75" customHeight="1">
      <c r="B820" s="8"/>
      <c r="D820" s="8"/>
    </row>
    <row r="821" ht="15.75" customHeight="1">
      <c r="B821" s="8"/>
      <c r="D821" s="8"/>
    </row>
    <row r="822" ht="15.75" customHeight="1">
      <c r="B822" s="8"/>
      <c r="D822" s="8"/>
    </row>
    <row r="823" ht="15.75" customHeight="1">
      <c r="B823" s="8"/>
      <c r="D823" s="8"/>
    </row>
    <row r="824" ht="15.75" customHeight="1">
      <c r="B824" s="8"/>
      <c r="D824" s="8"/>
    </row>
    <row r="825" ht="15.75" customHeight="1">
      <c r="B825" s="8"/>
      <c r="D825" s="8"/>
    </row>
    <row r="826" ht="15.75" customHeight="1">
      <c r="B826" s="8"/>
      <c r="D826" s="8"/>
    </row>
    <row r="827" ht="15.75" customHeight="1">
      <c r="B827" s="8"/>
      <c r="D827" s="8"/>
    </row>
    <row r="828" ht="15.75" customHeight="1">
      <c r="B828" s="8"/>
      <c r="D828" s="8"/>
    </row>
    <row r="829" ht="15.75" customHeight="1">
      <c r="B829" s="8"/>
      <c r="D829" s="8"/>
    </row>
    <row r="830" ht="15.75" customHeight="1">
      <c r="B830" s="8"/>
      <c r="D830" s="8"/>
    </row>
    <row r="831" ht="15.75" customHeight="1">
      <c r="B831" s="8"/>
      <c r="D831" s="8"/>
    </row>
    <row r="832" ht="15.75" customHeight="1">
      <c r="B832" s="8"/>
      <c r="D832" s="8"/>
    </row>
    <row r="833" ht="15.75" customHeight="1">
      <c r="B833" s="8"/>
      <c r="D833" s="8"/>
    </row>
    <row r="834" ht="15.75" customHeight="1">
      <c r="B834" s="8"/>
      <c r="D834" s="8"/>
    </row>
    <row r="835" ht="15.75" customHeight="1">
      <c r="B835" s="8"/>
      <c r="D835" s="8"/>
    </row>
    <row r="836" ht="15.75" customHeight="1">
      <c r="B836" s="8"/>
      <c r="D836" s="8"/>
    </row>
    <row r="837" ht="15.75" customHeight="1">
      <c r="B837" s="8"/>
      <c r="D837" s="8"/>
    </row>
    <row r="838" ht="15.75" customHeight="1">
      <c r="B838" s="8"/>
      <c r="D838" s="8"/>
    </row>
    <row r="839" ht="15.75" customHeight="1">
      <c r="B839" s="8"/>
      <c r="D839" s="8"/>
    </row>
    <row r="840" ht="15.75" customHeight="1">
      <c r="B840" s="8"/>
      <c r="D840" s="8"/>
    </row>
    <row r="841" ht="15.75" customHeight="1">
      <c r="B841" s="8"/>
      <c r="D841" s="8"/>
    </row>
    <row r="842" ht="15.75" customHeight="1">
      <c r="B842" s="8"/>
      <c r="D842" s="8"/>
    </row>
    <row r="843" ht="15.75" customHeight="1">
      <c r="B843" s="8"/>
      <c r="D843" s="8"/>
    </row>
    <row r="844" ht="15.75" customHeight="1">
      <c r="B844" s="8"/>
      <c r="D844" s="8"/>
    </row>
    <row r="845" ht="15.75" customHeight="1">
      <c r="B845" s="8"/>
      <c r="D845" s="8"/>
    </row>
    <row r="846" ht="15.75" customHeight="1">
      <c r="B846" s="8"/>
      <c r="D846" s="8"/>
    </row>
    <row r="847" ht="15.75" customHeight="1">
      <c r="B847" s="8"/>
      <c r="D847" s="8"/>
    </row>
    <row r="848" ht="15.75" customHeight="1">
      <c r="B848" s="8"/>
      <c r="D848" s="8"/>
    </row>
    <row r="849" ht="15.75" customHeight="1">
      <c r="B849" s="8"/>
      <c r="D849" s="8"/>
    </row>
    <row r="850" ht="15.75" customHeight="1">
      <c r="B850" s="8"/>
      <c r="D850" s="8"/>
    </row>
    <row r="851" ht="15.75" customHeight="1">
      <c r="B851" s="8"/>
      <c r="D851" s="8"/>
    </row>
    <row r="852" ht="15.75" customHeight="1">
      <c r="B852" s="8"/>
      <c r="D852" s="8"/>
    </row>
    <row r="853" ht="15.75" customHeight="1">
      <c r="B853" s="8"/>
      <c r="D853" s="8"/>
    </row>
    <row r="854" ht="15.75" customHeight="1">
      <c r="B854" s="8"/>
      <c r="D854" s="8"/>
    </row>
    <row r="855" ht="15.75" customHeight="1">
      <c r="B855" s="8"/>
      <c r="D855" s="8"/>
    </row>
    <row r="856" ht="15.75" customHeight="1">
      <c r="B856" s="8"/>
      <c r="D856" s="8"/>
    </row>
    <row r="857" ht="15.75" customHeight="1">
      <c r="B857" s="8"/>
      <c r="D857" s="8"/>
    </row>
    <row r="858" ht="15.75" customHeight="1">
      <c r="B858" s="8"/>
      <c r="D858" s="8"/>
    </row>
    <row r="859" ht="15.75" customHeight="1">
      <c r="B859" s="8"/>
      <c r="D859" s="8"/>
    </row>
    <row r="860" ht="15.75" customHeight="1">
      <c r="B860" s="8"/>
      <c r="D860" s="8"/>
    </row>
    <row r="861" ht="15.75" customHeight="1">
      <c r="B861" s="8"/>
      <c r="D861" s="8"/>
    </row>
    <row r="862" ht="15.75" customHeight="1">
      <c r="B862" s="8"/>
      <c r="D862" s="8"/>
    </row>
    <row r="863" ht="15.75" customHeight="1">
      <c r="B863" s="8"/>
      <c r="D863" s="8"/>
    </row>
    <row r="864" ht="15.75" customHeight="1">
      <c r="B864" s="8"/>
      <c r="D864" s="8"/>
    </row>
    <row r="865" ht="15.75" customHeight="1">
      <c r="B865" s="8"/>
      <c r="D865" s="8"/>
    </row>
    <row r="866" ht="15.75" customHeight="1">
      <c r="B866" s="8"/>
      <c r="D866" s="8"/>
    </row>
    <row r="867" ht="15.75" customHeight="1">
      <c r="B867" s="8"/>
      <c r="D867" s="8"/>
    </row>
    <row r="868" ht="15.75" customHeight="1">
      <c r="B868" s="8"/>
      <c r="D868" s="8"/>
    </row>
    <row r="869" ht="15.75" customHeight="1">
      <c r="B869" s="8"/>
      <c r="D869" s="8"/>
    </row>
    <row r="870" ht="15.75" customHeight="1">
      <c r="B870" s="8"/>
      <c r="D870" s="8"/>
    </row>
    <row r="871" ht="15.75" customHeight="1">
      <c r="B871" s="8"/>
      <c r="D871" s="8"/>
    </row>
    <row r="872" ht="15.75" customHeight="1">
      <c r="B872" s="8"/>
      <c r="D872" s="8"/>
    </row>
    <row r="873" ht="15.75" customHeight="1">
      <c r="B873" s="8"/>
      <c r="D873" s="8"/>
    </row>
    <row r="874" ht="15.75" customHeight="1">
      <c r="B874" s="8"/>
      <c r="D874" s="8"/>
    </row>
    <row r="875" ht="15.75" customHeight="1">
      <c r="B875" s="8"/>
      <c r="D875" s="8"/>
    </row>
    <row r="876" ht="15.75" customHeight="1">
      <c r="B876" s="8"/>
      <c r="D876" s="8"/>
    </row>
    <row r="877" ht="15.75" customHeight="1">
      <c r="B877" s="8"/>
      <c r="D877" s="8"/>
    </row>
    <row r="878" ht="15.75" customHeight="1">
      <c r="B878" s="8"/>
      <c r="D878" s="8"/>
    </row>
    <row r="879" ht="15.75" customHeight="1">
      <c r="B879" s="8"/>
      <c r="D879" s="8"/>
    </row>
    <row r="880" ht="15.75" customHeight="1">
      <c r="B880" s="8"/>
      <c r="D880" s="8"/>
    </row>
    <row r="881" ht="15.75" customHeight="1">
      <c r="B881" s="8"/>
      <c r="D881" s="8"/>
    </row>
    <row r="882" ht="15.75" customHeight="1">
      <c r="B882" s="8"/>
      <c r="D882" s="8"/>
    </row>
    <row r="883" ht="15.75" customHeight="1">
      <c r="B883" s="8"/>
      <c r="D883" s="8"/>
    </row>
    <row r="884" ht="15.75" customHeight="1">
      <c r="B884" s="8"/>
      <c r="D884" s="8"/>
    </row>
    <row r="885" ht="15.75" customHeight="1">
      <c r="B885" s="8"/>
      <c r="D885" s="8"/>
    </row>
    <row r="886" ht="15.75" customHeight="1">
      <c r="B886" s="8"/>
      <c r="D886" s="8"/>
    </row>
    <row r="887" ht="15.75" customHeight="1">
      <c r="B887" s="8"/>
      <c r="D887" s="8"/>
    </row>
    <row r="888" ht="15.75" customHeight="1">
      <c r="B888" s="8"/>
      <c r="D888" s="8"/>
    </row>
    <row r="889" ht="15.75" customHeight="1">
      <c r="B889" s="8"/>
      <c r="D889" s="8"/>
    </row>
    <row r="890" ht="15.75" customHeight="1">
      <c r="B890" s="8"/>
      <c r="D890" s="8"/>
    </row>
    <row r="891" ht="15.75" customHeight="1">
      <c r="B891" s="8"/>
      <c r="D891" s="8"/>
    </row>
    <row r="892" ht="15.75" customHeight="1">
      <c r="B892" s="8"/>
      <c r="D892" s="8"/>
    </row>
    <row r="893" ht="15.75" customHeight="1">
      <c r="B893" s="8"/>
      <c r="D893" s="8"/>
    </row>
    <row r="894" ht="15.75" customHeight="1">
      <c r="B894" s="8"/>
      <c r="D894" s="8"/>
    </row>
    <row r="895" ht="15.75" customHeight="1">
      <c r="B895" s="8"/>
      <c r="D895" s="8"/>
    </row>
    <row r="896" ht="15.75" customHeight="1">
      <c r="B896" s="8"/>
      <c r="D896" s="8"/>
    </row>
    <row r="897" ht="15.75" customHeight="1">
      <c r="B897" s="8"/>
      <c r="D897" s="8"/>
    </row>
    <row r="898" ht="15.75" customHeight="1">
      <c r="B898" s="8"/>
      <c r="D898" s="8"/>
    </row>
    <row r="899" ht="15.75" customHeight="1">
      <c r="B899" s="8"/>
      <c r="D899" s="8"/>
    </row>
    <row r="900" ht="15.75" customHeight="1">
      <c r="B900" s="8"/>
      <c r="D900" s="8"/>
    </row>
    <row r="901" ht="15.75" customHeight="1">
      <c r="B901" s="8"/>
      <c r="D901" s="8"/>
    </row>
    <row r="902" ht="15.75" customHeight="1">
      <c r="B902" s="8"/>
      <c r="D902" s="8"/>
    </row>
    <row r="903" ht="15.75" customHeight="1">
      <c r="B903" s="8"/>
      <c r="D903" s="8"/>
    </row>
    <row r="904" ht="15.75" customHeight="1">
      <c r="B904" s="8"/>
      <c r="D904" s="8"/>
    </row>
    <row r="905" ht="15.75" customHeight="1">
      <c r="B905" s="8"/>
      <c r="D905" s="8"/>
    </row>
    <row r="906" ht="15.75" customHeight="1">
      <c r="B906" s="8"/>
      <c r="D906" s="8"/>
    </row>
    <row r="907" ht="15.75" customHeight="1">
      <c r="B907" s="8"/>
      <c r="D907" s="8"/>
    </row>
    <row r="908" ht="15.75" customHeight="1">
      <c r="B908" s="8"/>
      <c r="D908" s="8"/>
    </row>
    <row r="909" ht="15.75" customHeight="1">
      <c r="B909" s="8"/>
      <c r="D909" s="8"/>
    </row>
    <row r="910" ht="15.75" customHeight="1">
      <c r="B910" s="8"/>
      <c r="D910" s="8"/>
    </row>
    <row r="911" ht="15.75" customHeight="1">
      <c r="B911" s="8"/>
      <c r="D911" s="8"/>
    </row>
    <row r="912" ht="15.75" customHeight="1">
      <c r="B912" s="8"/>
      <c r="D912" s="8"/>
    </row>
    <row r="913" ht="15.75" customHeight="1">
      <c r="B913" s="8"/>
      <c r="D913" s="8"/>
    </row>
    <row r="914" ht="15.75" customHeight="1">
      <c r="B914" s="8"/>
      <c r="D914" s="8"/>
    </row>
    <row r="915" ht="15.75" customHeight="1">
      <c r="B915" s="8"/>
      <c r="D915" s="8"/>
    </row>
    <row r="916" ht="15.75" customHeight="1">
      <c r="B916" s="8"/>
      <c r="D916" s="8"/>
    </row>
    <row r="917" ht="15.75" customHeight="1">
      <c r="B917" s="8"/>
      <c r="D917" s="8"/>
    </row>
    <row r="918" ht="15.75" customHeight="1">
      <c r="B918" s="8"/>
      <c r="D918" s="8"/>
    </row>
    <row r="919" ht="15.75" customHeight="1">
      <c r="B919" s="8"/>
      <c r="D919" s="8"/>
    </row>
    <row r="920" ht="15.75" customHeight="1">
      <c r="B920" s="8"/>
      <c r="D920" s="8"/>
    </row>
    <row r="921" ht="15.75" customHeight="1">
      <c r="B921" s="8"/>
      <c r="D921" s="8"/>
    </row>
    <row r="922" ht="15.75" customHeight="1">
      <c r="B922" s="8"/>
      <c r="D922" s="8"/>
    </row>
    <row r="923" ht="15.75" customHeight="1">
      <c r="B923" s="8"/>
      <c r="D923" s="8"/>
    </row>
    <row r="924" ht="15.75" customHeight="1">
      <c r="B924" s="8"/>
      <c r="D924" s="8"/>
    </row>
    <row r="925" ht="15.75" customHeight="1">
      <c r="B925" s="8"/>
      <c r="D925" s="8"/>
    </row>
    <row r="926" ht="15.75" customHeight="1">
      <c r="B926" s="8"/>
      <c r="D926" s="8"/>
    </row>
    <row r="927" ht="15.75" customHeight="1">
      <c r="B927" s="8"/>
      <c r="D927" s="8"/>
    </row>
    <row r="928" ht="15.75" customHeight="1">
      <c r="B928" s="8"/>
      <c r="D928" s="8"/>
    </row>
    <row r="929" ht="15.75" customHeight="1">
      <c r="B929" s="8"/>
      <c r="D929" s="8"/>
    </row>
    <row r="930" ht="15.75" customHeight="1">
      <c r="B930" s="8"/>
      <c r="D930" s="8"/>
    </row>
    <row r="931" ht="15.75" customHeight="1">
      <c r="B931" s="8"/>
      <c r="D931" s="8"/>
    </row>
    <row r="932" ht="15.75" customHeight="1">
      <c r="B932" s="8"/>
      <c r="D932" s="8"/>
    </row>
    <row r="933" ht="15.75" customHeight="1">
      <c r="B933" s="8"/>
      <c r="D933" s="8"/>
    </row>
    <row r="934" ht="15.75" customHeight="1">
      <c r="B934" s="8"/>
      <c r="D934" s="8"/>
    </row>
    <row r="935" ht="15.75" customHeight="1">
      <c r="B935" s="8"/>
      <c r="D935" s="8"/>
    </row>
    <row r="936" ht="15.75" customHeight="1">
      <c r="B936" s="8"/>
      <c r="D936" s="8"/>
    </row>
    <row r="937" ht="15.75" customHeight="1">
      <c r="B937" s="8"/>
      <c r="D937" s="8"/>
    </row>
    <row r="938" ht="15.75" customHeight="1">
      <c r="B938" s="8"/>
      <c r="D938" s="8"/>
    </row>
    <row r="939" ht="15.75" customHeight="1">
      <c r="B939" s="8"/>
      <c r="D939" s="8"/>
    </row>
    <row r="940" ht="15.75" customHeight="1">
      <c r="B940" s="8"/>
      <c r="D940" s="8"/>
    </row>
    <row r="941" ht="15.75" customHeight="1">
      <c r="B941" s="8"/>
      <c r="D941" s="8"/>
    </row>
    <row r="942" ht="15.75" customHeight="1">
      <c r="B942" s="8"/>
      <c r="D942" s="8"/>
    </row>
    <row r="943" ht="15.75" customHeight="1">
      <c r="B943" s="8"/>
      <c r="D943" s="8"/>
    </row>
    <row r="944" ht="15.75" customHeight="1">
      <c r="B944" s="8"/>
      <c r="D944" s="8"/>
    </row>
    <row r="945" ht="15.75" customHeight="1">
      <c r="B945" s="8"/>
      <c r="D945" s="8"/>
    </row>
    <row r="946" ht="15.75" customHeight="1">
      <c r="B946" s="8"/>
      <c r="D946" s="8"/>
    </row>
    <row r="947" ht="15.75" customHeight="1">
      <c r="B947" s="8"/>
      <c r="D947" s="8"/>
    </row>
    <row r="948" ht="15.75" customHeight="1">
      <c r="B948" s="8"/>
      <c r="D948" s="8"/>
    </row>
    <row r="949" ht="15.75" customHeight="1">
      <c r="B949" s="8"/>
      <c r="D949" s="8"/>
    </row>
    <row r="950" ht="15.75" customHeight="1">
      <c r="B950" s="8"/>
      <c r="D950" s="8"/>
    </row>
    <row r="951" ht="15.75" customHeight="1">
      <c r="B951" s="8"/>
      <c r="D951" s="8"/>
    </row>
    <row r="952" ht="15.75" customHeight="1">
      <c r="B952" s="8"/>
      <c r="D952" s="8"/>
    </row>
    <row r="953" ht="15.75" customHeight="1">
      <c r="B953" s="8"/>
      <c r="D953" s="8"/>
    </row>
    <row r="954" ht="15.75" customHeight="1">
      <c r="B954" s="8"/>
      <c r="D954" s="8"/>
    </row>
    <row r="955" ht="15.75" customHeight="1">
      <c r="B955" s="8"/>
      <c r="D955" s="8"/>
    </row>
    <row r="956" ht="15.75" customHeight="1">
      <c r="B956" s="8"/>
      <c r="D956" s="8"/>
    </row>
    <row r="957" ht="15.75" customHeight="1">
      <c r="B957" s="8"/>
      <c r="D957" s="8"/>
    </row>
    <row r="958" ht="15.75" customHeight="1">
      <c r="B958" s="8"/>
      <c r="D958" s="8"/>
    </row>
    <row r="959" ht="15.75" customHeight="1">
      <c r="B959" s="8"/>
      <c r="D959" s="8"/>
    </row>
    <row r="960" ht="15.75" customHeight="1">
      <c r="B960" s="8"/>
      <c r="D960" s="8"/>
    </row>
    <row r="961" ht="15.75" customHeight="1">
      <c r="B961" s="8"/>
      <c r="D961" s="8"/>
    </row>
    <row r="962" ht="15.75" customHeight="1">
      <c r="B962" s="8"/>
      <c r="D962" s="8"/>
    </row>
    <row r="963" ht="15.75" customHeight="1">
      <c r="B963" s="8"/>
      <c r="D963" s="8"/>
    </row>
    <row r="964" ht="15.75" customHeight="1">
      <c r="B964" s="8"/>
      <c r="D964" s="8"/>
    </row>
    <row r="965" ht="15.75" customHeight="1">
      <c r="B965" s="8"/>
      <c r="D965" s="8"/>
    </row>
    <row r="966" ht="15.75" customHeight="1">
      <c r="B966" s="8"/>
      <c r="D966" s="8"/>
    </row>
    <row r="967" ht="15.75" customHeight="1">
      <c r="B967" s="8"/>
      <c r="D967" s="8"/>
    </row>
    <row r="968" ht="15.75" customHeight="1">
      <c r="B968" s="8"/>
      <c r="D968" s="8"/>
    </row>
    <row r="969" ht="15.75" customHeight="1">
      <c r="B969" s="8"/>
      <c r="D969" s="8"/>
    </row>
    <row r="970" ht="15.75" customHeight="1">
      <c r="B970" s="8"/>
      <c r="D970" s="8"/>
    </row>
    <row r="971" ht="15.75" customHeight="1">
      <c r="B971" s="8"/>
      <c r="D971" s="8"/>
    </row>
    <row r="972" ht="15.75" customHeight="1">
      <c r="B972" s="8"/>
      <c r="D972" s="8"/>
    </row>
    <row r="973" ht="15.75" customHeight="1">
      <c r="B973" s="8"/>
      <c r="D973" s="8"/>
    </row>
    <row r="974" ht="15.75" customHeight="1">
      <c r="B974" s="8"/>
      <c r="D974" s="8"/>
    </row>
    <row r="975" ht="15.75" customHeight="1">
      <c r="B975" s="8"/>
      <c r="D975" s="8"/>
    </row>
    <row r="976" ht="15.75" customHeight="1">
      <c r="B976" s="8"/>
      <c r="D976" s="8"/>
    </row>
    <row r="977" ht="15.75" customHeight="1">
      <c r="B977" s="8"/>
      <c r="D977" s="8"/>
    </row>
    <row r="978" ht="15.75" customHeight="1">
      <c r="B978" s="8"/>
      <c r="D978" s="8"/>
    </row>
    <row r="979" ht="15.75" customHeight="1">
      <c r="B979" s="8"/>
      <c r="D979" s="8"/>
    </row>
    <row r="980" ht="15.75" customHeight="1">
      <c r="B980" s="8"/>
      <c r="D980" s="8"/>
    </row>
    <row r="981" ht="15.75" customHeight="1">
      <c r="B981" s="8"/>
      <c r="D981" s="8"/>
    </row>
    <row r="982" ht="15.75" customHeight="1">
      <c r="B982" s="8"/>
      <c r="D982" s="8"/>
    </row>
    <row r="983" ht="15.75" customHeight="1">
      <c r="B983" s="8"/>
      <c r="D983" s="8"/>
    </row>
    <row r="984" ht="15.75" customHeight="1">
      <c r="B984" s="8"/>
      <c r="D984" s="8"/>
    </row>
    <row r="985" ht="15.75" customHeight="1">
      <c r="B985" s="8"/>
      <c r="D985" s="8"/>
    </row>
    <row r="986" ht="15.75" customHeight="1">
      <c r="B986" s="8"/>
      <c r="D986" s="8"/>
    </row>
    <row r="987" ht="15.75" customHeight="1">
      <c r="B987" s="8"/>
      <c r="D987" s="8"/>
    </row>
    <row r="988" ht="15.75" customHeight="1">
      <c r="B988" s="8"/>
      <c r="D988" s="8"/>
    </row>
    <row r="989" ht="15.75" customHeight="1">
      <c r="B989" s="8"/>
      <c r="D989" s="8"/>
    </row>
    <row r="990" ht="15.75" customHeight="1">
      <c r="B990" s="8"/>
      <c r="D990" s="8"/>
    </row>
    <row r="991" ht="15.75" customHeight="1">
      <c r="B991" s="8"/>
      <c r="D991" s="8"/>
    </row>
    <row r="992" ht="15.75" customHeight="1">
      <c r="B992" s="8"/>
      <c r="D992" s="8"/>
    </row>
    <row r="993" ht="15.75" customHeight="1">
      <c r="B993" s="8"/>
      <c r="D993" s="8"/>
    </row>
    <row r="994" ht="15.75" customHeight="1">
      <c r="B994" s="8"/>
      <c r="D994" s="8"/>
    </row>
    <row r="995" ht="15.75" customHeight="1">
      <c r="B995" s="8"/>
      <c r="D995" s="8"/>
    </row>
    <row r="996" ht="15.75" customHeight="1">
      <c r="B996" s="8"/>
      <c r="D996" s="8"/>
    </row>
    <row r="997" ht="15.75" customHeight="1">
      <c r="B997" s="8"/>
      <c r="D997" s="8"/>
    </row>
    <row r="998" ht="15.75" customHeight="1">
      <c r="B998" s="8"/>
      <c r="D998" s="8"/>
    </row>
    <row r="999" ht="15.75" customHeight="1">
      <c r="B999" s="8"/>
      <c r="D999" s="8"/>
    </row>
    <row r="1000" ht="15.75" customHeight="1">
      <c r="B1000" s="8"/>
      <c r="D1000" s="8"/>
    </row>
  </sheetData>
  <autoFilter ref="$A$1:$AA$1000"/>
  <conditionalFormatting sqref="G2:G377">
    <cfRule type="cellIs" dxfId="0" priority="1" stopIfTrue="1" operator="equal">
      <formula>"FALSE"</formula>
    </cfRule>
  </conditionalFormatting>
  <conditionalFormatting sqref="R2:R377">
    <cfRule type="cellIs" dxfId="0" priority="2" stopIfTrue="1" operator="equal">
      <formula>"FALSE"</formula>
    </cfRule>
  </conditionalFormatting>
  <hyperlinks>
    <hyperlink r:id="rId1" ref="S2"/>
    <hyperlink r:id="rId2" ref="S3"/>
    <hyperlink r:id="rId3" ref="S4"/>
    <hyperlink r:id="rId4" ref="S5"/>
    <hyperlink r:id="rId5" ref="S6"/>
    <hyperlink r:id="rId6" ref="S7"/>
    <hyperlink r:id="rId7" ref="S8"/>
    <hyperlink r:id="rId8" ref="S9"/>
    <hyperlink r:id="rId9" ref="S11"/>
    <hyperlink r:id="rId10" ref="S12"/>
    <hyperlink r:id="rId11" ref="S19"/>
    <hyperlink r:id="rId12" ref="S20"/>
    <hyperlink r:id="rId13" ref="S21"/>
    <hyperlink r:id="rId14" ref="S22"/>
    <hyperlink r:id="rId15" ref="S23"/>
    <hyperlink r:id="rId16" ref="S24"/>
    <hyperlink r:id="rId17" ref="S25"/>
    <hyperlink r:id="rId18" ref="S26"/>
    <hyperlink r:id="rId19" ref="S27"/>
    <hyperlink r:id="rId20" ref="S28"/>
    <hyperlink r:id="rId21" ref="S41"/>
    <hyperlink r:id="rId22" ref="S42"/>
    <hyperlink r:id="rId23" ref="S48"/>
    <hyperlink r:id="rId24" ref="S49"/>
    <hyperlink r:id="rId25" ref="S50"/>
    <hyperlink r:id="rId26" ref="S51"/>
    <hyperlink r:id="rId27" ref="S54"/>
    <hyperlink r:id="rId28" ref="S60"/>
    <hyperlink r:id="rId29" ref="S65"/>
    <hyperlink r:id="rId30" ref="S71"/>
    <hyperlink r:id="rId31" ref="S72"/>
    <hyperlink r:id="rId32" ref="S98"/>
    <hyperlink r:id="rId33" ref="S99"/>
    <hyperlink r:id="rId34" ref="S100"/>
    <hyperlink r:id="rId35" ref="S101"/>
    <hyperlink r:id="rId36" ref="S102"/>
    <hyperlink r:id="rId37" ref="S103"/>
    <hyperlink r:id="rId38" ref="S107"/>
    <hyperlink r:id="rId39" ref="S108"/>
    <hyperlink r:id="rId40" ref="S109"/>
    <hyperlink r:id="rId41" ref="S113"/>
    <hyperlink r:id="rId42" ref="S114"/>
    <hyperlink r:id="rId43" ref="S115"/>
    <hyperlink r:id="rId44" ref="S116"/>
    <hyperlink r:id="rId45" ref="S117"/>
    <hyperlink r:id="rId46" ref="S118"/>
    <hyperlink r:id="rId47" ref="S119"/>
    <hyperlink r:id="rId48" ref="S120"/>
    <hyperlink r:id="rId49" ref="S121"/>
    <hyperlink r:id="rId50" ref="S122"/>
    <hyperlink r:id="rId51" ref="S125"/>
    <hyperlink r:id="rId52" ref="S126"/>
    <hyperlink r:id="rId53" ref="S127"/>
    <hyperlink r:id="rId54" ref="S128"/>
    <hyperlink r:id="rId55" ref="S131"/>
    <hyperlink r:id="rId56" ref="S132"/>
    <hyperlink r:id="rId57" ref="S137"/>
    <hyperlink r:id="rId58" ref="S138"/>
    <hyperlink r:id="rId59" ref="S139"/>
    <hyperlink r:id="rId60" ref="S140"/>
    <hyperlink r:id="rId61" ref="S141"/>
    <hyperlink r:id="rId62" ref="S142"/>
    <hyperlink r:id="rId63" ref="S143"/>
    <hyperlink r:id="rId64" ref="S144"/>
    <hyperlink r:id="rId65" ref="S145"/>
    <hyperlink r:id="rId66" ref="S146"/>
    <hyperlink r:id="rId67" ref="S147"/>
    <hyperlink r:id="rId68" ref="S148"/>
    <hyperlink r:id="rId69" ref="S149"/>
    <hyperlink r:id="rId70" ref="S150"/>
    <hyperlink r:id="rId71" ref="S151"/>
    <hyperlink r:id="rId72" ref="S152"/>
    <hyperlink r:id="rId73" ref="S153"/>
    <hyperlink r:id="rId74" ref="S154"/>
    <hyperlink r:id="rId75" ref="S155"/>
    <hyperlink r:id="rId76" ref="S156"/>
    <hyperlink r:id="rId77" ref="S157"/>
    <hyperlink r:id="rId78" ref="S158"/>
    <hyperlink r:id="rId79" ref="S159"/>
    <hyperlink r:id="rId80" ref="S160"/>
    <hyperlink r:id="rId81" ref="S161"/>
    <hyperlink r:id="rId82" ref="S162"/>
    <hyperlink r:id="rId83" ref="S163"/>
    <hyperlink r:id="rId84" ref="S164"/>
    <hyperlink r:id="rId85" ref="S165"/>
    <hyperlink r:id="rId86" ref="S166"/>
    <hyperlink r:id="rId87" ref="S167"/>
    <hyperlink r:id="rId88" ref="S168"/>
    <hyperlink r:id="rId89" ref="S169"/>
    <hyperlink r:id="rId90" ref="S170"/>
    <hyperlink r:id="rId91" ref="S171"/>
    <hyperlink r:id="rId92" ref="S172"/>
    <hyperlink r:id="rId93" ref="S173"/>
    <hyperlink r:id="rId94" ref="S174"/>
    <hyperlink r:id="rId95" ref="S175"/>
    <hyperlink r:id="rId96" ref="S176"/>
    <hyperlink r:id="rId97" ref="S177"/>
    <hyperlink r:id="rId98" ref="S178"/>
    <hyperlink r:id="rId99" ref="S179"/>
    <hyperlink r:id="rId100" ref="S180"/>
    <hyperlink r:id="rId101" ref="S181"/>
    <hyperlink r:id="rId102" ref="S182"/>
    <hyperlink r:id="rId103" ref="S183"/>
    <hyperlink r:id="rId104" ref="S184"/>
    <hyperlink r:id="rId105" ref="S185"/>
    <hyperlink r:id="rId106" ref="S186"/>
    <hyperlink r:id="rId107" ref="S187"/>
    <hyperlink r:id="rId108" ref="S188"/>
    <hyperlink r:id="rId109" ref="S189"/>
    <hyperlink r:id="rId110" ref="S190"/>
    <hyperlink r:id="rId111" ref="S191"/>
    <hyperlink r:id="rId112" ref="S192"/>
    <hyperlink r:id="rId113" ref="S193"/>
    <hyperlink r:id="rId114" ref="S194"/>
    <hyperlink r:id="rId115" ref="S195"/>
    <hyperlink r:id="rId116" ref="S196"/>
    <hyperlink r:id="rId117" ref="S197"/>
    <hyperlink r:id="rId118" ref="S198"/>
    <hyperlink r:id="rId119" ref="S199"/>
    <hyperlink r:id="rId120" ref="S200"/>
    <hyperlink r:id="rId121" ref="S201"/>
    <hyperlink r:id="rId122" ref="S202"/>
    <hyperlink r:id="rId123" ref="S203"/>
    <hyperlink r:id="rId124" ref="S204"/>
    <hyperlink r:id="rId125" ref="S205"/>
    <hyperlink r:id="rId126" ref="S206"/>
    <hyperlink r:id="rId127" ref="S207"/>
    <hyperlink r:id="rId128" ref="S208"/>
    <hyperlink r:id="rId129" ref="S209"/>
    <hyperlink r:id="rId130" ref="S210"/>
    <hyperlink r:id="rId131" ref="S211"/>
    <hyperlink r:id="rId132" ref="S212"/>
    <hyperlink r:id="rId133" ref="S213"/>
    <hyperlink r:id="rId134" ref="S214"/>
    <hyperlink r:id="rId135" ref="S215"/>
    <hyperlink r:id="rId136" ref="S216"/>
    <hyperlink r:id="rId137" ref="S217"/>
    <hyperlink r:id="rId138" ref="S218"/>
    <hyperlink r:id="rId139" ref="S219"/>
    <hyperlink r:id="rId140" ref="S220"/>
    <hyperlink r:id="rId141" ref="S221"/>
    <hyperlink r:id="rId142" ref="S222"/>
    <hyperlink r:id="rId143" ref="S223"/>
    <hyperlink r:id="rId144" ref="S224"/>
    <hyperlink r:id="rId145" ref="S225"/>
    <hyperlink r:id="rId146" ref="S226"/>
    <hyperlink r:id="rId147" ref="S227"/>
    <hyperlink r:id="rId148" ref="S228"/>
    <hyperlink r:id="rId149" ref="S229"/>
    <hyperlink r:id="rId150" ref="S230"/>
    <hyperlink r:id="rId151" ref="S231"/>
    <hyperlink r:id="rId152" ref="S232"/>
    <hyperlink r:id="rId153" ref="S233"/>
    <hyperlink r:id="rId154" ref="S234"/>
    <hyperlink r:id="rId155" ref="S235"/>
    <hyperlink r:id="rId156" ref="S236"/>
    <hyperlink r:id="rId157" ref="S237"/>
    <hyperlink r:id="rId158" ref="S238"/>
    <hyperlink r:id="rId159" ref="S239"/>
    <hyperlink r:id="rId160" ref="S240"/>
    <hyperlink r:id="rId161" ref="S241"/>
    <hyperlink r:id="rId162" ref="S242"/>
    <hyperlink r:id="rId163" ref="S243"/>
    <hyperlink r:id="rId164" ref="S244"/>
    <hyperlink r:id="rId165" ref="S245"/>
    <hyperlink r:id="rId166" ref="S246"/>
    <hyperlink r:id="rId167" ref="S247"/>
    <hyperlink r:id="rId168" ref="S248"/>
    <hyperlink r:id="rId169" ref="S249"/>
    <hyperlink r:id="rId170" ref="S250"/>
    <hyperlink r:id="rId171" ref="S251"/>
    <hyperlink r:id="rId172" ref="S252"/>
    <hyperlink r:id="rId173" ref="S253"/>
    <hyperlink r:id="rId174" ref="S254"/>
    <hyperlink r:id="rId175" ref="S255"/>
    <hyperlink r:id="rId176" ref="S256"/>
    <hyperlink r:id="rId177" ref="S257"/>
    <hyperlink r:id="rId178" ref="S258"/>
    <hyperlink r:id="rId179" ref="S259"/>
    <hyperlink r:id="rId180" ref="S260"/>
    <hyperlink r:id="rId181" ref="S261"/>
    <hyperlink r:id="rId182" ref="S262"/>
    <hyperlink r:id="rId183" ref="S263"/>
    <hyperlink r:id="rId184" ref="S264"/>
    <hyperlink r:id="rId185" ref="S265"/>
    <hyperlink r:id="rId186" ref="S266"/>
    <hyperlink r:id="rId187" ref="S267"/>
    <hyperlink r:id="rId188" ref="S268"/>
    <hyperlink r:id="rId189" ref="S269"/>
    <hyperlink r:id="rId190" ref="S270"/>
    <hyperlink r:id="rId191" ref="S271"/>
    <hyperlink r:id="rId192" ref="S272"/>
    <hyperlink r:id="rId193" ref="S273"/>
    <hyperlink r:id="rId194" ref="S274"/>
    <hyperlink r:id="rId195" ref="S275"/>
    <hyperlink r:id="rId196" ref="S276"/>
    <hyperlink r:id="rId197" ref="S277"/>
    <hyperlink r:id="rId198" ref="S278"/>
    <hyperlink r:id="rId199" ref="S279"/>
    <hyperlink r:id="rId200" ref="S280"/>
    <hyperlink r:id="rId201" ref="S281"/>
    <hyperlink r:id="rId202" ref="S282"/>
    <hyperlink r:id="rId203" ref="S283"/>
    <hyperlink r:id="rId204" ref="S284"/>
    <hyperlink r:id="rId205" ref="S285"/>
    <hyperlink r:id="rId206" ref="S286"/>
    <hyperlink r:id="rId207" ref="S287"/>
    <hyperlink r:id="rId208" ref="S288"/>
    <hyperlink r:id="rId209" ref="S289"/>
    <hyperlink r:id="rId210" ref="S290"/>
    <hyperlink r:id="rId211" ref="S291"/>
    <hyperlink r:id="rId212" ref="S292"/>
    <hyperlink r:id="rId213" ref="S293"/>
    <hyperlink r:id="rId214" ref="S294"/>
    <hyperlink r:id="rId215" ref="S295"/>
    <hyperlink r:id="rId216" ref="S296"/>
    <hyperlink r:id="rId217" ref="S297"/>
    <hyperlink r:id="rId218" ref="S298"/>
    <hyperlink r:id="rId219" ref="S299"/>
    <hyperlink r:id="rId220" ref="S300"/>
    <hyperlink r:id="rId221" ref="S301"/>
    <hyperlink r:id="rId222" ref="S302"/>
    <hyperlink r:id="rId223" ref="S303"/>
    <hyperlink r:id="rId224" ref="S304"/>
    <hyperlink r:id="rId225" ref="S305"/>
    <hyperlink r:id="rId226" ref="S306"/>
    <hyperlink r:id="rId227" ref="S307"/>
    <hyperlink r:id="rId228" ref="S308"/>
    <hyperlink r:id="rId229" ref="S309"/>
    <hyperlink r:id="rId230" ref="S310"/>
    <hyperlink r:id="rId231" ref="S311"/>
    <hyperlink r:id="rId232" ref="S312"/>
    <hyperlink r:id="rId233" ref="S313"/>
    <hyperlink r:id="rId234" ref="S314"/>
    <hyperlink r:id="rId235" ref="S315"/>
    <hyperlink r:id="rId236" ref="S316"/>
    <hyperlink r:id="rId237" ref="S317"/>
    <hyperlink r:id="rId238" ref="S318"/>
    <hyperlink r:id="rId239" ref="S319"/>
    <hyperlink r:id="rId240" ref="S320"/>
    <hyperlink r:id="rId241" ref="S321"/>
    <hyperlink r:id="rId242" ref="S322"/>
    <hyperlink r:id="rId243" ref="S323"/>
    <hyperlink r:id="rId244" ref="S324"/>
    <hyperlink r:id="rId245" ref="S325"/>
    <hyperlink r:id="rId246" ref="S326"/>
    <hyperlink r:id="rId247" ref="S327"/>
    <hyperlink r:id="rId248" ref="S328"/>
    <hyperlink r:id="rId249" ref="S329"/>
    <hyperlink r:id="rId250" ref="S330"/>
    <hyperlink r:id="rId251" ref="S331"/>
    <hyperlink r:id="rId252" ref="S332"/>
    <hyperlink r:id="rId253" ref="S333"/>
    <hyperlink r:id="rId254" ref="S334"/>
    <hyperlink r:id="rId255" ref="S335"/>
    <hyperlink r:id="rId256" ref="S336"/>
    <hyperlink r:id="rId257" ref="S337"/>
    <hyperlink r:id="rId258" ref="S338"/>
    <hyperlink r:id="rId259" ref="S339"/>
    <hyperlink r:id="rId260" ref="S340"/>
    <hyperlink r:id="rId261" ref="S341"/>
    <hyperlink r:id="rId262" ref="S342"/>
    <hyperlink r:id="rId263" ref="S343"/>
    <hyperlink r:id="rId264" ref="S344"/>
    <hyperlink r:id="rId265" ref="S345"/>
    <hyperlink r:id="rId266" ref="S346"/>
    <hyperlink r:id="rId267" ref="S347"/>
    <hyperlink r:id="rId268" ref="S348"/>
    <hyperlink r:id="rId269" ref="S349"/>
    <hyperlink r:id="rId270" ref="S350"/>
    <hyperlink r:id="rId271" ref="S351"/>
    <hyperlink r:id="rId272" ref="S352"/>
    <hyperlink r:id="rId273" ref="S353"/>
    <hyperlink r:id="rId274" ref="S354"/>
    <hyperlink r:id="rId275" ref="S355"/>
    <hyperlink r:id="rId276" ref="S356"/>
    <hyperlink r:id="rId277" ref="S357"/>
    <hyperlink r:id="rId278" ref="S358"/>
    <hyperlink r:id="rId279" ref="S359"/>
    <hyperlink r:id="rId280" ref="S360"/>
    <hyperlink r:id="rId281" ref="S361"/>
    <hyperlink r:id="rId282" ref="S362"/>
    <hyperlink r:id="rId283" ref="S363"/>
    <hyperlink r:id="rId284" ref="S364"/>
    <hyperlink r:id="rId285" ref="S365"/>
    <hyperlink r:id="rId286" ref="S366"/>
    <hyperlink r:id="rId287" ref="S367"/>
    <hyperlink r:id="rId288" ref="S368"/>
    <hyperlink r:id="rId289" ref="S369"/>
    <hyperlink r:id="rId290" ref="S370"/>
    <hyperlink r:id="rId291" ref="S371"/>
    <hyperlink r:id="rId292" ref="S372"/>
    <hyperlink r:id="rId293" ref="S373"/>
    <hyperlink r:id="rId294" ref="S374"/>
    <hyperlink r:id="rId295" ref="S375"/>
    <hyperlink r:id="rId296" ref="S376"/>
    <hyperlink r:id="rId297" ref="S377"/>
  </hyperlinks>
  <drawing r:id="rId29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4" max="4" width="15.78"/>
    <col customWidth="1" min="8" max="8" width="14.0"/>
    <col customWidth="1" min="10" max="10" width="20.0"/>
    <col customWidth="1" min="12" max="12" width="17.11"/>
  </cols>
  <sheetData>
    <row r="1">
      <c r="A1" s="10" t="s">
        <v>659</v>
      </c>
      <c r="D1" s="8"/>
      <c r="E1" s="8"/>
      <c r="F1" s="8"/>
    </row>
    <row r="2">
      <c r="A2" s="26" t="s">
        <v>660</v>
      </c>
      <c r="B2" s="27"/>
      <c r="C2" s="27"/>
      <c r="D2" s="28"/>
      <c r="E2" s="28"/>
      <c r="F2" s="28"/>
      <c r="G2" s="27"/>
    </row>
    <row r="3">
      <c r="B3" s="10" t="s">
        <v>661</v>
      </c>
      <c r="D3" s="8"/>
      <c r="E3" s="8"/>
      <c r="F3" s="8"/>
    </row>
    <row r="4">
      <c r="A4" s="29"/>
      <c r="B4" s="29"/>
      <c r="C4" s="30" t="s">
        <v>662</v>
      </c>
      <c r="D4" s="8"/>
      <c r="E4" s="8"/>
      <c r="F4" s="8"/>
    </row>
    <row r="5">
      <c r="A5" s="10" t="s">
        <v>663</v>
      </c>
      <c r="B5" s="29"/>
      <c r="C5" s="29"/>
      <c r="D5" s="6"/>
      <c r="E5" s="6"/>
      <c r="F5" s="10"/>
      <c r="I5" s="29"/>
      <c r="J5" s="29"/>
      <c r="K5" s="29"/>
      <c r="L5" s="8"/>
      <c r="M5" s="6"/>
      <c r="N5" s="6"/>
    </row>
    <row r="6">
      <c r="A6" s="31" t="s">
        <v>664</v>
      </c>
      <c r="B6" s="31" t="s">
        <v>665</v>
      </c>
      <c r="C6" s="31" t="s">
        <v>666</v>
      </c>
      <c r="D6" s="32" t="s">
        <v>667</v>
      </c>
      <c r="E6" s="6"/>
      <c r="I6" s="33" t="s">
        <v>664</v>
      </c>
      <c r="J6" s="33" t="s">
        <v>665</v>
      </c>
      <c r="K6" s="33" t="s">
        <v>666</v>
      </c>
      <c r="L6" s="34" t="s">
        <v>667</v>
      </c>
      <c r="M6" s="6"/>
      <c r="N6" s="6"/>
    </row>
    <row r="7">
      <c r="A7" s="29" t="s">
        <v>668</v>
      </c>
      <c r="B7" s="29">
        <v>1.0</v>
      </c>
      <c r="C7" s="35">
        <v>46028.0</v>
      </c>
      <c r="D7" s="6" t="s">
        <v>669</v>
      </c>
      <c r="E7" s="8"/>
      <c r="I7" s="36" t="s">
        <v>668</v>
      </c>
      <c r="J7" s="36">
        <v>1.0</v>
      </c>
      <c r="K7" s="37">
        <v>46028.0</v>
      </c>
      <c r="L7" s="38" t="s">
        <v>669</v>
      </c>
      <c r="M7" s="8"/>
      <c r="N7" s="6"/>
    </row>
    <row r="8">
      <c r="A8" s="29" t="s">
        <v>668</v>
      </c>
      <c r="B8" s="29">
        <v>2.0</v>
      </c>
      <c r="C8" s="35">
        <v>46219.0</v>
      </c>
      <c r="D8" s="39">
        <v>46154.0</v>
      </c>
      <c r="E8" s="8"/>
      <c r="I8" s="36" t="s">
        <v>670</v>
      </c>
      <c r="J8" s="36">
        <v>1.0</v>
      </c>
      <c r="K8" s="37">
        <v>46026.0</v>
      </c>
      <c r="L8" s="38" t="s">
        <v>671</v>
      </c>
      <c r="M8" s="8"/>
      <c r="N8" s="39"/>
    </row>
    <row r="9">
      <c r="A9" s="29" t="s">
        <v>668</v>
      </c>
      <c r="B9" s="29">
        <v>3.0</v>
      </c>
      <c r="C9" s="29" t="s">
        <v>672</v>
      </c>
      <c r="D9" s="6" t="s">
        <v>673</v>
      </c>
      <c r="E9" s="8"/>
      <c r="I9" s="36" t="s">
        <v>674</v>
      </c>
      <c r="J9" s="36">
        <v>1.0</v>
      </c>
      <c r="K9" s="37">
        <v>46033.0</v>
      </c>
      <c r="L9" s="38" t="s">
        <v>675</v>
      </c>
      <c r="M9" s="8"/>
      <c r="N9" s="6"/>
    </row>
    <row r="10">
      <c r="A10" s="29" t="s">
        <v>670</v>
      </c>
      <c r="B10" s="29">
        <v>1.0</v>
      </c>
      <c r="C10" s="35">
        <v>46026.0</v>
      </c>
      <c r="D10" s="6" t="s">
        <v>671</v>
      </c>
      <c r="E10" s="8"/>
      <c r="I10" s="36" t="s">
        <v>676</v>
      </c>
      <c r="J10" s="36">
        <v>1.0</v>
      </c>
      <c r="K10" s="37">
        <v>46036.0</v>
      </c>
      <c r="L10" s="38" t="s">
        <v>677</v>
      </c>
      <c r="M10" s="8"/>
      <c r="N10" s="6"/>
    </row>
    <row r="11">
      <c r="A11" s="29" t="s">
        <v>670</v>
      </c>
      <c r="B11" s="29">
        <v>2.0</v>
      </c>
      <c r="C11" s="35">
        <v>46155.0</v>
      </c>
      <c r="D11" s="39">
        <v>46091.0</v>
      </c>
      <c r="E11" s="8"/>
      <c r="F11" s="10" t="s">
        <v>678</v>
      </c>
      <c r="I11" s="36" t="s">
        <v>679</v>
      </c>
      <c r="J11" s="36">
        <v>1.0</v>
      </c>
      <c r="K11" s="37">
        <v>46032.0</v>
      </c>
      <c r="L11" s="38" t="s">
        <v>675</v>
      </c>
      <c r="M11" s="8"/>
      <c r="N11" s="39"/>
    </row>
    <row r="12">
      <c r="A12" s="29" t="s">
        <v>670</v>
      </c>
      <c r="B12" s="29">
        <v>3.0</v>
      </c>
      <c r="C12" s="29" t="s">
        <v>673</v>
      </c>
      <c r="D12" s="6" t="s">
        <v>680</v>
      </c>
      <c r="E12" s="8"/>
      <c r="I12" s="40" t="s">
        <v>668</v>
      </c>
      <c r="J12" s="40">
        <v>2.0</v>
      </c>
      <c r="K12" s="41">
        <v>46219.0</v>
      </c>
      <c r="L12" s="42">
        <v>46154.0</v>
      </c>
      <c r="M12" s="8"/>
      <c r="N12" s="6"/>
    </row>
    <row r="13">
      <c r="A13" s="29" t="s">
        <v>674</v>
      </c>
      <c r="B13" s="29">
        <v>1.0</v>
      </c>
      <c r="C13" s="35">
        <v>46033.0</v>
      </c>
      <c r="D13" s="6" t="s">
        <v>675</v>
      </c>
      <c r="E13" s="8"/>
      <c r="I13" s="40" t="s">
        <v>670</v>
      </c>
      <c r="J13" s="40">
        <v>2.0</v>
      </c>
      <c r="K13" s="41">
        <v>46155.0</v>
      </c>
      <c r="L13" s="42">
        <v>46091.0</v>
      </c>
      <c r="M13" s="8"/>
      <c r="N13" s="6"/>
    </row>
    <row r="14">
      <c r="A14" s="29" t="s">
        <v>674</v>
      </c>
      <c r="B14" s="29">
        <v>2.0</v>
      </c>
      <c r="C14" s="35">
        <v>46371.0</v>
      </c>
      <c r="D14" s="39">
        <v>46245.0</v>
      </c>
      <c r="E14" s="8"/>
      <c r="I14" s="40" t="s">
        <v>674</v>
      </c>
      <c r="J14" s="40">
        <v>2.0</v>
      </c>
      <c r="K14" s="41">
        <v>46371.0</v>
      </c>
      <c r="L14" s="42">
        <v>46245.0</v>
      </c>
      <c r="M14" s="8"/>
      <c r="N14" s="39"/>
    </row>
    <row r="15">
      <c r="A15" s="29" t="s">
        <v>674</v>
      </c>
      <c r="B15" s="29">
        <v>3.0</v>
      </c>
      <c r="C15" s="29" t="s">
        <v>681</v>
      </c>
      <c r="D15" s="6" t="s">
        <v>682</v>
      </c>
      <c r="E15" s="8"/>
      <c r="I15" s="40" t="s">
        <v>676</v>
      </c>
      <c r="J15" s="40">
        <v>2.0</v>
      </c>
      <c r="K15" s="40" t="s">
        <v>683</v>
      </c>
      <c r="L15" s="42">
        <v>46310.0</v>
      </c>
      <c r="M15" s="8"/>
      <c r="N15" s="6"/>
    </row>
    <row r="16">
      <c r="A16" s="29" t="s">
        <v>676</v>
      </c>
      <c r="B16" s="29">
        <v>1.0</v>
      </c>
      <c r="C16" s="35">
        <v>46036.0</v>
      </c>
      <c r="D16" s="6" t="s">
        <v>677</v>
      </c>
      <c r="E16" s="8"/>
      <c r="I16" s="40" t="s">
        <v>679</v>
      </c>
      <c r="J16" s="40">
        <v>2.0</v>
      </c>
      <c r="K16" s="41">
        <v>46340.0</v>
      </c>
      <c r="L16" s="42">
        <v>46244.0</v>
      </c>
      <c r="M16" s="8"/>
      <c r="N16" s="6"/>
    </row>
    <row r="17">
      <c r="A17" s="29" t="s">
        <v>676</v>
      </c>
      <c r="B17" s="29">
        <v>2.0</v>
      </c>
      <c r="C17" s="29" t="s">
        <v>683</v>
      </c>
      <c r="D17" s="39">
        <v>46310.0</v>
      </c>
      <c r="E17" s="8"/>
      <c r="I17" s="43" t="s">
        <v>668</v>
      </c>
      <c r="J17" s="43">
        <v>3.0</v>
      </c>
      <c r="K17" s="43" t="s">
        <v>672</v>
      </c>
      <c r="L17" s="44" t="s">
        <v>673</v>
      </c>
      <c r="M17" s="8"/>
      <c r="N17" s="39"/>
    </row>
    <row r="18">
      <c r="A18" s="29" t="s">
        <v>676</v>
      </c>
      <c r="B18" s="29">
        <v>3.0</v>
      </c>
      <c r="C18" s="29" t="s">
        <v>684</v>
      </c>
      <c r="D18" s="6" t="s">
        <v>672</v>
      </c>
      <c r="E18" s="8"/>
      <c r="I18" s="43" t="s">
        <v>670</v>
      </c>
      <c r="J18" s="43">
        <v>3.0</v>
      </c>
      <c r="K18" s="43" t="s">
        <v>673</v>
      </c>
      <c r="L18" s="44" t="s">
        <v>680</v>
      </c>
      <c r="M18" s="8"/>
      <c r="N18" s="6"/>
    </row>
    <row r="19">
      <c r="A19" s="29" t="s">
        <v>679</v>
      </c>
      <c r="B19" s="29">
        <v>1.0</v>
      </c>
      <c r="C19" s="35">
        <v>46032.0</v>
      </c>
      <c r="D19" s="6" t="s">
        <v>675</v>
      </c>
      <c r="E19" s="8"/>
      <c r="I19" s="43" t="s">
        <v>674</v>
      </c>
      <c r="J19" s="43">
        <v>3.0</v>
      </c>
      <c r="K19" s="43" t="s">
        <v>681</v>
      </c>
      <c r="L19" s="44" t="s">
        <v>682</v>
      </c>
      <c r="M19" s="8"/>
      <c r="N19" s="6"/>
    </row>
    <row r="20">
      <c r="A20" s="29" t="s">
        <v>679</v>
      </c>
      <c r="B20" s="29">
        <v>2.0</v>
      </c>
      <c r="C20" s="35">
        <v>46340.0</v>
      </c>
      <c r="D20" s="39">
        <v>46244.0</v>
      </c>
      <c r="E20" s="8"/>
      <c r="I20" s="43" t="s">
        <v>676</v>
      </c>
      <c r="J20" s="43">
        <v>3.0</v>
      </c>
      <c r="K20" s="43" t="s">
        <v>684</v>
      </c>
      <c r="L20" s="44" t="s">
        <v>672</v>
      </c>
      <c r="M20" s="8"/>
      <c r="N20" s="39"/>
    </row>
    <row r="21">
      <c r="A21" s="29" t="s">
        <v>679</v>
      </c>
      <c r="B21" s="29">
        <v>3.0</v>
      </c>
      <c r="C21" s="29" t="s">
        <v>685</v>
      </c>
      <c r="D21" s="6" t="s">
        <v>686</v>
      </c>
      <c r="E21" s="8"/>
      <c r="I21" s="43" t="s">
        <v>679</v>
      </c>
      <c r="J21" s="43">
        <v>3.0</v>
      </c>
      <c r="K21" s="43" t="s">
        <v>685</v>
      </c>
      <c r="L21" s="44" t="s">
        <v>686</v>
      </c>
      <c r="M21" s="8"/>
      <c r="N21" s="6"/>
    </row>
    <row r="22">
      <c r="A22" s="45"/>
      <c r="B22" s="45"/>
      <c r="C22" s="45"/>
      <c r="D22" s="8"/>
      <c r="E22" s="8"/>
      <c r="I22" s="46"/>
      <c r="J22" s="46"/>
      <c r="K22" s="46"/>
      <c r="L22" s="47"/>
      <c r="M22" s="8"/>
      <c r="N22" s="8"/>
    </row>
    <row r="23">
      <c r="A23" s="31" t="s">
        <v>687</v>
      </c>
      <c r="B23" s="31" t="s">
        <v>665</v>
      </c>
      <c r="C23" s="31" t="s">
        <v>666</v>
      </c>
      <c r="D23" s="32" t="s">
        <v>667</v>
      </c>
      <c r="E23" s="8"/>
      <c r="I23" s="33" t="s">
        <v>687</v>
      </c>
      <c r="J23" s="33" t="s">
        <v>665</v>
      </c>
      <c r="K23" s="33" t="s">
        <v>666</v>
      </c>
      <c r="L23" s="34" t="s">
        <v>667</v>
      </c>
      <c r="M23" s="8"/>
      <c r="N23" s="8"/>
    </row>
    <row r="24">
      <c r="A24" s="29" t="s">
        <v>668</v>
      </c>
      <c r="B24" s="29">
        <v>1.0</v>
      </c>
      <c r="C24" s="35">
        <v>46026.0</v>
      </c>
      <c r="D24" s="6" t="s">
        <v>671</v>
      </c>
      <c r="E24" s="8"/>
      <c r="I24" s="36" t="s">
        <v>668</v>
      </c>
      <c r="J24" s="36">
        <v>1.0</v>
      </c>
      <c r="K24" s="37">
        <v>46026.0</v>
      </c>
      <c r="L24" s="38" t="s">
        <v>671</v>
      </c>
      <c r="M24" s="8"/>
      <c r="N24" s="6"/>
    </row>
    <row r="25">
      <c r="A25" s="29" t="s">
        <v>668</v>
      </c>
      <c r="B25" s="29">
        <v>2.0</v>
      </c>
      <c r="C25" s="35">
        <v>46158.0</v>
      </c>
      <c r="D25" s="39">
        <v>46093.0</v>
      </c>
      <c r="E25" s="8"/>
      <c r="I25" s="36" t="s">
        <v>670</v>
      </c>
      <c r="J25" s="36">
        <v>1.0</v>
      </c>
      <c r="K25" s="37">
        <v>46026.0</v>
      </c>
      <c r="L25" s="38" t="s">
        <v>671</v>
      </c>
      <c r="M25" s="8"/>
      <c r="N25" s="39"/>
    </row>
    <row r="26">
      <c r="A26" s="29" t="s">
        <v>668</v>
      </c>
      <c r="B26" s="29">
        <v>3.0</v>
      </c>
      <c r="C26" s="29" t="s">
        <v>672</v>
      </c>
      <c r="D26" s="6" t="s">
        <v>682</v>
      </c>
      <c r="E26" s="8"/>
      <c r="I26" s="36" t="s">
        <v>674</v>
      </c>
      <c r="J26" s="36">
        <v>1.0</v>
      </c>
      <c r="K26" s="37">
        <v>46033.0</v>
      </c>
      <c r="L26" s="38" t="s">
        <v>675</v>
      </c>
      <c r="M26" s="8"/>
      <c r="N26" s="6"/>
    </row>
    <row r="27">
      <c r="A27" s="29" t="s">
        <v>670</v>
      </c>
      <c r="B27" s="29">
        <v>1.0</v>
      </c>
      <c r="C27" s="35">
        <v>46026.0</v>
      </c>
      <c r="D27" s="6" t="s">
        <v>671</v>
      </c>
      <c r="E27" s="8"/>
      <c r="I27" s="36" t="s">
        <v>676</v>
      </c>
      <c r="J27" s="36">
        <v>1.0</v>
      </c>
      <c r="K27" s="37">
        <v>46037.0</v>
      </c>
      <c r="L27" s="38" t="s">
        <v>688</v>
      </c>
      <c r="M27" s="8"/>
      <c r="N27" s="6"/>
    </row>
    <row r="28">
      <c r="A28" s="29" t="s">
        <v>670</v>
      </c>
      <c r="B28" s="29">
        <v>2.0</v>
      </c>
      <c r="C28" s="35">
        <v>46156.0</v>
      </c>
      <c r="D28" s="39">
        <v>46091.0</v>
      </c>
      <c r="E28" s="8"/>
      <c r="I28" s="36" t="s">
        <v>679</v>
      </c>
      <c r="J28" s="36">
        <v>1.0</v>
      </c>
      <c r="K28" s="37">
        <v>46033.0</v>
      </c>
      <c r="L28" s="38" t="s">
        <v>675</v>
      </c>
      <c r="M28" s="8"/>
      <c r="N28" s="39"/>
    </row>
    <row r="29">
      <c r="A29" s="29" t="s">
        <v>670</v>
      </c>
      <c r="B29" s="29">
        <v>3.0</v>
      </c>
      <c r="C29" s="29" t="s">
        <v>685</v>
      </c>
      <c r="D29" s="6" t="s">
        <v>686</v>
      </c>
      <c r="E29" s="8"/>
      <c r="I29" s="40" t="s">
        <v>668</v>
      </c>
      <c r="J29" s="40">
        <v>2.0</v>
      </c>
      <c r="K29" s="41">
        <v>46158.0</v>
      </c>
      <c r="L29" s="42">
        <v>46093.0</v>
      </c>
      <c r="M29" s="8"/>
      <c r="N29" s="6"/>
    </row>
    <row r="30">
      <c r="A30" s="29" t="s">
        <v>674</v>
      </c>
      <c r="B30" s="29">
        <v>1.0</v>
      </c>
      <c r="C30" s="35">
        <v>46033.0</v>
      </c>
      <c r="D30" s="6" t="s">
        <v>675</v>
      </c>
      <c r="E30" s="8"/>
      <c r="I30" s="40" t="s">
        <v>670</v>
      </c>
      <c r="J30" s="40">
        <v>2.0</v>
      </c>
      <c r="K30" s="41">
        <v>46156.0</v>
      </c>
      <c r="L30" s="42">
        <v>46091.0</v>
      </c>
      <c r="M30" s="8"/>
      <c r="N30" s="6"/>
    </row>
    <row r="31">
      <c r="A31" s="29" t="s">
        <v>674</v>
      </c>
      <c r="B31" s="29">
        <v>2.0</v>
      </c>
      <c r="C31" s="35">
        <v>46372.0</v>
      </c>
      <c r="D31" s="39">
        <v>46246.0</v>
      </c>
      <c r="E31" s="8"/>
      <c r="I31" s="40" t="s">
        <v>674</v>
      </c>
      <c r="J31" s="40">
        <v>2.0</v>
      </c>
      <c r="K31" s="41">
        <v>46372.0</v>
      </c>
      <c r="L31" s="42">
        <v>46246.0</v>
      </c>
      <c r="M31" s="8"/>
      <c r="N31" s="39"/>
    </row>
    <row r="32">
      <c r="A32" s="29" t="s">
        <v>674</v>
      </c>
      <c r="B32" s="29">
        <v>3.0</v>
      </c>
      <c r="C32" s="29" t="s">
        <v>672</v>
      </c>
      <c r="D32" s="6" t="s">
        <v>673</v>
      </c>
      <c r="E32" s="8"/>
      <c r="I32" s="40" t="s">
        <v>676</v>
      </c>
      <c r="J32" s="40">
        <v>2.0</v>
      </c>
      <c r="K32" s="40" t="s">
        <v>689</v>
      </c>
      <c r="L32" s="42">
        <v>46342.0</v>
      </c>
      <c r="M32" s="8"/>
      <c r="N32" s="6"/>
    </row>
    <row r="33">
      <c r="A33" s="29" t="s">
        <v>676</v>
      </c>
      <c r="B33" s="29">
        <v>1.0</v>
      </c>
      <c r="C33" s="35">
        <v>46037.0</v>
      </c>
      <c r="D33" s="6" t="s">
        <v>688</v>
      </c>
      <c r="E33" s="8"/>
      <c r="I33" s="40" t="s">
        <v>679</v>
      </c>
      <c r="J33" s="40">
        <v>2.0</v>
      </c>
      <c r="K33" s="41">
        <v>46370.0</v>
      </c>
      <c r="L33" s="42">
        <v>46245.0</v>
      </c>
      <c r="M33" s="8"/>
      <c r="N33" s="6"/>
    </row>
    <row r="34">
      <c r="A34" s="29" t="s">
        <v>676</v>
      </c>
      <c r="B34" s="29">
        <v>2.0</v>
      </c>
      <c r="C34" s="29" t="s">
        <v>689</v>
      </c>
      <c r="D34" s="39">
        <v>46342.0</v>
      </c>
      <c r="E34" s="8"/>
      <c r="I34" s="43" t="s">
        <v>668</v>
      </c>
      <c r="J34" s="43">
        <v>3.0</v>
      </c>
      <c r="K34" s="43" t="s">
        <v>672</v>
      </c>
      <c r="L34" s="44" t="s">
        <v>682</v>
      </c>
      <c r="M34" s="8"/>
      <c r="N34" s="39"/>
    </row>
    <row r="35">
      <c r="A35" s="29" t="s">
        <v>676</v>
      </c>
      <c r="B35" s="29">
        <v>3.0</v>
      </c>
      <c r="C35" s="29" t="s">
        <v>690</v>
      </c>
      <c r="D35" s="6" t="s">
        <v>672</v>
      </c>
      <c r="E35" s="8"/>
      <c r="I35" s="43" t="s">
        <v>670</v>
      </c>
      <c r="J35" s="43">
        <v>3.0</v>
      </c>
      <c r="K35" s="43" t="s">
        <v>685</v>
      </c>
      <c r="L35" s="44" t="s">
        <v>686</v>
      </c>
      <c r="M35" s="8"/>
      <c r="N35" s="6"/>
    </row>
    <row r="36">
      <c r="A36" s="29" t="s">
        <v>679</v>
      </c>
      <c r="B36" s="29">
        <v>1.0</v>
      </c>
      <c r="C36" s="35">
        <v>46033.0</v>
      </c>
      <c r="D36" s="6" t="s">
        <v>675</v>
      </c>
      <c r="E36" s="8"/>
      <c r="I36" s="43" t="s">
        <v>674</v>
      </c>
      <c r="J36" s="43">
        <v>3.0</v>
      </c>
      <c r="K36" s="43" t="s">
        <v>672</v>
      </c>
      <c r="L36" s="44" t="s">
        <v>673</v>
      </c>
      <c r="M36" s="8"/>
      <c r="N36" s="6"/>
    </row>
    <row r="37">
      <c r="A37" s="29" t="s">
        <v>679</v>
      </c>
      <c r="B37" s="29">
        <v>2.0</v>
      </c>
      <c r="C37" s="35">
        <v>46370.0</v>
      </c>
      <c r="D37" s="39">
        <v>46245.0</v>
      </c>
      <c r="E37" s="8"/>
      <c r="I37" s="43" t="s">
        <v>676</v>
      </c>
      <c r="J37" s="43">
        <v>3.0</v>
      </c>
      <c r="K37" s="43" t="s">
        <v>690</v>
      </c>
      <c r="L37" s="44" t="s">
        <v>672</v>
      </c>
      <c r="M37" s="8"/>
      <c r="N37" s="39"/>
    </row>
    <row r="38">
      <c r="A38" s="29" t="s">
        <v>679</v>
      </c>
      <c r="B38" s="29">
        <v>3.0</v>
      </c>
      <c r="C38" s="29" t="s">
        <v>685</v>
      </c>
      <c r="D38" s="6" t="s">
        <v>686</v>
      </c>
      <c r="E38" s="8"/>
      <c r="I38" s="43" t="s">
        <v>679</v>
      </c>
      <c r="J38" s="43">
        <v>3.0</v>
      </c>
      <c r="K38" s="43" t="s">
        <v>685</v>
      </c>
      <c r="L38" s="44" t="s">
        <v>686</v>
      </c>
      <c r="M38" s="8"/>
      <c r="N38" s="6"/>
    </row>
    <row r="39">
      <c r="D39" s="8"/>
      <c r="E39" s="8"/>
      <c r="F39" s="8"/>
      <c r="G39" s="48"/>
      <c r="H39" s="48"/>
      <c r="I39" s="48"/>
      <c r="J39" s="48"/>
    </row>
    <row r="40">
      <c r="D40" s="8"/>
      <c r="E40" s="8"/>
      <c r="F40" s="8"/>
    </row>
    <row r="41">
      <c r="D41" s="8"/>
      <c r="E41" s="8"/>
      <c r="F41" s="8"/>
    </row>
    <row r="42">
      <c r="D42" s="8"/>
      <c r="E42" s="8"/>
      <c r="F42" s="8"/>
    </row>
    <row r="43">
      <c r="D43" s="8"/>
      <c r="E43" s="8"/>
      <c r="F43" s="8"/>
    </row>
    <row r="44">
      <c r="D44" s="8"/>
      <c r="E44" s="8"/>
      <c r="F44" s="8"/>
    </row>
    <row r="45">
      <c r="A45" s="10" t="s">
        <v>691</v>
      </c>
      <c r="D45" s="8"/>
      <c r="E45" s="8"/>
      <c r="F45" s="8"/>
    </row>
    <row r="46">
      <c r="A46" s="49" t="s">
        <v>692</v>
      </c>
      <c r="B46" s="49" t="s">
        <v>693</v>
      </c>
      <c r="C46" s="50"/>
      <c r="D46" s="50"/>
      <c r="E46" s="50"/>
      <c r="F46" s="49" t="s">
        <v>694</v>
      </c>
      <c r="G46" s="50"/>
      <c r="H46" s="50"/>
      <c r="I46" s="50"/>
      <c r="J46" s="49" t="s">
        <v>695</v>
      </c>
      <c r="K46" s="51"/>
      <c r="L46" s="52"/>
    </row>
    <row r="47">
      <c r="A47" s="52"/>
      <c r="B47" s="49" t="s">
        <v>696</v>
      </c>
      <c r="C47" s="49" t="s">
        <v>697</v>
      </c>
      <c r="D47" s="49" t="s">
        <v>698</v>
      </c>
      <c r="E47" s="50"/>
      <c r="F47" s="49" t="s">
        <v>699</v>
      </c>
      <c r="G47" s="49" t="s">
        <v>700</v>
      </c>
      <c r="H47" s="49" t="s">
        <v>701</v>
      </c>
      <c r="I47" s="50"/>
      <c r="J47" s="49" t="s">
        <v>702</v>
      </c>
      <c r="K47" s="49" t="s">
        <v>703</v>
      </c>
      <c r="L47" s="49" t="s">
        <v>704</v>
      </c>
    </row>
    <row r="48">
      <c r="A48" s="49" t="s">
        <v>705</v>
      </c>
      <c r="B48" s="53" t="s">
        <v>706</v>
      </c>
      <c r="C48" s="53" t="s">
        <v>707</v>
      </c>
      <c r="D48" s="53" t="s">
        <v>30</v>
      </c>
      <c r="E48" s="54"/>
      <c r="F48" s="53" t="s">
        <v>706</v>
      </c>
      <c r="G48" s="53" t="s">
        <v>707</v>
      </c>
      <c r="H48" s="53" t="s">
        <v>30</v>
      </c>
      <c r="I48" s="54"/>
      <c r="J48" s="53" t="s">
        <v>706</v>
      </c>
      <c r="K48" s="53" t="s">
        <v>707</v>
      </c>
      <c r="L48" s="53" t="s">
        <v>30</v>
      </c>
    </row>
    <row r="49">
      <c r="A49" s="53" t="s">
        <v>668</v>
      </c>
      <c r="B49" s="53">
        <v>6.0</v>
      </c>
      <c r="C49" s="53">
        <v>2.0</v>
      </c>
      <c r="D49" s="53">
        <v>5.0</v>
      </c>
      <c r="E49" s="54"/>
      <c r="F49" s="53">
        <v>16.0</v>
      </c>
      <c r="G49" s="53">
        <v>3.0</v>
      </c>
      <c r="H49" s="53">
        <v>8.0</v>
      </c>
      <c r="I49" s="54"/>
      <c r="J49" s="53">
        <v>24.0</v>
      </c>
      <c r="K49" s="53">
        <v>4.0</v>
      </c>
      <c r="L49" s="53">
        <v>12.0</v>
      </c>
    </row>
    <row r="50">
      <c r="A50" s="53" t="s">
        <v>670</v>
      </c>
      <c r="B50" s="53">
        <v>4.0</v>
      </c>
      <c r="C50" s="53">
        <v>1.0</v>
      </c>
      <c r="D50" s="53">
        <v>3.0</v>
      </c>
      <c r="E50" s="54"/>
      <c r="F50" s="53">
        <v>13.0</v>
      </c>
      <c r="G50" s="53">
        <v>2.0</v>
      </c>
      <c r="H50" s="53">
        <v>5.0</v>
      </c>
      <c r="I50" s="54"/>
      <c r="J50" s="53">
        <v>29.0</v>
      </c>
      <c r="K50" s="53">
        <v>4.0</v>
      </c>
      <c r="L50" s="53">
        <v>8.0</v>
      </c>
    </row>
    <row r="51">
      <c r="A51" s="53" t="s">
        <v>674</v>
      </c>
      <c r="B51" s="53">
        <v>11.0</v>
      </c>
      <c r="C51" s="53">
        <v>2.0</v>
      </c>
      <c r="D51" s="53">
        <v>3.0</v>
      </c>
      <c r="E51" s="54"/>
      <c r="F51" s="53">
        <v>15.0</v>
      </c>
      <c r="G51" s="53">
        <v>4.0</v>
      </c>
      <c r="H51" s="53">
        <v>5.0</v>
      </c>
      <c r="I51" s="54"/>
      <c r="J51" s="53">
        <v>30.0</v>
      </c>
      <c r="K51" s="53">
        <v>6.0</v>
      </c>
      <c r="L51" s="53">
        <v>10.0</v>
      </c>
    </row>
    <row r="52">
      <c r="A52" s="53" t="s">
        <v>676</v>
      </c>
      <c r="B52" s="53">
        <v>14.0</v>
      </c>
      <c r="C52" s="53">
        <v>2.0</v>
      </c>
      <c r="D52" s="53">
        <v>4.0</v>
      </c>
      <c r="E52" s="54"/>
      <c r="F52" s="53">
        <v>20.0</v>
      </c>
      <c r="G52" s="53">
        <v>3.0</v>
      </c>
      <c r="H52" s="53">
        <v>6.0</v>
      </c>
      <c r="I52" s="54"/>
      <c r="J52" s="53">
        <v>34.0</v>
      </c>
      <c r="K52" s="53">
        <v>6.0</v>
      </c>
      <c r="L52" s="53">
        <v>11.0</v>
      </c>
    </row>
    <row r="53">
      <c r="A53" s="53" t="s">
        <v>679</v>
      </c>
      <c r="B53" s="53">
        <v>10.0</v>
      </c>
      <c r="C53" s="53">
        <v>3.0</v>
      </c>
      <c r="D53" s="53">
        <v>4.0</v>
      </c>
      <c r="E53" s="54"/>
      <c r="F53" s="53">
        <v>14.0</v>
      </c>
      <c r="G53" s="53">
        <v>4.0</v>
      </c>
      <c r="H53" s="53">
        <v>6.0</v>
      </c>
      <c r="I53" s="54"/>
      <c r="J53" s="53">
        <v>25.0</v>
      </c>
      <c r="K53" s="53">
        <v>6.0</v>
      </c>
      <c r="L53" s="53">
        <v>14.0</v>
      </c>
    </row>
    <row r="54">
      <c r="A54" s="52"/>
      <c r="B54" s="52"/>
      <c r="C54" s="52"/>
      <c r="D54" s="45"/>
      <c r="E54" s="45"/>
      <c r="F54" s="45"/>
      <c r="G54" s="52"/>
      <c r="H54" s="52"/>
      <c r="I54" s="52"/>
      <c r="J54" s="52"/>
      <c r="K54" s="52"/>
      <c r="L54" s="52"/>
    </row>
    <row r="55">
      <c r="A55" s="49" t="s">
        <v>708</v>
      </c>
      <c r="B55" s="49" t="s">
        <v>693</v>
      </c>
      <c r="C55" s="50"/>
      <c r="D55" s="50"/>
      <c r="E55" s="50"/>
      <c r="F55" s="49" t="s">
        <v>694</v>
      </c>
      <c r="G55" s="50"/>
      <c r="H55" s="50"/>
      <c r="I55" s="50"/>
      <c r="J55" s="49" t="s">
        <v>695</v>
      </c>
      <c r="K55" s="52"/>
      <c r="L55" s="52"/>
    </row>
    <row r="56">
      <c r="A56" s="54"/>
      <c r="B56" s="53" t="s">
        <v>709</v>
      </c>
      <c r="C56" s="52"/>
      <c r="D56" s="45"/>
      <c r="E56" s="45"/>
      <c r="F56" s="53" t="s">
        <v>710</v>
      </c>
      <c r="G56" s="52"/>
      <c r="H56" s="52"/>
      <c r="I56" s="52"/>
      <c r="J56" s="53" t="s">
        <v>711</v>
      </c>
      <c r="K56" s="52"/>
      <c r="L56" s="52"/>
    </row>
    <row r="57">
      <c r="A57" s="54"/>
      <c r="B57" s="53" t="s">
        <v>706</v>
      </c>
      <c r="C57" s="53" t="s">
        <v>707</v>
      </c>
      <c r="D57" s="53" t="s">
        <v>30</v>
      </c>
      <c r="E57" s="54"/>
      <c r="F57" s="53" t="s">
        <v>706</v>
      </c>
      <c r="G57" s="53" t="s">
        <v>707</v>
      </c>
      <c r="H57" s="53" t="s">
        <v>30</v>
      </c>
      <c r="I57" s="54"/>
      <c r="J57" s="53" t="s">
        <v>706</v>
      </c>
      <c r="K57" s="53" t="s">
        <v>707</v>
      </c>
      <c r="L57" s="53" t="s">
        <v>30</v>
      </c>
    </row>
    <row r="58">
      <c r="A58" s="53" t="s">
        <v>668</v>
      </c>
      <c r="B58" s="53">
        <v>4.0</v>
      </c>
      <c r="C58" s="53">
        <v>2.0</v>
      </c>
      <c r="D58" s="53">
        <v>4.0</v>
      </c>
      <c r="E58" s="54"/>
      <c r="F58" s="53">
        <v>16.0</v>
      </c>
      <c r="G58" s="53">
        <v>4.0</v>
      </c>
      <c r="H58" s="53">
        <v>8.0</v>
      </c>
      <c r="I58" s="54"/>
      <c r="J58" s="53">
        <v>38.0</v>
      </c>
      <c r="K58" s="53">
        <v>6.0</v>
      </c>
      <c r="L58" s="53">
        <v>14.0</v>
      </c>
    </row>
    <row r="59">
      <c r="A59" s="53" t="s">
        <v>670</v>
      </c>
      <c r="B59" s="53">
        <v>4.0</v>
      </c>
      <c r="C59" s="53">
        <v>1.0</v>
      </c>
      <c r="D59" s="53">
        <v>3.0</v>
      </c>
      <c r="E59" s="54"/>
      <c r="F59" s="53">
        <v>14.0</v>
      </c>
      <c r="G59" s="53">
        <v>2.0</v>
      </c>
      <c r="H59" s="53">
        <v>7.0</v>
      </c>
      <c r="I59" s="54"/>
      <c r="J59" s="53">
        <v>28.0</v>
      </c>
      <c r="K59" s="53">
        <v>5.0</v>
      </c>
      <c r="L59" s="53">
        <v>11.0</v>
      </c>
    </row>
    <row r="60">
      <c r="A60" s="53" t="s">
        <v>674</v>
      </c>
      <c r="B60" s="53">
        <v>11.0</v>
      </c>
      <c r="C60" s="53">
        <v>3.0</v>
      </c>
      <c r="D60" s="53">
        <v>3.0</v>
      </c>
      <c r="E60" s="54"/>
      <c r="F60" s="53">
        <v>16.0</v>
      </c>
      <c r="G60" s="53">
        <v>4.0</v>
      </c>
      <c r="H60" s="53">
        <v>5.0</v>
      </c>
      <c r="I60" s="54"/>
      <c r="J60" s="53">
        <v>35.0</v>
      </c>
      <c r="K60" s="53">
        <v>7.0</v>
      </c>
      <c r="L60" s="53">
        <v>13.0</v>
      </c>
    </row>
    <row r="61">
      <c r="A61" s="53" t="s">
        <v>676</v>
      </c>
      <c r="B61" s="53">
        <v>15.0</v>
      </c>
      <c r="C61" s="53">
        <v>2.0</v>
      </c>
      <c r="D61" s="53">
        <v>4.0</v>
      </c>
      <c r="E61" s="54"/>
      <c r="F61" s="53">
        <v>21.0</v>
      </c>
      <c r="G61" s="53">
        <v>3.0</v>
      </c>
      <c r="H61" s="53">
        <v>6.0</v>
      </c>
      <c r="I61" s="54"/>
      <c r="J61" s="53">
        <v>41.0</v>
      </c>
      <c r="K61" s="53">
        <v>5.0</v>
      </c>
      <c r="L61" s="53">
        <v>13.0</v>
      </c>
    </row>
    <row r="62">
      <c r="A62" s="53" t="s">
        <v>679</v>
      </c>
      <c r="B62" s="53">
        <v>11.0</v>
      </c>
      <c r="C62" s="53">
        <v>3.0</v>
      </c>
      <c r="D62" s="53">
        <v>5.0</v>
      </c>
      <c r="E62" s="54"/>
      <c r="F62" s="53">
        <v>14.0</v>
      </c>
      <c r="G62" s="53">
        <v>4.0</v>
      </c>
      <c r="H62" s="53">
        <v>7.0</v>
      </c>
      <c r="I62" s="54"/>
      <c r="J62" s="53">
        <v>30.0</v>
      </c>
      <c r="K62" s="53">
        <v>7.0</v>
      </c>
      <c r="L62" s="53">
        <v>16.0</v>
      </c>
    </row>
    <row r="63">
      <c r="D63" s="8"/>
      <c r="E63" s="8"/>
      <c r="F63" s="8"/>
    </row>
    <row r="64">
      <c r="D64" s="8"/>
      <c r="E64" s="8"/>
      <c r="F64" s="8"/>
    </row>
    <row r="65">
      <c r="D65" s="8"/>
      <c r="E65" s="8"/>
      <c r="F65" s="8"/>
    </row>
    <row r="66">
      <c r="D66" s="8"/>
      <c r="E66" s="8"/>
      <c r="F66" s="8"/>
    </row>
    <row r="67">
      <c r="D67" s="8"/>
      <c r="E67" s="8"/>
      <c r="F67" s="8"/>
    </row>
    <row r="68">
      <c r="D68" s="8"/>
      <c r="E68" s="8"/>
      <c r="F68" s="8"/>
    </row>
    <row r="69">
      <c r="D69" s="8"/>
      <c r="E69" s="8"/>
      <c r="F69" s="8"/>
    </row>
    <row r="70">
      <c r="D70" s="8"/>
      <c r="E70" s="8"/>
      <c r="F70" s="8"/>
    </row>
    <row r="71">
      <c r="D71" s="8"/>
      <c r="E71" s="8"/>
      <c r="F71" s="8"/>
    </row>
    <row r="72">
      <c r="D72" s="8"/>
      <c r="E72" s="8"/>
      <c r="F72" s="8"/>
    </row>
    <row r="73">
      <c r="D73" s="8"/>
      <c r="E73" s="8"/>
      <c r="F73" s="8"/>
    </row>
    <row r="74">
      <c r="D74" s="8"/>
      <c r="E74" s="8"/>
      <c r="F74" s="8"/>
    </row>
    <row r="75">
      <c r="D75" s="8"/>
      <c r="E75" s="8"/>
      <c r="F75" s="8"/>
    </row>
    <row r="76">
      <c r="D76" s="8"/>
      <c r="E76" s="8"/>
      <c r="F76" s="8"/>
    </row>
    <row r="77">
      <c r="D77" s="8"/>
      <c r="E77" s="8"/>
      <c r="F77" s="8"/>
    </row>
    <row r="78">
      <c r="D78" s="8"/>
      <c r="E78" s="8"/>
      <c r="F78" s="8"/>
    </row>
    <row r="79">
      <c r="D79" s="8"/>
      <c r="E79" s="8"/>
      <c r="F79" s="8"/>
    </row>
    <row r="80">
      <c r="D80" s="8"/>
      <c r="E80" s="8"/>
      <c r="F80" s="8"/>
    </row>
    <row r="81">
      <c r="D81" s="8"/>
      <c r="E81" s="8"/>
      <c r="F81" s="8"/>
    </row>
    <row r="82">
      <c r="D82" s="8"/>
      <c r="E82" s="8"/>
      <c r="F82" s="8"/>
    </row>
    <row r="83">
      <c r="D83" s="8"/>
      <c r="E83" s="8"/>
      <c r="F83" s="8"/>
    </row>
    <row r="84">
      <c r="D84" s="8"/>
      <c r="E84" s="8"/>
      <c r="F84" s="8"/>
    </row>
    <row r="85">
      <c r="D85" s="8"/>
      <c r="E85" s="8"/>
      <c r="F85" s="8"/>
    </row>
    <row r="86">
      <c r="D86" s="8"/>
      <c r="E86" s="8"/>
      <c r="F86" s="8"/>
    </row>
    <row r="87">
      <c r="D87" s="8"/>
      <c r="E87" s="8"/>
      <c r="F87" s="8"/>
    </row>
    <row r="88">
      <c r="D88" s="8"/>
      <c r="E88" s="8"/>
      <c r="F88" s="8"/>
    </row>
    <row r="89">
      <c r="D89" s="8"/>
      <c r="E89" s="8"/>
      <c r="F89" s="8"/>
    </row>
    <row r="90">
      <c r="D90" s="8"/>
      <c r="E90" s="8"/>
      <c r="F90" s="8"/>
    </row>
    <row r="91">
      <c r="D91" s="8"/>
      <c r="E91" s="8"/>
      <c r="F91" s="8"/>
    </row>
    <row r="92">
      <c r="D92" s="8"/>
      <c r="E92" s="8"/>
      <c r="F92" s="8"/>
    </row>
    <row r="93">
      <c r="D93" s="8"/>
      <c r="E93" s="8"/>
      <c r="F93" s="8"/>
    </row>
    <row r="94">
      <c r="D94" s="8"/>
      <c r="E94" s="8"/>
      <c r="F94" s="8"/>
    </row>
    <row r="95">
      <c r="D95" s="8"/>
      <c r="E95" s="8"/>
      <c r="F95" s="8"/>
    </row>
    <row r="96">
      <c r="D96" s="8"/>
      <c r="E96" s="8"/>
      <c r="F96" s="8"/>
    </row>
    <row r="97">
      <c r="D97" s="8"/>
      <c r="E97" s="8"/>
      <c r="F97" s="8"/>
    </row>
    <row r="98">
      <c r="D98" s="8"/>
      <c r="E98" s="8"/>
      <c r="F98" s="8"/>
    </row>
    <row r="99">
      <c r="D99" s="8"/>
      <c r="E99" s="8"/>
      <c r="F99" s="8"/>
    </row>
    <row r="100">
      <c r="D100" s="8"/>
      <c r="E100" s="8"/>
      <c r="F100" s="8"/>
    </row>
    <row r="101">
      <c r="D101" s="8"/>
      <c r="E101" s="8"/>
      <c r="F101" s="8"/>
    </row>
    <row r="102">
      <c r="D102" s="8"/>
      <c r="E102" s="8"/>
      <c r="F102" s="8"/>
    </row>
    <row r="103">
      <c r="D103" s="8"/>
      <c r="E103" s="8"/>
      <c r="F103" s="8"/>
    </row>
    <row r="104">
      <c r="D104" s="8"/>
      <c r="E104" s="8"/>
      <c r="F104" s="8"/>
    </row>
    <row r="105">
      <c r="D105" s="8"/>
      <c r="E105" s="8"/>
      <c r="F105" s="8"/>
    </row>
    <row r="106">
      <c r="D106" s="8"/>
      <c r="E106" s="8"/>
      <c r="F106" s="8"/>
    </row>
    <row r="107">
      <c r="D107" s="8"/>
      <c r="E107" s="8"/>
      <c r="F107" s="8"/>
    </row>
    <row r="108">
      <c r="D108" s="8"/>
      <c r="E108" s="8"/>
      <c r="F108" s="8"/>
    </row>
    <row r="109">
      <c r="D109" s="8"/>
      <c r="E109" s="8"/>
      <c r="F109" s="8"/>
    </row>
    <row r="110">
      <c r="D110" s="8"/>
      <c r="E110" s="8"/>
      <c r="F110" s="8"/>
    </row>
    <row r="111">
      <c r="D111" s="8"/>
      <c r="E111" s="8"/>
      <c r="F111" s="8"/>
    </row>
    <row r="112">
      <c r="D112" s="8"/>
      <c r="E112" s="8"/>
      <c r="F112" s="8"/>
    </row>
    <row r="113">
      <c r="D113" s="8"/>
      <c r="E113" s="8"/>
      <c r="F113" s="8"/>
    </row>
    <row r="114">
      <c r="D114" s="8"/>
      <c r="E114" s="8"/>
      <c r="F114" s="8"/>
    </row>
    <row r="115">
      <c r="D115" s="8"/>
      <c r="E115" s="8"/>
      <c r="F115" s="8"/>
    </row>
    <row r="116">
      <c r="D116" s="8"/>
      <c r="E116" s="8"/>
      <c r="F116" s="8"/>
    </row>
    <row r="117">
      <c r="D117" s="8"/>
      <c r="E117" s="8"/>
      <c r="F117" s="8"/>
    </row>
    <row r="118">
      <c r="D118" s="8"/>
      <c r="E118" s="8"/>
      <c r="F118" s="8"/>
    </row>
    <row r="119">
      <c r="D119" s="8"/>
      <c r="E119" s="8"/>
      <c r="F119" s="8"/>
    </row>
    <row r="120">
      <c r="D120" s="8"/>
      <c r="E120" s="8"/>
      <c r="F120" s="8"/>
    </row>
    <row r="121">
      <c r="D121" s="8"/>
      <c r="E121" s="8"/>
      <c r="F121" s="8"/>
    </row>
    <row r="122">
      <c r="D122" s="8"/>
      <c r="E122" s="8"/>
      <c r="F122" s="8"/>
    </row>
    <row r="123">
      <c r="D123" s="8"/>
      <c r="E123" s="8"/>
      <c r="F123" s="8"/>
    </row>
    <row r="124">
      <c r="D124" s="8"/>
      <c r="E124" s="8"/>
      <c r="F124" s="8"/>
    </row>
    <row r="125">
      <c r="D125" s="8"/>
      <c r="E125" s="8"/>
      <c r="F125" s="8"/>
    </row>
    <row r="126">
      <c r="D126" s="8"/>
      <c r="E126" s="8"/>
      <c r="F126" s="8"/>
    </row>
    <row r="127">
      <c r="D127" s="8"/>
      <c r="E127" s="8"/>
      <c r="F127" s="8"/>
    </row>
    <row r="128">
      <c r="D128" s="8"/>
      <c r="E128" s="8"/>
      <c r="F128" s="8"/>
    </row>
    <row r="129">
      <c r="D129" s="8"/>
      <c r="E129" s="8"/>
      <c r="F129" s="8"/>
    </row>
    <row r="130">
      <c r="D130" s="8"/>
      <c r="E130" s="8"/>
      <c r="F130" s="8"/>
    </row>
    <row r="131">
      <c r="D131" s="8"/>
      <c r="E131" s="8"/>
      <c r="F131" s="8"/>
    </row>
    <row r="132">
      <c r="D132" s="8"/>
      <c r="E132" s="8"/>
      <c r="F132" s="8"/>
    </row>
    <row r="133">
      <c r="D133" s="8"/>
      <c r="E133" s="8"/>
      <c r="F133" s="8"/>
    </row>
    <row r="134">
      <c r="D134" s="8"/>
      <c r="E134" s="8"/>
      <c r="F134" s="8"/>
    </row>
    <row r="135">
      <c r="D135" s="8"/>
      <c r="E135" s="8"/>
      <c r="F135" s="8"/>
    </row>
    <row r="136">
      <c r="D136" s="8"/>
      <c r="E136" s="8"/>
      <c r="F136" s="8"/>
    </row>
    <row r="137">
      <c r="D137" s="8"/>
      <c r="E137" s="8"/>
      <c r="F137" s="8"/>
    </row>
    <row r="138">
      <c r="D138" s="8"/>
      <c r="E138" s="8"/>
      <c r="F138" s="8"/>
    </row>
    <row r="139">
      <c r="D139" s="8"/>
      <c r="E139" s="8"/>
      <c r="F139" s="8"/>
    </row>
    <row r="140">
      <c r="D140" s="8"/>
      <c r="E140" s="8"/>
      <c r="F140" s="8"/>
    </row>
    <row r="141">
      <c r="D141" s="8"/>
      <c r="E141" s="8"/>
      <c r="F141" s="8"/>
    </row>
    <row r="142">
      <c r="D142" s="8"/>
      <c r="E142" s="8"/>
      <c r="F142" s="8"/>
    </row>
    <row r="143">
      <c r="D143" s="8"/>
      <c r="E143" s="8"/>
      <c r="F143" s="8"/>
    </row>
    <row r="144">
      <c r="D144" s="8"/>
      <c r="E144" s="8"/>
      <c r="F144" s="8"/>
    </row>
    <row r="145">
      <c r="D145" s="8"/>
      <c r="E145" s="8"/>
      <c r="F145" s="8"/>
    </row>
    <row r="146">
      <c r="D146" s="8"/>
      <c r="E146" s="8"/>
      <c r="F146" s="8"/>
    </row>
    <row r="147">
      <c r="D147" s="8"/>
      <c r="E147" s="8"/>
      <c r="F147" s="8"/>
    </row>
    <row r="148">
      <c r="D148" s="8"/>
      <c r="E148" s="8"/>
      <c r="F148" s="8"/>
    </row>
    <row r="149">
      <c r="D149" s="8"/>
      <c r="E149" s="8"/>
      <c r="F149" s="8"/>
    </row>
    <row r="150">
      <c r="D150" s="8"/>
      <c r="E150" s="8"/>
      <c r="F150" s="8"/>
    </row>
    <row r="151">
      <c r="D151" s="8"/>
      <c r="E151" s="8"/>
      <c r="F151" s="8"/>
    </row>
    <row r="152">
      <c r="D152" s="8"/>
      <c r="E152" s="8"/>
      <c r="F152" s="8"/>
    </row>
    <row r="153">
      <c r="D153" s="8"/>
      <c r="E153" s="8"/>
      <c r="F153" s="8"/>
    </row>
    <row r="154">
      <c r="D154" s="8"/>
      <c r="E154" s="8"/>
      <c r="F154" s="8"/>
    </row>
    <row r="155">
      <c r="D155" s="8"/>
      <c r="E155" s="8"/>
      <c r="F155" s="8"/>
    </row>
    <row r="156">
      <c r="D156" s="8"/>
      <c r="E156" s="8"/>
      <c r="F156" s="8"/>
    </row>
    <row r="157">
      <c r="D157" s="8"/>
      <c r="E157" s="8"/>
      <c r="F157" s="8"/>
    </row>
    <row r="158">
      <c r="D158" s="8"/>
      <c r="E158" s="8"/>
      <c r="F158" s="8"/>
    </row>
    <row r="159">
      <c r="D159" s="8"/>
      <c r="E159" s="8"/>
      <c r="F159" s="8"/>
    </row>
    <row r="160">
      <c r="D160" s="8"/>
      <c r="E160" s="8"/>
      <c r="F160" s="8"/>
    </row>
    <row r="161">
      <c r="D161" s="8"/>
      <c r="E161" s="8"/>
      <c r="F161" s="8"/>
    </row>
    <row r="162">
      <c r="D162" s="8"/>
      <c r="E162" s="8"/>
      <c r="F162" s="8"/>
    </row>
    <row r="163">
      <c r="D163" s="8"/>
      <c r="E163" s="8"/>
      <c r="F163" s="8"/>
    </row>
    <row r="164">
      <c r="D164" s="8"/>
      <c r="E164" s="8"/>
      <c r="F164" s="8"/>
    </row>
    <row r="165">
      <c r="D165" s="8"/>
      <c r="E165" s="8"/>
      <c r="F165" s="8"/>
    </row>
    <row r="166">
      <c r="D166" s="8"/>
      <c r="E166" s="8"/>
      <c r="F166" s="8"/>
    </row>
    <row r="167">
      <c r="D167" s="8"/>
      <c r="E167" s="8"/>
      <c r="F167" s="8"/>
    </row>
    <row r="168">
      <c r="D168" s="8"/>
      <c r="E168" s="8"/>
      <c r="F168" s="8"/>
    </row>
    <row r="169">
      <c r="D169" s="8"/>
      <c r="E169" s="8"/>
      <c r="F169" s="8"/>
    </row>
    <row r="170">
      <c r="D170" s="8"/>
      <c r="E170" s="8"/>
      <c r="F170" s="8"/>
    </row>
    <row r="171">
      <c r="D171" s="8"/>
      <c r="E171" s="8"/>
      <c r="F171" s="8"/>
    </row>
    <row r="172">
      <c r="D172" s="8"/>
      <c r="E172" s="8"/>
      <c r="F172" s="8"/>
    </row>
    <row r="173">
      <c r="D173" s="8"/>
      <c r="E173" s="8"/>
      <c r="F173" s="8"/>
    </row>
    <row r="174">
      <c r="D174" s="8"/>
      <c r="E174" s="8"/>
      <c r="F174" s="8"/>
    </row>
    <row r="175">
      <c r="D175" s="8"/>
      <c r="E175" s="8"/>
      <c r="F175" s="8"/>
    </row>
    <row r="176">
      <c r="D176" s="8"/>
      <c r="E176" s="8"/>
      <c r="F176" s="8"/>
    </row>
    <row r="177">
      <c r="D177" s="8"/>
      <c r="E177" s="8"/>
      <c r="F177" s="8"/>
    </row>
    <row r="178">
      <c r="D178" s="8"/>
      <c r="E178" s="8"/>
      <c r="F178" s="8"/>
    </row>
    <row r="179">
      <c r="D179" s="8"/>
      <c r="E179" s="8"/>
      <c r="F179" s="8"/>
    </row>
    <row r="180">
      <c r="D180" s="8"/>
      <c r="E180" s="8"/>
      <c r="F180" s="8"/>
    </row>
    <row r="181">
      <c r="D181" s="8"/>
      <c r="E181" s="8"/>
      <c r="F181" s="8"/>
    </row>
    <row r="182">
      <c r="D182" s="8"/>
      <c r="E182" s="8"/>
      <c r="F182" s="8"/>
    </row>
    <row r="183">
      <c r="D183" s="8"/>
      <c r="E183" s="8"/>
      <c r="F183" s="8"/>
    </row>
    <row r="184">
      <c r="D184" s="8"/>
      <c r="E184" s="8"/>
      <c r="F184" s="8"/>
    </row>
    <row r="185">
      <c r="D185" s="8"/>
      <c r="E185" s="8"/>
      <c r="F185" s="8"/>
    </row>
    <row r="186">
      <c r="D186" s="8"/>
      <c r="E186" s="8"/>
      <c r="F186" s="8"/>
    </row>
    <row r="187">
      <c r="D187" s="8"/>
      <c r="E187" s="8"/>
      <c r="F187" s="8"/>
    </row>
    <row r="188">
      <c r="D188" s="8"/>
      <c r="E188" s="8"/>
      <c r="F188" s="8"/>
    </row>
    <row r="189">
      <c r="D189" s="8"/>
      <c r="E189" s="8"/>
      <c r="F189" s="8"/>
    </row>
    <row r="190">
      <c r="D190" s="8"/>
      <c r="E190" s="8"/>
      <c r="F190" s="8"/>
    </row>
    <row r="191">
      <c r="D191" s="8"/>
      <c r="E191" s="8"/>
      <c r="F191" s="8"/>
    </row>
    <row r="192">
      <c r="D192" s="8"/>
      <c r="E192" s="8"/>
      <c r="F192" s="8"/>
    </row>
    <row r="193">
      <c r="D193" s="8"/>
      <c r="E193" s="8"/>
      <c r="F193" s="8"/>
    </row>
    <row r="194">
      <c r="D194" s="8"/>
      <c r="E194" s="8"/>
      <c r="F194" s="8"/>
    </row>
    <row r="195">
      <c r="D195" s="8"/>
      <c r="E195" s="8"/>
      <c r="F195" s="8"/>
    </row>
    <row r="196">
      <c r="D196" s="8"/>
      <c r="E196" s="8"/>
      <c r="F196" s="8"/>
    </row>
    <row r="197">
      <c r="D197" s="8"/>
      <c r="E197" s="8"/>
      <c r="F197" s="8"/>
    </row>
    <row r="198">
      <c r="D198" s="8"/>
      <c r="E198" s="8"/>
      <c r="F198" s="8"/>
    </row>
    <row r="199">
      <c r="D199" s="8"/>
      <c r="E199" s="8"/>
      <c r="F199" s="8"/>
    </row>
    <row r="200">
      <c r="D200" s="8"/>
      <c r="E200" s="8"/>
      <c r="F200" s="8"/>
    </row>
    <row r="201">
      <c r="D201" s="8"/>
      <c r="E201" s="8"/>
      <c r="F201" s="8"/>
    </row>
    <row r="202">
      <c r="D202" s="8"/>
      <c r="E202" s="8"/>
      <c r="F202" s="8"/>
    </row>
    <row r="203">
      <c r="D203" s="8"/>
      <c r="E203" s="8"/>
      <c r="F203" s="8"/>
    </row>
    <row r="204">
      <c r="D204" s="8"/>
      <c r="E204" s="8"/>
      <c r="F204" s="8"/>
    </row>
    <row r="205">
      <c r="D205" s="8"/>
      <c r="E205" s="8"/>
      <c r="F205" s="8"/>
    </row>
    <row r="206">
      <c r="D206" s="8"/>
      <c r="E206" s="8"/>
      <c r="F206" s="8"/>
    </row>
    <row r="207">
      <c r="D207" s="8"/>
      <c r="E207" s="8"/>
      <c r="F207" s="8"/>
    </row>
    <row r="208">
      <c r="D208" s="8"/>
      <c r="E208" s="8"/>
      <c r="F208" s="8"/>
    </row>
    <row r="209">
      <c r="D209" s="8"/>
      <c r="E209" s="8"/>
      <c r="F209" s="8"/>
    </row>
    <row r="210">
      <c r="D210" s="8"/>
      <c r="E210" s="8"/>
      <c r="F210" s="8"/>
    </row>
    <row r="211">
      <c r="D211" s="8"/>
      <c r="E211" s="8"/>
      <c r="F211" s="8"/>
    </row>
    <row r="212">
      <c r="D212" s="8"/>
      <c r="E212" s="8"/>
      <c r="F212" s="8"/>
    </row>
    <row r="213">
      <c r="D213" s="8"/>
      <c r="E213" s="8"/>
      <c r="F213" s="8"/>
    </row>
    <row r="214">
      <c r="D214" s="8"/>
      <c r="E214" s="8"/>
      <c r="F214" s="8"/>
    </row>
    <row r="215">
      <c r="D215" s="8"/>
      <c r="E215" s="8"/>
      <c r="F215" s="8"/>
    </row>
    <row r="216">
      <c r="D216" s="8"/>
      <c r="E216" s="8"/>
      <c r="F216" s="8"/>
    </row>
    <row r="217">
      <c r="D217" s="8"/>
      <c r="E217" s="8"/>
      <c r="F217" s="8"/>
    </row>
    <row r="218">
      <c r="D218" s="8"/>
      <c r="E218" s="8"/>
      <c r="F218" s="8"/>
    </row>
    <row r="219">
      <c r="D219" s="8"/>
      <c r="E219" s="8"/>
      <c r="F219" s="8"/>
    </row>
    <row r="220">
      <c r="D220" s="8"/>
      <c r="E220" s="8"/>
      <c r="F220" s="8"/>
    </row>
    <row r="221">
      <c r="D221" s="8"/>
      <c r="E221" s="8"/>
      <c r="F221" s="8"/>
    </row>
    <row r="222">
      <c r="D222" s="8"/>
      <c r="E222" s="8"/>
      <c r="F222" s="8"/>
    </row>
    <row r="223">
      <c r="D223" s="8"/>
      <c r="E223" s="8"/>
      <c r="F223" s="8"/>
    </row>
    <row r="224">
      <c r="D224" s="8"/>
      <c r="E224" s="8"/>
      <c r="F224" s="8"/>
    </row>
    <row r="225">
      <c r="D225" s="8"/>
      <c r="E225" s="8"/>
      <c r="F225" s="8"/>
    </row>
    <row r="226">
      <c r="D226" s="8"/>
      <c r="E226" s="8"/>
      <c r="F226" s="8"/>
    </row>
    <row r="227">
      <c r="D227" s="8"/>
      <c r="E227" s="8"/>
      <c r="F227" s="8"/>
    </row>
    <row r="228">
      <c r="D228" s="8"/>
      <c r="E228" s="8"/>
      <c r="F228" s="8"/>
    </row>
    <row r="229">
      <c r="D229" s="8"/>
      <c r="E229" s="8"/>
      <c r="F229" s="8"/>
    </row>
    <row r="230">
      <c r="D230" s="8"/>
      <c r="E230" s="8"/>
      <c r="F230" s="8"/>
    </row>
    <row r="231">
      <c r="D231" s="8"/>
      <c r="E231" s="8"/>
      <c r="F231" s="8"/>
    </row>
    <row r="232">
      <c r="D232" s="8"/>
      <c r="E232" s="8"/>
      <c r="F232" s="8"/>
    </row>
    <row r="233">
      <c r="D233" s="8"/>
      <c r="E233" s="8"/>
      <c r="F233" s="8"/>
    </row>
    <row r="234">
      <c r="D234" s="8"/>
      <c r="E234" s="8"/>
      <c r="F234" s="8"/>
    </row>
    <row r="235">
      <c r="D235" s="8"/>
      <c r="E235" s="8"/>
      <c r="F235" s="8"/>
    </row>
    <row r="236">
      <c r="D236" s="8"/>
      <c r="E236" s="8"/>
      <c r="F236" s="8"/>
    </row>
    <row r="237">
      <c r="D237" s="8"/>
      <c r="E237" s="8"/>
      <c r="F237" s="8"/>
    </row>
    <row r="238">
      <c r="D238" s="8"/>
      <c r="E238" s="8"/>
      <c r="F238" s="8"/>
    </row>
    <row r="239">
      <c r="D239" s="8"/>
      <c r="E239" s="8"/>
      <c r="F239" s="8"/>
    </row>
    <row r="240">
      <c r="D240" s="8"/>
      <c r="E240" s="8"/>
      <c r="F240" s="8"/>
    </row>
    <row r="241">
      <c r="D241" s="8"/>
      <c r="E241" s="8"/>
      <c r="F241" s="8"/>
    </row>
    <row r="242">
      <c r="D242" s="8"/>
      <c r="E242" s="8"/>
      <c r="F242" s="8"/>
    </row>
    <row r="243">
      <c r="D243" s="8"/>
      <c r="E243" s="8"/>
      <c r="F243" s="8"/>
    </row>
    <row r="244">
      <c r="D244" s="8"/>
      <c r="E244" s="8"/>
      <c r="F244" s="8"/>
    </row>
    <row r="245">
      <c r="D245" s="8"/>
      <c r="E245" s="8"/>
      <c r="F245" s="8"/>
    </row>
    <row r="246">
      <c r="D246" s="8"/>
      <c r="E246" s="8"/>
      <c r="F246" s="8"/>
    </row>
    <row r="247">
      <c r="D247" s="8"/>
      <c r="E247" s="8"/>
      <c r="F247" s="8"/>
    </row>
    <row r="248">
      <c r="D248" s="8"/>
      <c r="E248" s="8"/>
      <c r="F248" s="8"/>
    </row>
    <row r="249">
      <c r="D249" s="8"/>
      <c r="E249" s="8"/>
      <c r="F249" s="8"/>
    </row>
    <row r="250">
      <c r="D250" s="8"/>
      <c r="E250" s="8"/>
      <c r="F250" s="8"/>
    </row>
    <row r="251">
      <c r="D251" s="8"/>
      <c r="E251" s="8"/>
      <c r="F251" s="8"/>
    </row>
    <row r="252">
      <c r="D252" s="8"/>
      <c r="E252" s="8"/>
      <c r="F252" s="8"/>
    </row>
    <row r="253">
      <c r="D253" s="8"/>
      <c r="E253" s="8"/>
      <c r="F253" s="8"/>
    </row>
    <row r="254">
      <c r="D254" s="8"/>
      <c r="E254" s="8"/>
      <c r="F254" s="8"/>
    </row>
    <row r="255">
      <c r="D255" s="8"/>
      <c r="E255" s="8"/>
      <c r="F255" s="8"/>
    </row>
    <row r="256">
      <c r="D256" s="8"/>
      <c r="E256" s="8"/>
      <c r="F256" s="8"/>
    </row>
    <row r="257">
      <c r="D257" s="8"/>
      <c r="E257" s="8"/>
      <c r="F257" s="8"/>
    </row>
    <row r="258">
      <c r="D258" s="8"/>
      <c r="E258" s="8"/>
      <c r="F258" s="8"/>
    </row>
    <row r="259">
      <c r="D259" s="8"/>
      <c r="E259" s="8"/>
      <c r="F259" s="8"/>
    </row>
    <row r="260">
      <c r="D260" s="8"/>
      <c r="E260" s="8"/>
      <c r="F260" s="8"/>
    </row>
    <row r="261">
      <c r="D261" s="8"/>
      <c r="E261" s="8"/>
      <c r="F261" s="8"/>
    </row>
    <row r="262">
      <c r="D262" s="8"/>
      <c r="E262" s="8"/>
      <c r="F262" s="8"/>
    </row>
    <row r="263">
      <c r="D263" s="8"/>
      <c r="E263" s="8"/>
      <c r="F263" s="8"/>
    </row>
    <row r="264">
      <c r="D264" s="8"/>
      <c r="E264" s="8"/>
      <c r="F264" s="8"/>
    </row>
    <row r="265">
      <c r="D265" s="8"/>
      <c r="E265" s="8"/>
      <c r="F265" s="8"/>
    </row>
    <row r="266">
      <c r="D266" s="8"/>
      <c r="E266" s="8"/>
      <c r="F266" s="8"/>
    </row>
    <row r="267">
      <c r="D267" s="8"/>
      <c r="E267" s="8"/>
      <c r="F267" s="8"/>
    </row>
    <row r="268">
      <c r="D268" s="8"/>
      <c r="E268" s="8"/>
      <c r="F268" s="8"/>
    </row>
    <row r="269">
      <c r="D269" s="8"/>
      <c r="E269" s="8"/>
      <c r="F269" s="8"/>
    </row>
    <row r="270">
      <c r="D270" s="8"/>
      <c r="E270" s="8"/>
      <c r="F270" s="8"/>
    </row>
    <row r="271">
      <c r="D271" s="8"/>
      <c r="E271" s="8"/>
      <c r="F271" s="8"/>
    </row>
    <row r="272">
      <c r="D272" s="8"/>
      <c r="E272" s="8"/>
      <c r="F272" s="8"/>
    </row>
    <row r="273">
      <c r="D273" s="8"/>
      <c r="E273" s="8"/>
      <c r="F273" s="8"/>
    </row>
    <row r="274">
      <c r="D274" s="8"/>
      <c r="E274" s="8"/>
      <c r="F274" s="8"/>
    </row>
    <row r="275">
      <c r="D275" s="8"/>
      <c r="E275" s="8"/>
      <c r="F275" s="8"/>
    </row>
    <row r="276">
      <c r="D276" s="8"/>
      <c r="E276" s="8"/>
      <c r="F276" s="8"/>
    </row>
    <row r="277">
      <c r="D277" s="8"/>
      <c r="E277" s="8"/>
      <c r="F277" s="8"/>
    </row>
    <row r="278">
      <c r="D278" s="8"/>
      <c r="E278" s="8"/>
      <c r="F278" s="8"/>
    </row>
    <row r="279">
      <c r="D279" s="8"/>
      <c r="E279" s="8"/>
      <c r="F279" s="8"/>
    </row>
    <row r="280">
      <c r="D280" s="8"/>
      <c r="E280" s="8"/>
      <c r="F280" s="8"/>
    </row>
    <row r="281">
      <c r="D281" s="8"/>
      <c r="E281" s="8"/>
      <c r="F281" s="8"/>
    </row>
    <row r="282">
      <c r="D282" s="8"/>
      <c r="E282" s="8"/>
      <c r="F282" s="8"/>
    </row>
    <row r="283">
      <c r="D283" s="8"/>
      <c r="E283" s="8"/>
      <c r="F283" s="8"/>
    </row>
    <row r="284">
      <c r="D284" s="8"/>
      <c r="E284" s="8"/>
      <c r="F284" s="8"/>
    </row>
    <row r="285">
      <c r="D285" s="8"/>
      <c r="E285" s="8"/>
      <c r="F285" s="8"/>
    </row>
    <row r="286">
      <c r="D286" s="8"/>
      <c r="E286" s="8"/>
      <c r="F286" s="8"/>
    </row>
    <row r="287">
      <c r="D287" s="8"/>
      <c r="E287" s="8"/>
      <c r="F287" s="8"/>
    </row>
    <row r="288">
      <c r="D288" s="8"/>
      <c r="E288" s="8"/>
      <c r="F288" s="8"/>
    </row>
    <row r="289">
      <c r="D289" s="8"/>
      <c r="E289" s="8"/>
      <c r="F289" s="8"/>
    </row>
    <row r="290">
      <c r="D290" s="8"/>
      <c r="E290" s="8"/>
      <c r="F290" s="8"/>
    </row>
    <row r="291">
      <c r="D291" s="8"/>
      <c r="E291" s="8"/>
      <c r="F291" s="8"/>
    </row>
    <row r="292">
      <c r="D292" s="8"/>
      <c r="E292" s="8"/>
      <c r="F292" s="8"/>
    </row>
    <row r="293">
      <c r="D293" s="8"/>
      <c r="E293" s="8"/>
      <c r="F293" s="8"/>
    </row>
    <row r="294">
      <c r="D294" s="8"/>
      <c r="E294" s="8"/>
      <c r="F294" s="8"/>
    </row>
    <row r="295">
      <c r="D295" s="8"/>
      <c r="E295" s="8"/>
      <c r="F295" s="8"/>
    </row>
    <row r="296">
      <c r="D296" s="8"/>
      <c r="E296" s="8"/>
      <c r="F296" s="8"/>
    </row>
    <row r="297">
      <c r="D297" s="8"/>
      <c r="E297" s="8"/>
      <c r="F297" s="8"/>
    </row>
    <row r="298">
      <c r="D298" s="8"/>
      <c r="E298" s="8"/>
      <c r="F298" s="8"/>
    </row>
    <row r="299">
      <c r="D299" s="8"/>
      <c r="E299" s="8"/>
      <c r="F299" s="8"/>
    </row>
    <row r="300">
      <c r="D300" s="8"/>
      <c r="E300" s="8"/>
      <c r="F300" s="8"/>
    </row>
    <row r="301">
      <c r="D301" s="8"/>
      <c r="E301" s="8"/>
      <c r="F301" s="8"/>
    </row>
    <row r="302">
      <c r="D302" s="8"/>
      <c r="E302" s="8"/>
      <c r="F302" s="8"/>
    </row>
    <row r="303">
      <c r="D303" s="8"/>
      <c r="E303" s="8"/>
      <c r="F303" s="8"/>
    </row>
    <row r="304">
      <c r="D304" s="8"/>
      <c r="E304" s="8"/>
      <c r="F304" s="8"/>
    </row>
    <row r="305">
      <c r="D305" s="8"/>
      <c r="E305" s="8"/>
      <c r="F305" s="8"/>
    </row>
    <row r="306">
      <c r="D306" s="8"/>
      <c r="E306" s="8"/>
      <c r="F306" s="8"/>
    </row>
    <row r="307">
      <c r="D307" s="8"/>
      <c r="E307" s="8"/>
      <c r="F307" s="8"/>
    </row>
    <row r="308">
      <c r="D308" s="8"/>
      <c r="E308" s="8"/>
      <c r="F308" s="8"/>
    </row>
    <row r="309">
      <c r="D309" s="8"/>
      <c r="E309" s="8"/>
      <c r="F309" s="8"/>
    </row>
    <row r="310">
      <c r="D310" s="8"/>
      <c r="E310" s="8"/>
      <c r="F310" s="8"/>
    </row>
    <row r="311">
      <c r="D311" s="8"/>
      <c r="E311" s="8"/>
      <c r="F311" s="8"/>
    </row>
    <row r="312">
      <c r="D312" s="8"/>
      <c r="E312" s="8"/>
      <c r="F312" s="8"/>
    </row>
    <row r="313">
      <c r="D313" s="8"/>
      <c r="E313" s="8"/>
      <c r="F313" s="8"/>
    </row>
    <row r="314">
      <c r="D314" s="8"/>
      <c r="E314" s="8"/>
      <c r="F314" s="8"/>
    </row>
    <row r="315">
      <c r="D315" s="8"/>
      <c r="E315" s="8"/>
      <c r="F315" s="8"/>
    </row>
    <row r="316">
      <c r="D316" s="8"/>
      <c r="E316" s="8"/>
      <c r="F316" s="8"/>
    </row>
    <row r="317">
      <c r="D317" s="8"/>
      <c r="E317" s="8"/>
      <c r="F317" s="8"/>
    </row>
    <row r="318">
      <c r="D318" s="8"/>
      <c r="E318" s="8"/>
      <c r="F318" s="8"/>
    </row>
    <row r="319">
      <c r="D319" s="8"/>
      <c r="E319" s="8"/>
      <c r="F319" s="8"/>
    </row>
    <row r="320">
      <c r="D320" s="8"/>
      <c r="E320" s="8"/>
      <c r="F320" s="8"/>
    </row>
    <row r="321">
      <c r="D321" s="8"/>
      <c r="E321" s="8"/>
      <c r="F321" s="8"/>
    </row>
    <row r="322">
      <c r="D322" s="8"/>
      <c r="E322" s="8"/>
      <c r="F322" s="8"/>
    </row>
    <row r="323">
      <c r="D323" s="8"/>
      <c r="E323" s="8"/>
      <c r="F323" s="8"/>
    </row>
    <row r="324">
      <c r="D324" s="8"/>
      <c r="E324" s="8"/>
      <c r="F324" s="8"/>
    </row>
    <row r="325">
      <c r="D325" s="8"/>
      <c r="E325" s="8"/>
      <c r="F325" s="8"/>
    </row>
    <row r="326">
      <c r="D326" s="8"/>
      <c r="E326" s="8"/>
      <c r="F326" s="8"/>
    </row>
    <row r="327">
      <c r="D327" s="8"/>
      <c r="E327" s="8"/>
      <c r="F327" s="8"/>
    </row>
    <row r="328">
      <c r="D328" s="8"/>
      <c r="E328" s="8"/>
      <c r="F328" s="8"/>
    </row>
    <row r="329">
      <c r="D329" s="8"/>
      <c r="E329" s="8"/>
      <c r="F329" s="8"/>
    </row>
    <row r="330">
      <c r="D330" s="8"/>
      <c r="E330" s="8"/>
      <c r="F330" s="8"/>
    </row>
    <row r="331">
      <c r="D331" s="8"/>
      <c r="E331" s="8"/>
      <c r="F331" s="8"/>
    </row>
    <row r="332">
      <c r="D332" s="8"/>
      <c r="E332" s="8"/>
      <c r="F332" s="8"/>
    </row>
    <row r="333">
      <c r="D333" s="8"/>
      <c r="E333" s="8"/>
      <c r="F333" s="8"/>
    </row>
    <row r="334">
      <c r="D334" s="8"/>
      <c r="E334" s="8"/>
      <c r="F334" s="8"/>
    </row>
    <row r="335">
      <c r="D335" s="8"/>
      <c r="E335" s="8"/>
      <c r="F335" s="8"/>
    </row>
    <row r="336">
      <c r="D336" s="8"/>
      <c r="E336" s="8"/>
      <c r="F336" s="8"/>
    </row>
    <row r="337">
      <c r="D337" s="8"/>
      <c r="E337" s="8"/>
      <c r="F337" s="8"/>
    </row>
    <row r="338">
      <c r="D338" s="8"/>
      <c r="E338" s="8"/>
      <c r="F338" s="8"/>
    </row>
    <row r="339">
      <c r="D339" s="8"/>
      <c r="E339" s="8"/>
      <c r="F339" s="8"/>
    </row>
    <row r="340">
      <c r="D340" s="8"/>
      <c r="E340" s="8"/>
      <c r="F340" s="8"/>
    </row>
    <row r="341">
      <c r="D341" s="8"/>
      <c r="E341" s="8"/>
      <c r="F341" s="8"/>
    </row>
    <row r="342">
      <c r="D342" s="8"/>
      <c r="E342" s="8"/>
      <c r="F342" s="8"/>
    </row>
    <row r="343">
      <c r="D343" s="8"/>
      <c r="E343" s="8"/>
      <c r="F343" s="8"/>
    </row>
    <row r="344">
      <c r="D344" s="8"/>
      <c r="E344" s="8"/>
      <c r="F344" s="8"/>
    </row>
    <row r="345">
      <c r="D345" s="8"/>
      <c r="E345" s="8"/>
      <c r="F345" s="8"/>
    </row>
    <row r="346">
      <c r="D346" s="8"/>
      <c r="E346" s="8"/>
      <c r="F346" s="8"/>
    </row>
    <row r="347">
      <c r="D347" s="8"/>
      <c r="E347" s="8"/>
      <c r="F347" s="8"/>
    </row>
    <row r="348">
      <c r="D348" s="8"/>
      <c r="E348" s="8"/>
      <c r="F348" s="8"/>
    </row>
    <row r="349">
      <c r="D349" s="8"/>
      <c r="E349" s="8"/>
      <c r="F349" s="8"/>
    </row>
    <row r="350">
      <c r="D350" s="8"/>
      <c r="E350" s="8"/>
      <c r="F350" s="8"/>
    </row>
    <row r="351">
      <c r="D351" s="8"/>
      <c r="E351" s="8"/>
      <c r="F351" s="8"/>
    </row>
    <row r="352">
      <c r="D352" s="8"/>
      <c r="E352" s="8"/>
      <c r="F352" s="8"/>
    </row>
    <row r="353">
      <c r="D353" s="8"/>
      <c r="E353" s="8"/>
      <c r="F353" s="8"/>
    </row>
    <row r="354">
      <c r="D354" s="8"/>
      <c r="E354" s="8"/>
      <c r="F354" s="8"/>
    </row>
    <row r="355">
      <c r="D355" s="8"/>
      <c r="E355" s="8"/>
      <c r="F355" s="8"/>
    </row>
    <row r="356">
      <c r="D356" s="8"/>
      <c r="E356" s="8"/>
      <c r="F356" s="8"/>
    </row>
    <row r="357">
      <c r="D357" s="8"/>
      <c r="E357" s="8"/>
      <c r="F357" s="8"/>
    </row>
    <row r="358">
      <c r="D358" s="8"/>
      <c r="E358" s="8"/>
      <c r="F358" s="8"/>
    </row>
    <row r="359">
      <c r="D359" s="8"/>
      <c r="E359" s="8"/>
      <c r="F359" s="8"/>
    </row>
    <row r="360">
      <c r="D360" s="8"/>
      <c r="E360" s="8"/>
      <c r="F360" s="8"/>
    </row>
    <row r="361">
      <c r="D361" s="8"/>
      <c r="E361" s="8"/>
      <c r="F361" s="8"/>
    </row>
    <row r="362">
      <c r="D362" s="8"/>
      <c r="E362" s="8"/>
      <c r="F362" s="8"/>
    </row>
    <row r="363">
      <c r="D363" s="8"/>
      <c r="E363" s="8"/>
      <c r="F363" s="8"/>
    </row>
    <row r="364">
      <c r="D364" s="8"/>
      <c r="E364" s="8"/>
      <c r="F364" s="8"/>
    </row>
    <row r="365">
      <c r="D365" s="8"/>
      <c r="E365" s="8"/>
      <c r="F365" s="8"/>
    </row>
    <row r="366">
      <c r="D366" s="8"/>
      <c r="E366" s="8"/>
      <c r="F366" s="8"/>
    </row>
    <row r="367">
      <c r="D367" s="8"/>
      <c r="E367" s="8"/>
      <c r="F367" s="8"/>
    </row>
    <row r="368">
      <c r="D368" s="8"/>
      <c r="E368" s="8"/>
      <c r="F368" s="8"/>
    </row>
    <row r="369">
      <c r="D369" s="8"/>
      <c r="E369" s="8"/>
      <c r="F369" s="8"/>
    </row>
    <row r="370">
      <c r="D370" s="8"/>
      <c r="E370" s="8"/>
      <c r="F370" s="8"/>
    </row>
    <row r="371">
      <c r="D371" s="8"/>
      <c r="E371" s="8"/>
      <c r="F371" s="8"/>
    </row>
    <row r="372">
      <c r="D372" s="8"/>
      <c r="E372" s="8"/>
      <c r="F372" s="8"/>
    </row>
    <row r="373">
      <c r="D373" s="8"/>
      <c r="E373" s="8"/>
      <c r="F373" s="8"/>
    </row>
    <row r="374">
      <c r="D374" s="8"/>
      <c r="E374" s="8"/>
      <c r="F374" s="8"/>
    </row>
    <row r="375">
      <c r="D375" s="8"/>
      <c r="E375" s="8"/>
      <c r="F375" s="8"/>
    </row>
    <row r="376">
      <c r="D376" s="8"/>
      <c r="E376" s="8"/>
      <c r="F376" s="8"/>
    </row>
    <row r="377">
      <c r="D377" s="8"/>
      <c r="E377" s="8"/>
      <c r="F377" s="8"/>
    </row>
    <row r="378">
      <c r="D378" s="8"/>
      <c r="E378" s="8"/>
      <c r="F378" s="8"/>
    </row>
    <row r="379">
      <c r="D379" s="8"/>
      <c r="E379" s="8"/>
      <c r="F379" s="8"/>
    </row>
    <row r="380">
      <c r="D380" s="8"/>
      <c r="E380" s="8"/>
      <c r="F380" s="8"/>
    </row>
    <row r="381">
      <c r="D381" s="8"/>
      <c r="E381" s="8"/>
      <c r="F381" s="8"/>
    </row>
    <row r="382">
      <c r="D382" s="8"/>
      <c r="E382" s="8"/>
      <c r="F382" s="8"/>
    </row>
    <row r="383">
      <c r="D383" s="8"/>
      <c r="E383" s="8"/>
      <c r="F383" s="8"/>
    </row>
    <row r="384">
      <c r="D384" s="8"/>
      <c r="E384" s="8"/>
      <c r="F384" s="8"/>
    </row>
    <row r="385">
      <c r="D385" s="8"/>
      <c r="E385" s="8"/>
      <c r="F385" s="8"/>
    </row>
    <row r="386">
      <c r="D386" s="8"/>
      <c r="E386" s="8"/>
      <c r="F386" s="8"/>
    </row>
    <row r="387">
      <c r="D387" s="8"/>
      <c r="E387" s="8"/>
      <c r="F387" s="8"/>
    </row>
    <row r="388">
      <c r="D388" s="8"/>
      <c r="E388" s="8"/>
      <c r="F388" s="8"/>
    </row>
    <row r="389">
      <c r="D389" s="8"/>
      <c r="E389" s="8"/>
      <c r="F389" s="8"/>
    </row>
    <row r="390">
      <c r="D390" s="8"/>
      <c r="E390" s="8"/>
      <c r="F390" s="8"/>
    </row>
    <row r="391">
      <c r="D391" s="8"/>
      <c r="E391" s="8"/>
      <c r="F391" s="8"/>
    </row>
    <row r="392">
      <c r="D392" s="8"/>
      <c r="E392" s="8"/>
      <c r="F392" s="8"/>
    </row>
    <row r="393">
      <c r="D393" s="8"/>
      <c r="E393" s="8"/>
      <c r="F393" s="8"/>
    </row>
    <row r="394">
      <c r="D394" s="8"/>
      <c r="E394" s="8"/>
      <c r="F394" s="8"/>
    </row>
    <row r="395">
      <c r="D395" s="8"/>
      <c r="E395" s="8"/>
      <c r="F395" s="8"/>
    </row>
    <row r="396">
      <c r="D396" s="8"/>
      <c r="E396" s="8"/>
      <c r="F396" s="8"/>
    </row>
    <row r="397">
      <c r="D397" s="8"/>
      <c r="E397" s="8"/>
      <c r="F397" s="8"/>
    </row>
    <row r="398">
      <c r="D398" s="8"/>
      <c r="E398" s="8"/>
      <c r="F398" s="8"/>
    </row>
    <row r="399">
      <c r="D399" s="8"/>
      <c r="E399" s="8"/>
      <c r="F399" s="8"/>
    </row>
    <row r="400">
      <c r="D400" s="8"/>
      <c r="E400" s="8"/>
      <c r="F400" s="8"/>
    </row>
    <row r="401">
      <c r="D401" s="8"/>
      <c r="E401" s="8"/>
      <c r="F401" s="8"/>
    </row>
    <row r="402">
      <c r="D402" s="8"/>
      <c r="E402" s="8"/>
      <c r="F402" s="8"/>
    </row>
    <row r="403">
      <c r="D403" s="8"/>
      <c r="E403" s="8"/>
      <c r="F403" s="8"/>
    </row>
    <row r="404">
      <c r="D404" s="8"/>
      <c r="E404" s="8"/>
      <c r="F404" s="8"/>
    </row>
    <row r="405">
      <c r="D405" s="8"/>
      <c r="E405" s="8"/>
      <c r="F405" s="8"/>
    </row>
    <row r="406">
      <c r="D406" s="8"/>
      <c r="E406" s="8"/>
      <c r="F406" s="8"/>
    </row>
    <row r="407">
      <c r="D407" s="8"/>
      <c r="E407" s="8"/>
      <c r="F407" s="8"/>
    </row>
    <row r="408">
      <c r="D408" s="8"/>
      <c r="E408" s="8"/>
      <c r="F408" s="8"/>
    </row>
    <row r="409">
      <c r="D409" s="8"/>
      <c r="E409" s="8"/>
      <c r="F409" s="8"/>
    </row>
    <row r="410">
      <c r="D410" s="8"/>
      <c r="E410" s="8"/>
      <c r="F410" s="8"/>
    </row>
    <row r="411">
      <c r="D411" s="8"/>
      <c r="E411" s="8"/>
      <c r="F411" s="8"/>
    </row>
    <row r="412">
      <c r="D412" s="8"/>
      <c r="E412" s="8"/>
      <c r="F412" s="8"/>
    </row>
    <row r="413">
      <c r="D413" s="8"/>
      <c r="E413" s="8"/>
      <c r="F413" s="8"/>
    </row>
    <row r="414">
      <c r="D414" s="8"/>
      <c r="E414" s="8"/>
      <c r="F414" s="8"/>
    </row>
    <row r="415">
      <c r="D415" s="8"/>
      <c r="E415" s="8"/>
      <c r="F415" s="8"/>
    </row>
    <row r="416">
      <c r="D416" s="8"/>
      <c r="E416" s="8"/>
      <c r="F416" s="8"/>
    </row>
    <row r="417">
      <c r="D417" s="8"/>
      <c r="E417" s="8"/>
      <c r="F417" s="8"/>
    </row>
    <row r="418">
      <c r="D418" s="8"/>
      <c r="E418" s="8"/>
      <c r="F418" s="8"/>
    </row>
    <row r="419">
      <c r="D419" s="8"/>
      <c r="E419" s="8"/>
      <c r="F419" s="8"/>
    </row>
    <row r="420">
      <c r="D420" s="8"/>
      <c r="E420" s="8"/>
      <c r="F420" s="8"/>
    </row>
    <row r="421">
      <c r="D421" s="8"/>
      <c r="E421" s="8"/>
      <c r="F421" s="8"/>
    </row>
    <row r="422">
      <c r="D422" s="8"/>
      <c r="E422" s="8"/>
      <c r="F422" s="8"/>
    </row>
    <row r="423">
      <c r="D423" s="8"/>
      <c r="E423" s="8"/>
      <c r="F423" s="8"/>
    </row>
    <row r="424">
      <c r="D424" s="8"/>
      <c r="E424" s="8"/>
      <c r="F424" s="8"/>
    </row>
    <row r="425">
      <c r="D425" s="8"/>
      <c r="E425" s="8"/>
      <c r="F425" s="8"/>
    </row>
    <row r="426">
      <c r="D426" s="8"/>
      <c r="E426" s="8"/>
      <c r="F426" s="8"/>
    </row>
    <row r="427">
      <c r="D427" s="8"/>
      <c r="E427" s="8"/>
      <c r="F427" s="8"/>
    </row>
    <row r="428">
      <c r="D428" s="8"/>
      <c r="E428" s="8"/>
      <c r="F428" s="8"/>
    </row>
    <row r="429">
      <c r="D429" s="8"/>
      <c r="E429" s="8"/>
      <c r="F429" s="8"/>
    </row>
    <row r="430">
      <c r="D430" s="8"/>
      <c r="E430" s="8"/>
      <c r="F430" s="8"/>
    </row>
    <row r="431">
      <c r="D431" s="8"/>
      <c r="E431" s="8"/>
      <c r="F431" s="8"/>
    </row>
    <row r="432">
      <c r="D432" s="8"/>
      <c r="E432" s="8"/>
      <c r="F432" s="8"/>
    </row>
    <row r="433">
      <c r="D433" s="8"/>
      <c r="E433" s="8"/>
      <c r="F433" s="8"/>
    </row>
    <row r="434">
      <c r="D434" s="8"/>
      <c r="E434" s="8"/>
      <c r="F434" s="8"/>
    </row>
    <row r="435">
      <c r="D435" s="8"/>
      <c r="E435" s="8"/>
      <c r="F435" s="8"/>
    </row>
    <row r="436">
      <c r="D436" s="8"/>
      <c r="E436" s="8"/>
      <c r="F436" s="8"/>
    </row>
    <row r="437">
      <c r="D437" s="8"/>
      <c r="E437" s="8"/>
      <c r="F437" s="8"/>
    </row>
    <row r="438">
      <c r="D438" s="8"/>
      <c r="E438" s="8"/>
      <c r="F438" s="8"/>
    </row>
    <row r="439">
      <c r="D439" s="8"/>
      <c r="E439" s="8"/>
      <c r="F439" s="8"/>
    </row>
    <row r="440">
      <c r="D440" s="8"/>
      <c r="E440" s="8"/>
      <c r="F440" s="8"/>
    </row>
    <row r="441">
      <c r="D441" s="8"/>
      <c r="E441" s="8"/>
      <c r="F441" s="8"/>
    </row>
    <row r="442">
      <c r="D442" s="8"/>
      <c r="E442" s="8"/>
      <c r="F442" s="8"/>
    </row>
    <row r="443">
      <c r="D443" s="8"/>
      <c r="E443" s="8"/>
      <c r="F443" s="8"/>
    </row>
    <row r="444">
      <c r="D444" s="8"/>
      <c r="E444" s="8"/>
      <c r="F444" s="8"/>
    </row>
    <row r="445">
      <c r="D445" s="8"/>
      <c r="E445" s="8"/>
      <c r="F445" s="8"/>
    </row>
    <row r="446">
      <c r="D446" s="8"/>
      <c r="E446" s="8"/>
      <c r="F446" s="8"/>
    </row>
    <row r="447">
      <c r="D447" s="8"/>
      <c r="E447" s="8"/>
      <c r="F447" s="8"/>
    </row>
    <row r="448">
      <c r="D448" s="8"/>
      <c r="E448" s="8"/>
      <c r="F448" s="8"/>
    </row>
    <row r="449">
      <c r="D449" s="8"/>
      <c r="E449" s="8"/>
      <c r="F449" s="8"/>
    </row>
    <row r="450">
      <c r="D450" s="8"/>
      <c r="E450" s="8"/>
      <c r="F450" s="8"/>
    </row>
    <row r="451">
      <c r="D451" s="8"/>
      <c r="E451" s="8"/>
      <c r="F451" s="8"/>
    </row>
    <row r="452">
      <c r="D452" s="8"/>
      <c r="E452" s="8"/>
      <c r="F452" s="8"/>
    </row>
    <row r="453">
      <c r="D453" s="8"/>
      <c r="E453" s="8"/>
      <c r="F453" s="8"/>
    </row>
    <row r="454">
      <c r="D454" s="8"/>
      <c r="E454" s="8"/>
      <c r="F454" s="8"/>
    </row>
    <row r="455">
      <c r="D455" s="8"/>
      <c r="E455" s="8"/>
      <c r="F455" s="8"/>
    </row>
    <row r="456">
      <c r="D456" s="8"/>
      <c r="E456" s="8"/>
      <c r="F456" s="8"/>
    </row>
    <row r="457">
      <c r="D457" s="8"/>
      <c r="E457" s="8"/>
      <c r="F457" s="8"/>
    </row>
    <row r="458">
      <c r="D458" s="8"/>
      <c r="E458" s="8"/>
      <c r="F458" s="8"/>
    </row>
    <row r="459">
      <c r="D459" s="8"/>
      <c r="E459" s="8"/>
      <c r="F459" s="8"/>
    </row>
    <row r="460">
      <c r="D460" s="8"/>
      <c r="E460" s="8"/>
      <c r="F460" s="8"/>
    </row>
    <row r="461">
      <c r="D461" s="8"/>
      <c r="E461" s="8"/>
      <c r="F461" s="8"/>
    </row>
    <row r="462">
      <c r="D462" s="8"/>
      <c r="E462" s="8"/>
      <c r="F462" s="8"/>
    </row>
    <row r="463">
      <c r="D463" s="8"/>
      <c r="E463" s="8"/>
      <c r="F463" s="8"/>
    </row>
    <row r="464">
      <c r="D464" s="8"/>
      <c r="E464" s="8"/>
      <c r="F464" s="8"/>
    </row>
    <row r="465">
      <c r="D465" s="8"/>
      <c r="E465" s="8"/>
      <c r="F465" s="8"/>
    </row>
    <row r="466">
      <c r="D466" s="8"/>
      <c r="E466" s="8"/>
      <c r="F466" s="8"/>
    </row>
    <row r="467">
      <c r="D467" s="8"/>
      <c r="E467" s="8"/>
      <c r="F467" s="8"/>
    </row>
    <row r="468">
      <c r="D468" s="8"/>
      <c r="E468" s="8"/>
      <c r="F468" s="8"/>
    </row>
    <row r="469">
      <c r="D469" s="8"/>
      <c r="E469" s="8"/>
      <c r="F469" s="8"/>
    </row>
    <row r="470">
      <c r="D470" s="8"/>
      <c r="E470" s="8"/>
      <c r="F470" s="8"/>
    </row>
    <row r="471">
      <c r="D471" s="8"/>
      <c r="E471" s="8"/>
      <c r="F471" s="8"/>
    </row>
    <row r="472">
      <c r="D472" s="8"/>
      <c r="E472" s="8"/>
      <c r="F472" s="8"/>
    </row>
    <row r="473">
      <c r="D473" s="8"/>
      <c r="E473" s="8"/>
      <c r="F473" s="8"/>
    </row>
    <row r="474">
      <c r="D474" s="8"/>
      <c r="E474" s="8"/>
      <c r="F474" s="8"/>
    </row>
    <row r="475">
      <c r="D475" s="8"/>
      <c r="E475" s="8"/>
      <c r="F475" s="8"/>
    </row>
    <row r="476">
      <c r="D476" s="8"/>
      <c r="E476" s="8"/>
      <c r="F476" s="8"/>
    </row>
    <row r="477">
      <c r="D477" s="8"/>
      <c r="E477" s="8"/>
      <c r="F477" s="8"/>
    </row>
    <row r="478">
      <c r="D478" s="8"/>
      <c r="E478" s="8"/>
      <c r="F478" s="8"/>
    </row>
    <row r="479">
      <c r="D479" s="8"/>
      <c r="E479" s="8"/>
      <c r="F479" s="8"/>
    </row>
    <row r="480">
      <c r="D480" s="8"/>
      <c r="E480" s="8"/>
      <c r="F480" s="8"/>
    </row>
    <row r="481">
      <c r="D481" s="8"/>
      <c r="E481" s="8"/>
      <c r="F481" s="8"/>
    </row>
    <row r="482">
      <c r="D482" s="8"/>
      <c r="E482" s="8"/>
      <c r="F482" s="8"/>
    </row>
    <row r="483">
      <c r="D483" s="8"/>
      <c r="E483" s="8"/>
      <c r="F483" s="8"/>
    </row>
    <row r="484">
      <c r="D484" s="8"/>
      <c r="E484" s="8"/>
      <c r="F484" s="8"/>
    </row>
    <row r="485">
      <c r="D485" s="8"/>
      <c r="E485" s="8"/>
      <c r="F485" s="8"/>
    </row>
    <row r="486">
      <c r="D486" s="8"/>
      <c r="E486" s="8"/>
      <c r="F486" s="8"/>
    </row>
    <row r="487">
      <c r="D487" s="8"/>
      <c r="E487" s="8"/>
      <c r="F487" s="8"/>
    </row>
    <row r="488">
      <c r="D488" s="8"/>
      <c r="E488" s="8"/>
      <c r="F488" s="8"/>
    </row>
    <row r="489">
      <c r="D489" s="8"/>
      <c r="E489" s="8"/>
      <c r="F489" s="8"/>
    </row>
    <row r="490">
      <c r="D490" s="8"/>
      <c r="E490" s="8"/>
      <c r="F490" s="8"/>
    </row>
    <row r="491">
      <c r="D491" s="8"/>
      <c r="E491" s="8"/>
      <c r="F491" s="8"/>
    </row>
    <row r="492">
      <c r="D492" s="8"/>
      <c r="E492" s="8"/>
      <c r="F492" s="8"/>
    </row>
    <row r="493">
      <c r="D493" s="8"/>
      <c r="E493" s="8"/>
      <c r="F493" s="8"/>
    </row>
    <row r="494">
      <c r="D494" s="8"/>
      <c r="E494" s="8"/>
      <c r="F494" s="8"/>
    </row>
    <row r="495">
      <c r="D495" s="8"/>
      <c r="E495" s="8"/>
      <c r="F495" s="8"/>
    </row>
    <row r="496">
      <c r="D496" s="8"/>
      <c r="E496" s="8"/>
      <c r="F496" s="8"/>
    </row>
    <row r="497">
      <c r="D497" s="8"/>
      <c r="E497" s="8"/>
      <c r="F497" s="8"/>
    </row>
    <row r="498">
      <c r="D498" s="8"/>
      <c r="E498" s="8"/>
      <c r="F498" s="8"/>
    </row>
    <row r="499">
      <c r="D499" s="8"/>
      <c r="E499" s="8"/>
      <c r="F499" s="8"/>
    </row>
    <row r="500">
      <c r="D500" s="8"/>
      <c r="E500" s="8"/>
      <c r="F500" s="8"/>
    </row>
    <row r="501">
      <c r="D501" s="8"/>
      <c r="E501" s="8"/>
      <c r="F501" s="8"/>
    </row>
    <row r="502">
      <c r="D502" s="8"/>
      <c r="E502" s="8"/>
      <c r="F502" s="8"/>
    </row>
    <row r="503">
      <c r="D503" s="8"/>
      <c r="E503" s="8"/>
      <c r="F503" s="8"/>
    </row>
    <row r="504">
      <c r="D504" s="8"/>
      <c r="E504" s="8"/>
      <c r="F504" s="8"/>
    </row>
    <row r="505">
      <c r="D505" s="8"/>
      <c r="E505" s="8"/>
      <c r="F505" s="8"/>
    </row>
    <row r="506">
      <c r="D506" s="8"/>
      <c r="E506" s="8"/>
      <c r="F506" s="8"/>
    </row>
    <row r="507">
      <c r="D507" s="8"/>
      <c r="E507" s="8"/>
      <c r="F507" s="8"/>
    </row>
    <row r="508">
      <c r="D508" s="8"/>
      <c r="E508" s="8"/>
      <c r="F508" s="8"/>
    </row>
    <row r="509">
      <c r="D509" s="8"/>
      <c r="E509" s="8"/>
      <c r="F509" s="8"/>
    </row>
    <row r="510">
      <c r="D510" s="8"/>
      <c r="E510" s="8"/>
      <c r="F510" s="8"/>
    </row>
    <row r="511">
      <c r="D511" s="8"/>
      <c r="E511" s="8"/>
      <c r="F511" s="8"/>
    </row>
    <row r="512">
      <c r="D512" s="8"/>
      <c r="E512" s="8"/>
      <c r="F512" s="8"/>
    </row>
    <row r="513">
      <c r="D513" s="8"/>
      <c r="E513" s="8"/>
      <c r="F513" s="8"/>
    </row>
    <row r="514">
      <c r="D514" s="8"/>
      <c r="E514" s="8"/>
      <c r="F514" s="8"/>
    </row>
    <row r="515">
      <c r="D515" s="8"/>
      <c r="E515" s="8"/>
      <c r="F515" s="8"/>
    </row>
    <row r="516">
      <c r="D516" s="8"/>
      <c r="E516" s="8"/>
      <c r="F516" s="8"/>
    </row>
    <row r="517">
      <c r="D517" s="8"/>
      <c r="E517" s="8"/>
      <c r="F517" s="8"/>
    </row>
    <row r="518">
      <c r="D518" s="8"/>
      <c r="E518" s="8"/>
      <c r="F518" s="8"/>
    </row>
    <row r="519">
      <c r="D519" s="8"/>
      <c r="E519" s="8"/>
      <c r="F519" s="8"/>
    </row>
    <row r="520">
      <c r="D520" s="8"/>
      <c r="E520" s="8"/>
      <c r="F520" s="8"/>
    </row>
    <row r="521">
      <c r="D521" s="8"/>
      <c r="E521" s="8"/>
      <c r="F521" s="8"/>
    </row>
    <row r="522">
      <c r="D522" s="8"/>
      <c r="E522" s="8"/>
      <c r="F522" s="8"/>
    </row>
    <row r="523">
      <c r="D523" s="8"/>
      <c r="E523" s="8"/>
      <c r="F523" s="8"/>
    </row>
    <row r="524">
      <c r="D524" s="8"/>
      <c r="E524" s="8"/>
      <c r="F524" s="8"/>
    </row>
    <row r="525">
      <c r="D525" s="8"/>
      <c r="E525" s="8"/>
      <c r="F525" s="8"/>
    </row>
    <row r="526">
      <c r="D526" s="8"/>
      <c r="E526" s="8"/>
      <c r="F526" s="8"/>
    </row>
    <row r="527">
      <c r="D527" s="8"/>
      <c r="E527" s="8"/>
      <c r="F527" s="8"/>
    </row>
    <row r="528">
      <c r="D528" s="8"/>
      <c r="E528" s="8"/>
      <c r="F528" s="8"/>
    </row>
    <row r="529">
      <c r="D529" s="8"/>
      <c r="E529" s="8"/>
      <c r="F529" s="8"/>
    </row>
    <row r="530">
      <c r="D530" s="8"/>
      <c r="E530" s="8"/>
      <c r="F530" s="8"/>
    </row>
    <row r="531">
      <c r="D531" s="8"/>
      <c r="E531" s="8"/>
      <c r="F531" s="8"/>
    </row>
    <row r="532">
      <c r="D532" s="8"/>
      <c r="E532" s="8"/>
      <c r="F532" s="8"/>
    </row>
    <row r="533">
      <c r="D533" s="8"/>
      <c r="E533" s="8"/>
      <c r="F533" s="8"/>
    </row>
    <row r="534">
      <c r="D534" s="8"/>
      <c r="E534" s="8"/>
      <c r="F534" s="8"/>
    </row>
    <row r="535">
      <c r="D535" s="8"/>
      <c r="E535" s="8"/>
      <c r="F535" s="8"/>
    </row>
    <row r="536">
      <c r="D536" s="8"/>
      <c r="E536" s="8"/>
      <c r="F536" s="8"/>
    </row>
    <row r="537">
      <c r="D537" s="8"/>
      <c r="E537" s="8"/>
      <c r="F537" s="8"/>
    </row>
    <row r="538">
      <c r="D538" s="8"/>
      <c r="E538" s="8"/>
      <c r="F538" s="8"/>
    </row>
    <row r="539">
      <c r="D539" s="8"/>
      <c r="E539" s="8"/>
      <c r="F539" s="8"/>
    </row>
    <row r="540">
      <c r="D540" s="8"/>
      <c r="E540" s="8"/>
      <c r="F540" s="8"/>
    </row>
    <row r="541">
      <c r="D541" s="8"/>
      <c r="E541" s="8"/>
      <c r="F541" s="8"/>
    </row>
    <row r="542">
      <c r="D542" s="8"/>
      <c r="E542" s="8"/>
      <c r="F542" s="8"/>
    </row>
    <row r="543">
      <c r="D543" s="8"/>
      <c r="E543" s="8"/>
      <c r="F543" s="8"/>
    </row>
    <row r="544">
      <c r="D544" s="8"/>
      <c r="E544" s="8"/>
      <c r="F544" s="8"/>
    </row>
    <row r="545">
      <c r="D545" s="8"/>
      <c r="E545" s="8"/>
      <c r="F545" s="8"/>
    </row>
    <row r="546">
      <c r="D546" s="8"/>
      <c r="E546" s="8"/>
      <c r="F546" s="8"/>
    </row>
    <row r="547">
      <c r="D547" s="8"/>
      <c r="E547" s="8"/>
      <c r="F547" s="8"/>
    </row>
    <row r="548">
      <c r="D548" s="8"/>
      <c r="E548" s="8"/>
      <c r="F548" s="8"/>
    </row>
    <row r="549">
      <c r="D549" s="8"/>
      <c r="E549" s="8"/>
      <c r="F549" s="8"/>
    </row>
    <row r="550">
      <c r="D550" s="8"/>
      <c r="E550" s="8"/>
      <c r="F550" s="8"/>
    </row>
    <row r="551">
      <c r="D551" s="8"/>
      <c r="E551" s="8"/>
      <c r="F551" s="8"/>
    </row>
    <row r="552">
      <c r="D552" s="8"/>
      <c r="E552" s="8"/>
      <c r="F552" s="8"/>
    </row>
    <row r="553">
      <c r="D553" s="8"/>
      <c r="E553" s="8"/>
      <c r="F553" s="8"/>
    </row>
    <row r="554">
      <c r="D554" s="8"/>
      <c r="E554" s="8"/>
      <c r="F554" s="8"/>
    </row>
    <row r="555">
      <c r="D555" s="8"/>
      <c r="E555" s="8"/>
      <c r="F555" s="8"/>
    </row>
    <row r="556">
      <c r="D556" s="8"/>
      <c r="E556" s="8"/>
      <c r="F556" s="8"/>
    </row>
    <row r="557">
      <c r="D557" s="8"/>
      <c r="E557" s="8"/>
      <c r="F557" s="8"/>
    </row>
    <row r="558">
      <c r="D558" s="8"/>
      <c r="E558" s="8"/>
      <c r="F558" s="8"/>
    </row>
    <row r="559">
      <c r="D559" s="8"/>
      <c r="E559" s="8"/>
      <c r="F559" s="8"/>
    </row>
    <row r="560">
      <c r="D560" s="8"/>
      <c r="E560" s="8"/>
      <c r="F560" s="8"/>
    </row>
    <row r="561">
      <c r="D561" s="8"/>
      <c r="E561" s="8"/>
      <c r="F561" s="8"/>
    </row>
    <row r="562">
      <c r="D562" s="8"/>
      <c r="E562" s="8"/>
      <c r="F562" s="8"/>
    </row>
    <row r="563">
      <c r="D563" s="8"/>
      <c r="E563" s="8"/>
      <c r="F563" s="8"/>
    </row>
    <row r="564">
      <c r="D564" s="8"/>
      <c r="E564" s="8"/>
      <c r="F564" s="8"/>
    </row>
    <row r="565">
      <c r="D565" s="8"/>
      <c r="E565" s="8"/>
      <c r="F565" s="8"/>
    </row>
    <row r="566">
      <c r="D566" s="8"/>
      <c r="E566" s="8"/>
      <c r="F566" s="8"/>
    </row>
    <row r="567">
      <c r="D567" s="8"/>
      <c r="E567" s="8"/>
      <c r="F567" s="8"/>
    </row>
    <row r="568">
      <c r="D568" s="8"/>
      <c r="E568" s="8"/>
      <c r="F568" s="8"/>
    </row>
    <row r="569">
      <c r="D569" s="8"/>
      <c r="E569" s="8"/>
      <c r="F569" s="8"/>
    </row>
    <row r="570">
      <c r="D570" s="8"/>
      <c r="E570" s="8"/>
      <c r="F570" s="8"/>
    </row>
    <row r="571">
      <c r="D571" s="8"/>
      <c r="E571" s="8"/>
      <c r="F571" s="8"/>
    </row>
    <row r="572">
      <c r="D572" s="8"/>
      <c r="E572" s="8"/>
      <c r="F572" s="8"/>
    </row>
    <row r="573">
      <c r="D573" s="8"/>
      <c r="E573" s="8"/>
      <c r="F573" s="8"/>
    </row>
    <row r="574">
      <c r="D574" s="8"/>
      <c r="E574" s="8"/>
      <c r="F574" s="8"/>
    </row>
    <row r="575">
      <c r="D575" s="8"/>
      <c r="E575" s="8"/>
      <c r="F575" s="8"/>
    </row>
    <row r="576">
      <c r="D576" s="8"/>
      <c r="E576" s="8"/>
      <c r="F576" s="8"/>
    </row>
    <row r="577">
      <c r="D577" s="8"/>
      <c r="E577" s="8"/>
      <c r="F577" s="8"/>
    </row>
    <row r="578">
      <c r="D578" s="8"/>
      <c r="E578" s="8"/>
      <c r="F578" s="8"/>
    </row>
    <row r="579">
      <c r="D579" s="8"/>
      <c r="E579" s="8"/>
      <c r="F579" s="8"/>
    </row>
    <row r="580">
      <c r="D580" s="8"/>
      <c r="E580" s="8"/>
      <c r="F580" s="8"/>
    </row>
    <row r="581">
      <c r="D581" s="8"/>
      <c r="E581" s="8"/>
      <c r="F581" s="8"/>
    </row>
    <row r="582">
      <c r="D582" s="8"/>
      <c r="E582" s="8"/>
      <c r="F582" s="8"/>
    </row>
    <row r="583">
      <c r="D583" s="8"/>
      <c r="E583" s="8"/>
      <c r="F583" s="8"/>
    </row>
    <row r="584">
      <c r="D584" s="8"/>
      <c r="E584" s="8"/>
      <c r="F584" s="8"/>
    </row>
    <row r="585">
      <c r="D585" s="8"/>
      <c r="E585" s="8"/>
      <c r="F585" s="8"/>
    </row>
    <row r="586">
      <c r="D586" s="8"/>
      <c r="E586" s="8"/>
      <c r="F586" s="8"/>
    </row>
    <row r="587">
      <c r="D587" s="8"/>
      <c r="E587" s="8"/>
      <c r="F587" s="8"/>
    </row>
    <row r="588">
      <c r="D588" s="8"/>
      <c r="E588" s="8"/>
      <c r="F588" s="8"/>
    </row>
    <row r="589">
      <c r="D589" s="8"/>
      <c r="E589" s="8"/>
      <c r="F589" s="8"/>
    </row>
    <row r="590">
      <c r="D590" s="8"/>
      <c r="E590" s="8"/>
      <c r="F590" s="8"/>
    </row>
    <row r="591">
      <c r="D591" s="8"/>
      <c r="E591" s="8"/>
      <c r="F591" s="8"/>
    </row>
    <row r="592">
      <c r="D592" s="8"/>
      <c r="E592" s="8"/>
      <c r="F592" s="8"/>
    </row>
    <row r="593">
      <c r="D593" s="8"/>
      <c r="E593" s="8"/>
      <c r="F593" s="8"/>
    </row>
    <row r="594">
      <c r="D594" s="8"/>
      <c r="E594" s="8"/>
      <c r="F594" s="8"/>
    </row>
    <row r="595">
      <c r="D595" s="8"/>
      <c r="E595" s="8"/>
      <c r="F595" s="8"/>
    </row>
    <row r="596">
      <c r="D596" s="8"/>
      <c r="E596" s="8"/>
      <c r="F596" s="8"/>
    </row>
    <row r="597">
      <c r="D597" s="8"/>
      <c r="E597" s="8"/>
      <c r="F597" s="8"/>
    </row>
    <row r="598">
      <c r="D598" s="8"/>
      <c r="E598" s="8"/>
      <c r="F598" s="8"/>
    </row>
    <row r="599">
      <c r="D599" s="8"/>
      <c r="E599" s="8"/>
      <c r="F599" s="8"/>
    </row>
    <row r="600">
      <c r="D600" s="8"/>
      <c r="E600" s="8"/>
      <c r="F600" s="8"/>
    </row>
    <row r="601">
      <c r="D601" s="8"/>
      <c r="E601" s="8"/>
      <c r="F601" s="8"/>
    </row>
    <row r="602">
      <c r="D602" s="8"/>
      <c r="E602" s="8"/>
      <c r="F602" s="8"/>
    </row>
    <row r="603">
      <c r="D603" s="8"/>
      <c r="E603" s="8"/>
      <c r="F603" s="8"/>
    </row>
    <row r="604">
      <c r="D604" s="8"/>
      <c r="E604" s="8"/>
      <c r="F604" s="8"/>
    </row>
    <row r="605">
      <c r="D605" s="8"/>
      <c r="E605" s="8"/>
      <c r="F605" s="8"/>
    </row>
    <row r="606">
      <c r="D606" s="8"/>
      <c r="E606" s="8"/>
      <c r="F606" s="8"/>
    </row>
    <row r="607">
      <c r="D607" s="8"/>
      <c r="E607" s="8"/>
      <c r="F607" s="8"/>
    </row>
    <row r="608">
      <c r="D608" s="8"/>
      <c r="E608" s="8"/>
      <c r="F608" s="8"/>
    </row>
    <row r="609">
      <c r="D609" s="8"/>
      <c r="E609" s="8"/>
      <c r="F609" s="8"/>
    </row>
    <row r="610">
      <c r="D610" s="8"/>
      <c r="E610" s="8"/>
      <c r="F610" s="8"/>
    </row>
    <row r="611">
      <c r="D611" s="8"/>
      <c r="E611" s="8"/>
      <c r="F611" s="8"/>
    </row>
    <row r="612">
      <c r="D612" s="8"/>
      <c r="E612" s="8"/>
      <c r="F612" s="8"/>
    </row>
    <row r="613">
      <c r="D613" s="8"/>
      <c r="E613" s="8"/>
      <c r="F613" s="8"/>
    </row>
    <row r="614">
      <c r="D614" s="8"/>
      <c r="E614" s="8"/>
      <c r="F614" s="8"/>
    </row>
    <row r="615">
      <c r="D615" s="8"/>
      <c r="E615" s="8"/>
      <c r="F615" s="8"/>
    </row>
    <row r="616">
      <c r="D616" s="8"/>
      <c r="E616" s="8"/>
      <c r="F616" s="8"/>
    </row>
    <row r="617">
      <c r="D617" s="8"/>
      <c r="E617" s="8"/>
      <c r="F617" s="8"/>
    </row>
    <row r="618">
      <c r="D618" s="8"/>
      <c r="E618" s="8"/>
      <c r="F618" s="8"/>
    </row>
    <row r="619">
      <c r="D619" s="8"/>
      <c r="E619" s="8"/>
      <c r="F619" s="8"/>
    </row>
    <row r="620">
      <c r="D620" s="8"/>
      <c r="E620" s="8"/>
      <c r="F620" s="8"/>
    </row>
    <row r="621">
      <c r="D621" s="8"/>
      <c r="E621" s="8"/>
      <c r="F621" s="8"/>
    </row>
    <row r="622">
      <c r="D622" s="8"/>
      <c r="E622" s="8"/>
      <c r="F622" s="8"/>
    </row>
    <row r="623">
      <c r="D623" s="8"/>
      <c r="E623" s="8"/>
      <c r="F623" s="8"/>
    </row>
    <row r="624">
      <c r="D624" s="8"/>
      <c r="E624" s="8"/>
      <c r="F624" s="8"/>
    </row>
    <row r="625">
      <c r="D625" s="8"/>
      <c r="E625" s="8"/>
      <c r="F625" s="8"/>
    </row>
    <row r="626">
      <c r="D626" s="8"/>
      <c r="E626" s="8"/>
      <c r="F626" s="8"/>
    </row>
    <row r="627">
      <c r="D627" s="8"/>
      <c r="E627" s="8"/>
      <c r="F627" s="8"/>
    </row>
    <row r="628">
      <c r="D628" s="8"/>
      <c r="E628" s="8"/>
      <c r="F628" s="8"/>
    </row>
    <row r="629">
      <c r="D629" s="8"/>
      <c r="E629" s="8"/>
      <c r="F629" s="8"/>
    </row>
    <row r="630">
      <c r="D630" s="8"/>
      <c r="E630" s="8"/>
      <c r="F630" s="8"/>
    </row>
    <row r="631">
      <c r="D631" s="8"/>
      <c r="E631" s="8"/>
      <c r="F631" s="8"/>
    </row>
    <row r="632">
      <c r="D632" s="8"/>
      <c r="E632" s="8"/>
      <c r="F632" s="8"/>
    </row>
    <row r="633">
      <c r="D633" s="8"/>
      <c r="E633" s="8"/>
      <c r="F633" s="8"/>
    </row>
    <row r="634">
      <c r="D634" s="8"/>
      <c r="E634" s="8"/>
      <c r="F634" s="8"/>
    </row>
    <row r="635">
      <c r="D635" s="8"/>
      <c r="E635" s="8"/>
      <c r="F635" s="8"/>
    </row>
    <row r="636">
      <c r="D636" s="8"/>
      <c r="E636" s="8"/>
      <c r="F636" s="8"/>
    </row>
    <row r="637">
      <c r="D637" s="8"/>
      <c r="E637" s="8"/>
      <c r="F637" s="8"/>
    </row>
    <row r="638">
      <c r="D638" s="8"/>
      <c r="E638" s="8"/>
      <c r="F638" s="8"/>
    </row>
    <row r="639">
      <c r="D639" s="8"/>
      <c r="E639" s="8"/>
      <c r="F639" s="8"/>
    </row>
    <row r="640">
      <c r="D640" s="8"/>
      <c r="E640" s="8"/>
      <c r="F640" s="8"/>
    </row>
    <row r="641">
      <c r="D641" s="8"/>
      <c r="E641" s="8"/>
      <c r="F641" s="8"/>
    </row>
    <row r="642">
      <c r="D642" s="8"/>
      <c r="E642" s="8"/>
      <c r="F642" s="8"/>
    </row>
    <row r="643">
      <c r="D643" s="8"/>
      <c r="E643" s="8"/>
      <c r="F643" s="8"/>
    </row>
    <row r="644">
      <c r="D644" s="8"/>
      <c r="E644" s="8"/>
      <c r="F644" s="8"/>
    </row>
    <row r="645">
      <c r="D645" s="8"/>
      <c r="E645" s="8"/>
      <c r="F645" s="8"/>
    </row>
    <row r="646">
      <c r="D646" s="8"/>
      <c r="E646" s="8"/>
      <c r="F646" s="8"/>
    </row>
    <row r="647">
      <c r="D647" s="8"/>
      <c r="E647" s="8"/>
      <c r="F647" s="8"/>
    </row>
    <row r="648">
      <c r="D648" s="8"/>
      <c r="E648" s="8"/>
      <c r="F648" s="8"/>
    </row>
    <row r="649">
      <c r="D649" s="8"/>
      <c r="E649" s="8"/>
      <c r="F649" s="8"/>
    </row>
    <row r="650">
      <c r="D650" s="8"/>
      <c r="E650" s="8"/>
      <c r="F650" s="8"/>
    </row>
    <row r="651">
      <c r="D651" s="8"/>
      <c r="E651" s="8"/>
      <c r="F651" s="8"/>
    </row>
    <row r="652">
      <c r="D652" s="8"/>
      <c r="E652" s="8"/>
      <c r="F652" s="8"/>
    </row>
    <row r="653">
      <c r="D653" s="8"/>
      <c r="E653" s="8"/>
      <c r="F653" s="8"/>
    </row>
    <row r="654">
      <c r="D654" s="8"/>
      <c r="E654" s="8"/>
      <c r="F654" s="8"/>
    </row>
    <row r="655">
      <c r="D655" s="8"/>
      <c r="E655" s="8"/>
      <c r="F655" s="8"/>
    </row>
    <row r="656">
      <c r="D656" s="8"/>
      <c r="E656" s="8"/>
      <c r="F656" s="8"/>
    </row>
    <row r="657">
      <c r="D657" s="8"/>
      <c r="E657" s="8"/>
      <c r="F657" s="8"/>
    </row>
    <row r="658">
      <c r="D658" s="8"/>
      <c r="E658" s="8"/>
      <c r="F658" s="8"/>
    </row>
    <row r="659">
      <c r="D659" s="8"/>
      <c r="E659" s="8"/>
      <c r="F659" s="8"/>
    </row>
    <row r="660">
      <c r="D660" s="8"/>
      <c r="E660" s="8"/>
      <c r="F660" s="8"/>
    </row>
    <row r="661">
      <c r="D661" s="8"/>
      <c r="E661" s="8"/>
      <c r="F661" s="8"/>
    </row>
    <row r="662">
      <c r="D662" s="8"/>
      <c r="E662" s="8"/>
      <c r="F662" s="8"/>
    </row>
    <row r="663">
      <c r="D663" s="8"/>
      <c r="E663" s="8"/>
      <c r="F663" s="8"/>
    </row>
    <row r="664">
      <c r="D664" s="8"/>
      <c r="E664" s="8"/>
      <c r="F664" s="8"/>
    </row>
    <row r="665">
      <c r="D665" s="8"/>
      <c r="E665" s="8"/>
      <c r="F665" s="8"/>
    </row>
    <row r="666">
      <c r="D666" s="8"/>
      <c r="E666" s="8"/>
      <c r="F666" s="8"/>
    </row>
    <row r="667">
      <c r="D667" s="8"/>
      <c r="E667" s="8"/>
      <c r="F667" s="8"/>
    </row>
    <row r="668">
      <c r="D668" s="8"/>
      <c r="E668" s="8"/>
      <c r="F668" s="8"/>
    </row>
    <row r="669">
      <c r="D669" s="8"/>
      <c r="E669" s="8"/>
      <c r="F669" s="8"/>
    </row>
    <row r="670">
      <c r="D670" s="8"/>
      <c r="E670" s="8"/>
      <c r="F670" s="8"/>
    </row>
    <row r="671">
      <c r="D671" s="8"/>
      <c r="E671" s="8"/>
      <c r="F671" s="8"/>
    </row>
    <row r="672">
      <c r="D672" s="8"/>
      <c r="E672" s="8"/>
      <c r="F672" s="8"/>
    </row>
    <row r="673">
      <c r="D673" s="8"/>
      <c r="E673" s="8"/>
      <c r="F673" s="8"/>
    </row>
    <row r="674">
      <c r="D674" s="8"/>
      <c r="E674" s="8"/>
      <c r="F674" s="8"/>
    </row>
    <row r="675">
      <c r="D675" s="8"/>
      <c r="E675" s="8"/>
      <c r="F675" s="8"/>
    </row>
    <row r="676">
      <c r="D676" s="8"/>
      <c r="E676" s="8"/>
      <c r="F676" s="8"/>
    </row>
    <row r="677">
      <c r="D677" s="8"/>
      <c r="E677" s="8"/>
      <c r="F677" s="8"/>
    </row>
    <row r="678">
      <c r="D678" s="8"/>
      <c r="E678" s="8"/>
      <c r="F678" s="8"/>
    </row>
    <row r="679">
      <c r="D679" s="8"/>
      <c r="E679" s="8"/>
      <c r="F679" s="8"/>
    </row>
    <row r="680">
      <c r="D680" s="8"/>
      <c r="E680" s="8"/>
      <c r="F680" s="8"/>
    </row>
    <row r="681">
      <c r="D681" s="8"/>
      <c r="E681" s="8"/>
      <c r="F681" s="8"/>
    </row>
    <row r="682">
      <c r="D682" s="8"/>
      <c r="E682" s="8"/>
      <c r="F682" s="8"/>
    </row>
    <row r="683">
      <c r="D683" s="8"/>
      <c r="E683" s="8"/>
      <c r="F683" s="8"/>
    </row>
    <row r="684">
      <c r="D684" s="8"/>
      <c r="E684" s="8"/>
      <c r="F684" s="8"/>
    </row>
    <row r="685">
      <c r="D685" s="8"/>
      <c r="E685" s="8"/>
      <c r="F685" s="8"/>
    </row>
    <row r="686">
      <c r="D686" s="8"/>
      <c r="E686" s="8"/>
      <c r="F686" s="8"/>
    </row>
    <row r="687">
      <c r="D687" s="8"/>
      <c r="E687" s="8"/>
      <c r="F687" s="8"/>
    </row>
    <row r="688">
      <c r="D688" s="8"/>
      <c r="E688" s="8"/>
      <c r="F688" s="8"/>
    </row>
    <row r="689">
      <c r="D689" s="8"/>
      <c r="E689" s="8"/>
      <c r="F689" s="8"/>
    </row>
    <row r="690">
      <c r="D690" s="8"/>
      <c r="E690" s="8"/>
      <c r="F690" s="8"/>
    </row>
    <row r="691">
      <c r="D691" s="8"/>
      <c r="E691" s="8"/>
      <c r="F691" s="8"/>
    </row>
    <row r="692">
      <c r="D692" s="8"/>
      <c r="E692" s="8"/>
      <c r="F692" s="8"/>
    </row>
    <row r="693">
      <c r="D693" s="8"/>
      <c r="E693" s="8"/>
      <c r="F693" s="8"/>
    </row>
    <row r="694">
      <c r="D694" s="8"/>
      <c r="E694" s="8"/>
      <c r="F694" s="8"/>
    </row>
    <row r="695">
      <c r="D695" s="8"/>
      <c r="E695" s="8"/>
      <c r="F695" s="8"/>
    </row>
    <row r="696">
      <c r="D696" s="8"/>
      <c r="E696" s="8"/>
      <c r="F696" s="8"/>
    </row>
    <row r="697">
      <c r="D697" s="8"/>
      <c r="E697" s="8"/>
      <c r="F697" s="8"/>
    </row>
    <row r="698">
      <c r="D698" s="8"/>
      <c r="E698" s="8"/>
      <c r="F698" s="8"/>
    </row>
    <row r="699">
      <c r="D699" s="8"/>
      <c r="E699" s="8"/>
      <c r="F699" s="8"/>
    </row>
    <row r="700">
      <c r="D700" s="8"/>
      <c r="E700" s="8"/>
      <c r="F700" s="8"/>
    </row>
    <row r="701">
      <c r="D701" s="8"/>
      <c r="E701" s="8"/>
      <c r="F701" s="8"/>
    </row>
    <row r="702">
      <c r="D702" s="8"/>
      <c r="E702" s="8"/>
      <c r="F702" s="8"/>
    </row>
    <row r="703">
      <c r="D703" s="8"/>
      <c r="E703" s="8"/>
      <c r="F703" s="8"/>
    </row>
    <row r="704">
      <c r="D704" s="8"/>
      <c r="E704" s="8"/>
      <c r="F704" s="8"/>
    </row>
    <row r="705">
      <c r="D705" s="8"/>
      <c r="E705" s="8"/>
      <c r="F705" s="8"/>
    </row>
    <row r="706">
      <c r="D706" s="8"/>
      <c r="E706" s="8"/>
      <c r="F706" s="8"/>
    </row>
    <row r="707">
      <c r="D707" s="8"/>
      <c r="E707" s="8"/>
      <c r="F707" s="8"/>
    </row>
    <row r="708">
      <c r="D708" s="8"/>
      <c r="E708" s="8"/>
      <c r="F708" s="8"/>
    </row>
    <row r="709">
      <c r="D709" s="8"/>
      <c r="E709" s="8"/>
      <c r="F709" s="8"/>
    </row>
    <row r="710">
      <c r="D710" s="8"/>
      <c r="E710" s="8"/>
      <c r="F710" s="8"/>
    </row>
    <row r="711">
      <c r="D711" s="8"/>
      <c r="E711" s="8"/>
      <c r="F711" s="8"/>
    </row>
    <row r="712">
      <c r="D712" s="8"/>
      <c r="E712" s="8"/>
      <c r="F712" s="8"/>
    </row>
    <row r="713">
      <c r="D713" s="8"/>
      <c r="E713" s="8"/>
      <c r="F713" s="8"/>
    </row>
    <row r="714">
      <c r="D714" s="8"/>
      <c r="E714" s="8"/>
      <c r="F714" s="8"/>
    </row>
    <row r="715">
      <c r="D715" s="8"/>
      <c r="E715" s="8"/>
      <c r="F715" s="8"/>
    </row>
    <row r="716">
      <c r="D716" s="8"/>
      <c r="E716" s="8"/>
      <c r="F716" s="8"/>
    </row>
    <row r="717">
      <c r="D717" s="8"/>
      <c r="E717" s="8"/>
      <c r="F717" s="8"/>
    </row>
    <row r="718">
      <c r="D718" s="8"/>
      <c r="E718" s="8"/>
      <c r="F718" s="8"/>
    </row>
    <row r="719">
      <c r="D719" s="8"/>
      <c r="E719" s="8"/>
      <c r="F719" s="8"/>
    </row>
    <row r="720">
      <c r="D720" s="8"/>
      <c r="E720" s="8"/>
      <c r="F720" s="8"/>
    </row>
    <row r="721">
      <c r="D721" s="8"/>
      <c r="E721" s="8"/>
      <c r="F721" s="8"/>
    </row>
    <row r="722">
      <c r="D722" s="8"/>
      <c r="E722" s="8"/>
      <c r="F722" s="8"/>
    </row>
    <row r="723">
      <c r="D723" s="8"/>
      <c r="E723" s="8"/>
      <c r="F723" s="8"/>
    </row>
    <row r="724">
      <c r="D724" s="8"/>
      <c r="E724" s="8"/>
      <c r="F724" s="8"/>
    </row>
    <row r="725">
      <c r="D725" s="8"/>
      <c r="E725" s="8"/>
      <c r="F725" s="8"/>
    </row>
    <row r="726">
      <c r="D726" s="8"/>
      <c r="E726" s="8"/>
      <c r="F726" s="8"/>
    </row>
    <row r="727">
      <c r="D727" s="8"/>
      <c r="E727" s="8"/>
      <c r="F727" s="8"/>
    </row>
    <row r="728">
      <c r="D728" s="8"/>
      <c r="E728" s="8"/>
      <c r="F728" s="8"/>
    </row>
    <row r="729">
      <c r="D729" s="8"/>
      <c r="E729" s="8"/>
      <c r="F729" s="8"/>
    </row>
    <row r="730">
      <c r="D730" s="8"/>
      <c r="E730" s="8"/>
      <c r="F730" s="8"/>
    </row>
    <row r="731">
      <c r="D731" s="8"/>
      <c r="E731" s="8"/>
      <c r="F731" s="8"/>
    </row>
    <row r="732">
      <c r="D732" s="8"/>
      <c r="E732" s="8"/>
      <c r="F732" s="8"/>
    </row>
    <row r="733">
      <c r="D733" s="8"/>
      <c r="E733" s="8"/>
      <c r="F733" s="8"/>
    </row>
    <row r="734">
      <c r="D734" s="8"/>
      <c r="E734" s="8"/>
      <c r="F734" s="8"/>
    </row>
    <row r="735">
      <c r="D735" s="8"/>
      <c r="E735" s="8"/>
      <c r="F735" s="8"/>
    </row>
    <row r="736">
      <c r="D736" s="8"/>
      <c r="E736" s="8"/>
      <c r="F736" s="8"/>
    </row>
    <row r="737">
      <c r="D737" s="8"/>
      <c r="E737" s="8"/>
      <c r="F737" s="8"/>
    </row>
    <row r="738">
      <c r="D738" s="8"/>
      <c r="E738" s="8"/>
      <c r="F738" s="8"/>
    </row>
    <row r="739">
      <c r="D739" s="8"/>
      <c r="E739" s="8"/>
      <c r="F739" s="8"/>
    </row>
    <row r="740">
      <c r="D740" s="8"/>
      <c r="E740" s="8"/>
      <c r="F740" s="8"/>
    </row>
    <row r="741">
      <c r="D741" s="8"/>
      <c r="E741" s="8"/>
      <c r="F741" s="8"/>
    </row>
    <row r="742">
      <c r="D742" s="8"/>
      <c r="E742" s="8"/>
      <c r="F742" s="8"/>
    </row>
    <row r="743">
      <c r="D743" s="8"/>
      <c r="E743" s="8"/>
      <c r="F743" s="8"/>
    </row>
    <row r="744">
      <c r="D744" s="8"/>
      <c r="E744" s="8"/>
      <c r="F744" s="8"/>
    </row>
    <row r="745">
      <c r="D745" s="8"/>
      <c r="E745" s="8"/>
      <c r="F745" s="8"/>
    </row>
    <row r="746">
      <c r="D746" s="8"/>
      <c r="E746" s="8"/>
      <c r="F746" s="8"/>
    </row>
    <row r="747">
      <c r="D747" s="8"/>
      <c r="E747" s="8"/>
      <c r="F747" s="8"/>
    </row>
    <row r="748">
      <c r="D748" s="8"/>
      <c r="E748" s="8"/>
      <c r="F748" s="8"/>
    </row>
    <row r="749">
      <c r="D749" s="8"/>
      <c r="E749" s="8"/>
      <c r="F749" s="8"/>
    </row>
    <row r="750">
      <c r="D750" s="8"/>
      <c r="E750" s="8"/>
      <c r="F750" s="8"/>
    </row>
    <row r="751">
      <c r="D751" s="8"/>
      <c r="E751" s="8"/>
      <c r="F751" s="8"/>
    </row>
    <row r="752">
      <c r="D752" s="8"/>
      <c r="E752" s="8"/>
      <c r="F752" s="8"/>
    </row>
    <row r="753">
      <c r="D753" s="8"/>
      <c r="E753" s="8"/>
      <c r="F753" s="8"/>
    </row>
    <row r="754">
      <c r="D754" s="8"/>
      <c r="E754" s="8"/>
      <c r="F754" s="8"/>
    </row>
    <row r="755">
      <c r="D755" s="8"/>
      <c r="E755" s="8"/>
      <c r="F755" s="8"/>
    </row>
    <row r="756">
      <c r="D756" s="8"/>
      <c r="E756" s="8"/>
      <c r="F756" s="8"/>
    </row>
    <row r="757">
      <c r="D757" s="8"/>
      <c r="E757" s="8"/>
      <c r="F757" s="8"/>
    </row>
    <row r="758">
      <c r="D758" s="8"/>
      <c r="E758" s="8"/>
      <c r="F758" s="8"/>
    </row>
    <row r="759">
      <c r="D759" s="8"/>
      <c r="E759" s="8"/>
      <c r="F759" s="8"/>
    </row>
    <row r="760">
      <c r="D760" s="8"/>
      <c r="E760" s="8"/>
      <c r="F760" s="8"/>
    </row>
    <row r="761">
      <c r="D761" s="8"/>
      <c r="E761" s="8"/>
      <c r="F761" s="8"/>
    </row>
    <row r="762">
      <c r="D762" s="8"/>
      <c r="E762" s="8"/>
      <c r="F762" s="8"/>
    </row>
    <row r="763">
      <c r="D763" s="8"/>
      <c r="E763" s="8"/>
      <c r="F763" s="8"/>
    </row>
    <row r="764">
      <c r="D764" s="8"/>
      <c r="E764" s="8"/>
      <c r="F764" s="8"/>
    </row>
    <row r="765">
      <c r="D765" s="8"/>
      <c r="E765" s="8"/>
      <c r="F765" s="8"/>
    </row>
    <row r="766">
      <c r="D766" s="8"/>
      <c r="E766" s="8"/>
      <c r="F766" s="8"/>
    </row>
    <row r="767">
      <c r="D767" s="8"/>
      <c r="E767" s="8"/>
      <c r="F767" s="8"/>
    </row>
    <row r="768">
      <c r="D768" s="8"/>
      <c r="E768" s="8"/>
      <c r="F768" s="8"/>
    </row>
    <row r="769">
      <c r="D769" s="8"/>
      <c r="E769" s="8"/>
      <c r="F769" s="8"/>
    </row>
    <row r="770">
      <c r="D770" s="8"/>
      <c r="E770" s="8"/>
      <c r="F770" s="8"/>
    </row>
    <row r="771">
      <c r="D771" s="8"/>
      <c r="E771" s="8"/>
      <c r="F771" s="8"/>
    </row>
    <row r="772">
      <c r="D772" s="8"/>
      <c r="E772" s="8"/>
      <c r="F772" s="8"/>
    </row>
    <row r="773">
      <c r="D773" s="8"/>
      <c r="E773" s="8"/>
      <c r="F773" s="8"/>
    </row>
    <row r="774">
      <c r="D774" s="8"/>
      <c r="E774" s="8"/>
      <c r="F774" s="8"/>
    </row>
    <row r="775">
      <c r="D775" s="8"/>
      <c r="E775" s="8"/>
      <c r="F775" s="8"/>
    </row>
    <row r="776">
      <c r="D776" s="8"/>
      <c r="E776" s="8"/>
      <c r="F776" s="8"/>
    </row>
    <row r="777">
      <c r="D777" s="8"/>
      <c r="E777" s="8"/>
      <c r="F777" s="8"/>
    </row>
    <row r="778">
      <c r="D778" s="8"/>
      <c r="E778" s="8"/>
      <c r="F778" s="8"/>
    </row>
    <row r="779">
      <c r="D779" s="8"/>
      <c r="E779" s="8"/>
      <c r="F779" s="8"/>
    </row>
    <row r="780">
      <c r="D780" s="8"/>
      <c r="E780" s="8"/>
      <c r="F780" s="8"/>
    </row>
    <row r="781">
      <c r="D781" s="8"/>
      <c r="E781" s="8"/>
      <c r="F781" s="8"/>
    </row>
    <row r="782">
      <c r="D782" s="8"/>
      <c r="E782" s="8"/>
      <c r="F782" s="8"/>
    </row>
    <row r="783">
      <c r="D783" s="8"/>
      <c r="E783" s="8"/>
      <c r="F783" s="8"/>
    </row>
    <row r="784">
      <c r="D784" s="8"/>
      <c r="E784" s="8"/>
      <c r="F784" s="8"/>
    </row>
    <row r="785">
      <c r="D785" s="8"/>
      <c r="E785" s="8"/>
      <c r="F785" s="8"/>
    </row>
    <row r="786">
      <c r="D786" s="8"/>
      <c r="E786" s="8"/>
      <c r="F786" s="8"/>
    </row>
    <row r="787">
      <c r="D787" s="8"/>
      <c r="E787" s="8"/>
      <c r="F787" s="8"/>
    </row>
    <row r="788">
      <c r="D788" s="8"/>
      <c r="E788" s="8"/>
      <c r="F788" s="8"/>
    </row>
    <row r="789">
      <c r="D789" s="8"/>
      <c r="E789" s="8"/>
      <c r="F789" s="8"/>
    </row>
    <row r="790">
      <c r="D790" s="8"/>
      <c r="E790" s="8"/>
      <c r="F790" s="8"/>
    </row>
    <row r="791">
      <c r="D791" s="8"/>
      <c r="E791" s="8"/>
      <c r="F791" s="8"/>
    </row>
    <row r="792">
      <c r="D792" s="8"/>
      <c r="E792" s="8"/>
      <c r="F792" s="8"/>
    </row>
    <row r="793">
      <c r="D793" s="8"/>
      <c r="E793" s="8"/>
      <c r="F793" s="8"/>
    </row>
    <row r="794">
      <c r="D794" s="8"/>
      <c r="E794" s="8"/>
      <c r="F794" s="8"/>
    </row>
    <row r="795">
      <c r="D795" s="8"/>
      <c r="E795" s="8"/>
      <c r="F795" s="8"/>
    </row>
    <row r="796">
      <c r="D796" s="8"/>
      <c r="E796" s="8"/>
      <c r="F796" s="8"/>
    </row>
    <row r="797">
      <c r="D797" s="8"/>
      <c r="E797" s="8"/>
      <c r="F797" s="8"/>
    </row>
    <row r="798">
      <c r="D798" s="8"/>
      <c r="E798" s="8"/>
      <c r="F798" s="8"/>
    </row>
    <row r="799">
      <c r="D799" s="8"/>
      <c r="E799" s="8"/>
      <c r="F799" s="8"/>
    </row>
    <row r="800">
      <c r="D800" s="8"/>
      <c r="E800" s="8"/>
      <c r="F800" s="8"/>
    </row>
    <row r="801">
      <c r="D801" s="8"/>
      <c r="E801" s="8"/>
      <c r="F801" s="8"/>
    </row>
    <row r="802">
      <c r="D802" s="8"/>
      <c r="E802" s="8"/>
      <c r="F802" s="8"/>
    </row>
    <row r="803">
      <c r="D803" s="8"/>
      <c r="E803" s="8"/>
      <c r="F803" s="8"/>
    </row>
    <row r="804">
      <c r="D804" s="8"/>
      <c r="E804" s="8"/>
      <c r="F804" s="8"/>
    </row>
    <row r="805">
      <c r="D805" s="8"/>
      <c r="E805" s="8"/>
      <c r="F805" s="8"/>
    </row>
    <row r="806">
      <c r="D806" s="8"/>
      <c r="E806" s="8"/>
      <c r="F806" s="8"/>
    </row>
    <row r="807">
      <c r="D807" s="8"/>
      <c r="E807" s="8"/>
      <c r="F807" s="8"/>
    </row>
    <row r="808">
      <c r="D808" s="8"/>
      <c r="E808" s="8"/>
      <c r="F808" s="8"/>
    </row>
    <row r="809">
      <c r="D809" s="8"/>
      <c r="E809" s="8"/>
      <c r="F809" s="8"/>
    </row>
    <row r="810">
      <c r="D810" s="8"/>
      <c r="E810" s="8"/>
      <c r="F810" s="8"/>
    </row>
    <row r="811">
      <c r="D811" s="8"/>
      <c r="E811" s="8"/>
      <c r="F811" s="8"/>
    </row>
    <row r="812">
      <c r="D812" s="8"/>
      <c r="E812" s="8"/>
      <c r="F812" s="8"/>
    </row>
    <row r="813">
      <c r="D813" s="8"/>
      <c r="E813" s="8"/>
      <c r="F813" s="8"/>
    </row>
    <row r="814">
      <c r="D814" s="8"/>
      <c r="E814" s="8"/>
      <c r="F814" s="8"/>
    </row>
    <row r="815">
      <c r="D815" s="8"/>
      <c r="E815" s="8"/>
      <c r="F815" s="8"/>
    </row>
    <row r="816">
      <c r="D816" s="8"/>
      <c r="E816" s="8"/>
      <c r="F816" s="8"/>
    </row>
    <row r="817">
      <c r="D817" s="8"/>
      <c r="E817" s="8"/>
      <c r="F817" s="8"/>
    </row>
    <row r="818">
      <c r="D818" s="8"/>
      <c r="E818" s="8"/>
      <c r="F818" s="8"/>
    </row>
    <row r="819">
      <c r="D819" s="8"/>
      <c r="E819" s="8"/>
      <c r="F819" s="8"/>
    </row>
    <row r="820">
      <c r="D820" s="8"/>
      <c r="E820" s="8"/>
      <c r="F820" s="8"/>
    </row>
    <row r="821">
      <c r="D821" s="8"/>
      <c r="E821" s="8"/>
      <c r="F821" s="8"/>
    </row>
    <row r="822">
      <c r="D822" s="8"/>
      <c r="E822" s="8"/>
      <c r="F822" s="8"/>
    </row>
    <row r="823">
      <c r="D823" s="8"/>
      <c r="E823" s="8"/>
      <c r="F823" s="8"/>
    </row>
    <row r="824">
      <c r="D824" s="8"/>
      <c r="E824" s="8"/>
      <c r="F824" s="8"/>
    </row>
    <row r="825">
      <c r="D825" s="8"/>
      <c r="E825" s="8"/>
      <c r="F825" s="8"/>
    </row>
    <row r="826">
      <c r="D826" s="8"/>
      <c r="E826" s="8"/>
      <c r="F826" s="8"/>
    </row>
    <row r="827">
      <c r="D827" s="8"/>
      <c r="E827" s="8"/>
      <c r="F827" s="8"/>
    </row>
    <row r="828">
      <c r="D828" s="8"/>
      <c r="E828" s="8"/>
      <c r="F828" s="8"/>
    </row>
    <row r="829">
      <c r="D829" s="8"/>
      <c r="E829" s="8"/>
      <c r="F829" s="8"/>
    </row>
    <row r="830">
      <c r="D830" s="8"/>
      <c r="E830" s="8"/>
      <c r="F830" s="8"/>
    </row>
    <row r="831">
      <c r="D831" s="8"/>
      <c r="E831" s="8"/>
      <c r="F831" s="8"/>
    </row>
    <row r="832">
      <c r="D832" s="8"/>
      <c r="E832" s="8"/>
      <c r="F832" s="8"/>
    </row>
    <row r="833">
      <c r="D833" s="8"/>
      <c r="E833" s="8"/>
      <c r="F833" s="8"/>
    </row>
    <row r="834">
      <c r="D834" s="8"/>
      <c r="E834" s="8"/>
      <c r="F834" s="8"/>
    </row>
    <row r="835">
      <c r="D835" s="8"/>
      <c r="E835" s="8"/>
      <c r="F835" s="8"/>
    </row>
    <row r="836">
      <c r="D836" s="8"/>
      <c r="E836" s="8"/>
      <c r="F836" s="8"/>
    </row>
    <row r="837">
      <c r="D837" s="8"/>
      <c r="E837" s="8"/>
      <c r="F837" s="8"/>
    </row>
    <row r="838">
      <c r="D838" s="8"/>
      <c r="E838" s="8"/>
      <c r="F838" s="8"/>
    </row>
    <row r="839">
      <c r="D839" s="8"/>
      <c r="E839" s="8"/>
      <c r="F839" s="8"/>
    </row>
    <row r="840">
      <c r="D840" s="8"/>
      <c r="E840" s="8"/>
      <c r="F840" s="8"/>
    </row>
    <row r="841">
      <c r="D841" s="8"/>
      <c r="E841" s="8"/>
      <c r="F841" s="8"/>
    </row>
    <row r="842">
      <c r="D842" s="8"/>
      <c r="E842" s="8"/>
      <c r="F842" s="8"/>
    </row>
    <row r="843">
      <c r="D843" s="8"/>
      <c r="E843" s="8"/>
      <c r="F843" s="8"/>
    </row>
    <row r="844">
      <c r="D844" s="8"/>
      <c r="E844" s="8"/>
      <c r="F844" s="8"/>
    </row>
    <row r="845">
      <c r="D845" s="8"/>
      <c r="E845" s="8"/>
      <c r="F845" s="8"/>
    </row>
    <row r="846">
      <c r="D846" s="8"/>
      <c r="E846" s="8"/>
      <c r="F846" s="8"/>
    </row>
    <row r="847">
      <c r="D847" s="8"/>
      <c r="E847" s="8"/>
      <c r="F847" s="8"/>
    </row>
    <row r="848">
      <c r="D848" s="8"/>
      <c r="E848" s="8"/>
      <c r="F848" s="8"/>
    </row>
    <row r="849">
      <c r="D849" s="8"/>
      <c r="E849" s="8"/>
      <c r="F849" s="8"/>
    </row>
    <row r="850">
      <c r="D850" s="8"/>
      <c r="E850" s="8"/>
      <c r="F850" s="8"/>
    </row>
    <row r="851">
      <c r="D851" s="8"/>
      <c r="E851" s="8"/>
      <c r="F851" s="8"/>
    </row>
    <row r="852">
      <c r="D852" s="8"/>
      <c r="E852" s="8"/>
      <c r="F852" s="8"/>
    </row>
    <row r="853">
      <c r="D853" s="8"/>
      <c r="E853" s="8"/>
      <c r="F853" s="8"/>
    </row>
    <row r="854">
      <c r="D854" s="8"/>
      <c r="E854" s="8"/>
      <c r="F854" s="8"/>
    </row>
    <row r="855">
      <c r="D855" s="8"/>
      <c r="E855" s="8"/>
      <c r="F855" s="8"/>
    </row>
    <row r="856">
      <c r="D856" s="8"/>
      <c r="E856" s="8"/>
      <c r="F856" s="8"/>
    </row>
    <row r="857">
      <c r="D857" s="8"/>
      <c r="E857" s="8"/>
      <c r="F857" s="8"/>
    </row>
    <row r="858">
      <c r="D858" s="8"/>
      <c r="E858" s="8"/>
      <c r="F858" s="8"/>
    </row>
    <row r="859">
      <c r="D859" s="8"/>
      <c r="E859" s="8"/>
      <c r="F859" s="8"/>
    </row>
    <row r="860">
      <c r="D860" s="8"/>
      <c r="E860" s="8"/>
      <c r="F860" s="8"/>
    </row>
    <row r="861">
      <c r="D861" s="8"/>
      <c r="E861" s="8"/>
      <c r="F861" s="8"/>
    </row>
    <row r="862">
      <c r="D862" s="8"/>
      <c r="E862" s="8"/>
      <c r="F862" s="8"/>
    </row>
    <row r="863">
      <c r="D863" s="8"/>
      <c r="E863" s="8"/>
      <c r="F863" s="8"/>
    </row>
    <row r="864">
      <c r="D864" s="8"/>
      <c r="E864" s="8"/>
      <c r="F864" s="8"/>
    </row>
    <row r="865">
      <c r="D865" s="8"/>
      <c r="E865" s="8"/>
      <c r="F865" s="8"/>
    </row>
    <row r="866">
      <c r="D866" s="8"/>
      <c r="E866" s="8"/>
      <c r="F866" s="8"/>
    </row>
    <row r="867">
      <c r="D867" s="8"/>
      <c r="E867" s="8"/>
      <c r="F867" s="8"/>
    </row>
    <row r="868">
      <c r="D868" s="8"/>
      <c r="E868" s="8"/>
      <c r="F868" s="8"/>
    </row>
    <row r="869">
      <c r="D869" s="8"/>
      <c r="E869" s="8"/>
      <c r="F869" s="8"/>
    </row>
    <row r="870">
      <c r="D870" s="8"/>
      <c r="E870" s="8"/>
      <c r="F870" s="8"/>
    </row>
    <row r="871">
      <c r="D871" s="8"/>
      <c r="E871" s="8"/>
      <c r="F871" s="8"/>
    </row>
    <row r="872">
      <c r="D872" s="8"/>
      <c r="E872" s="8"/>
      <c r="F872" s="8"/>
    </row>
    <row r="873">
      <c r="D873" s="8"/>
      <c r="E873" s="8"/>
      <c r="F873" s="8"/>
    </row>
    <row r="874">
      <c r="D874" s="8"/>
      <c r="E874" s="8"/>
      <c r="F874" s="8"/>
    </row>
    <row r="875">
      <c r="D875" s="8"/>
      <c r="E875" s="8"/>
      <c r="F875" s="8"/>
    </row>
    <row r="876">
      <c r="D876" s="8"/>
      <c r="E876" s="8"/>
      <c r="F876" s="8"/>
    </row>
    <row r="877">
      <c r="D877" s="8"/>
      <c r="E877" s="8"/>
      <c r="F877" s="8"/>
    </row>
    <row r="878">
      <c r="D878" s="8"/>
      <c r="E878" s="8"/>
      <c r="F878" s="8"/>
    </row>
    <row r="879">
      <c r="D879" s="8"/>
      <c r="E879" s="8"/>
      <c r="F879" s="8"/>
    </row>
    <row r="880">
      <c r="D880" s="8"/>
      <c r="E880" s="8"/>
      <c r="F880" s="8"/>
    </row>
    <row r="881">
      <c r="D881" s="8"/>
      <c r="E881" s="8"/>
      <c r="F881" s="8"/>
    </row>
    <row r="882">
      <c r="D882" s="8"/>
      <c r="E882" s="8"/>
      <c r="F882" s="8"/>
    </row>
    <row r="883">
      <c r="D883" s="8"/>
      <c r="E883" s="8"/>
      <c r="F883" s="8"/>
    </row>
    <row r="884">
      <c r="D884" s="8"/>
      <c r="E884" s="8"/>
      <c r="F884" s="8"/>
    </row>
    <row r="885">
      <c r="D885" s="8"/>
      <c r="E885" s="8"/>
      <c r="F885" s="8"/>
    </row>
    <row r="886">
      <c r="D886" s="8"/>
      <c r="E886" s="8"/>
      <c r="F886" s="8"/>
    </row>
    <row r="887">
      <c r="D887" s="8"/>
      <c r="E887" s="8"/>
      <c r="F887" s="8"/>
    </row>
    <row r="888">
      <c r="D888" s="8"/>
      <c r="E888" s="8"/>
      <c r="F888" s="8"/>
    </row>
    <row r="889">
      <c r="D889" s="8"/>
      <c r="E889" s="8"/>
      <c r="F889" s="8"/>
    </row>
    <row r="890">
      <c r="D890" s="8"/>
      <c r="E890" s="8"/>
      <c r="F890" s="8"/>
    </row>
    <row r="891">
      <c r="D891" s="8"/>
      <c r="E891" s="8"/>
      <c r="F891" s="8"/>
    </row>
    <row r="892">
      <c r="D892" s="8"/>
      <c r="E892" s="8"/>
      <c r="F892" s="8"/>
    </row>
    <row r="893">
      <c r="D893" s="8"/>
      <c r="E893" s="8"/>
      <c r="F893" s="8"/>
    </row>
    <row r="894">
      <c r="D894" s="8"/>
      <c r="E894" s="8"/>
      <c r="F894" s="8"/>
    </row>
    <row r="895">
      <c r="D895" s="8"/>
      <c r="E895" s="8"/>
      <c r="F895" s="8"/>
    </row>
    <row r="896">
      <c r="D896" s="8"/>
      <c r="E896" s="8"/>
      <c r="F896" s="8"/>
    </row>
    <row r="897">
      <c r="D897" s="8"/>
      <c r="E897" s="8"/>
      <c r="F897" s="8"/>
    </row>
    <row r="898">
      <c r="D898" s="8"/>
      <c r="E898" s="8"/>
      <c r="F898" s="8"/>
    </row>
    <row r="899">
      <c r="D899" s="8"/>
      <c r="E899" s="8"/>
      <c r="F899" s="8"/>
    </row>
    <row r="900">
      <c r="D900" s="8"/>
      <c r="E900" s="8"/>
      <c r="F900" s="8"/>
    </row>
    <row r="901">
      <c r="D901" s="8"/>
      <c r="E901" s="8"/>
      <c r="F901" s="8"/>
    </row>
    <row r="902">
      <c r="D902" s="8"/>
      <c r="E902" s="8"/>
      <c r="F902" s="8"/>
    </row>
    <row r="903">
      <c r="D903" s="8"/>
      <c r="E903" s="8"/>
      <c r="F903" s="8"/>
    </row>
    <row r="904">
      <c r="D904" s="8"/>
      <c r="E904" s="8"/>
      <c r="F904" s="8"/>
    </row>
    <row r="905">
      <c r="D905" s="8"/>
      <c r="E905" s="8"/>
      <c r="F905" s="8"/>
    </row>
    <row r="906">
      <c r="D906" s="8"/>
      <c r="E906" s="8"/>
      <c r="F906" s="8"/>
    </row>
    <row r="907">
      <c r="D907" s="8"/>
      <c r="E907" s="8"/>
      <c r="F907" s="8"/>
    </row>
    <row r="908">
      <c r="D908" s="8"/>
      <c r="E908" s="8"/>
      <c r="F908" s="8"/>
    </row>
    <row r="909">
      <c r="D909" s="8"/>
      <c r="E909" s="8"/>
      <c r="F909" s="8"/>
    </row>
    <row r="910">
      <c r="D910" s="8"/>
      <c r="E910" s="8"/>
      <c r="F910" s="8"/>
    </row>
    <row r="911">
      <c r="D911" s="8"/>
      <c r="E911" s="8"/>
      <c r="F911" s="8"/>
    </row>
    <row r="912">
      <c r="D912" s="8"/>
      <c r="E912" s="8"/>
      <c r="F912" s="8"/>
    </row>
    <row r="913">
      <c r="D913" s="8"/>
      <c r="E913" s="8"/>
      <c r="F913" s="8"/>
    </row>
    <row r="914">
      <c r="D914" s="8"/>
      <c r="E914" s="8"/>
      <c r="F914" s="8"/>
    </row>
    <row r="915">
      <c r="D915" s="8"/>
      <c r="E915" s="8"/>
      <c r="F915" s="8"/>
    </row>
    <row r="916">
      <c r="D916" s="8"/>
      <c r="E916" s="8"/>
      <c r="F916" s="8"/>
    </row>
    <row r="917">
      <c r="D917" s="8"/>
      <c r="E917" s="8"/>
      <c r="F917" s="8"/>
    </row>
    <row r="918">
      <c r="D918" s="8"/>
      <c r="E918" s="8"/>
      <c r="F918" s="8"/>
    </row>
    <row r="919">
      <c r="D919" s="8"/>
      <c r="E919" s="8"/>
      <c r="F919" s="8"/>
    </row>
    <row r="920">
      <c r="D920" s="8"/>
      <c r="E920" s="8"/>
      <c r="F920" s="8"/>
    </row>
    <row r="921">
      <c r="D921" s="8"/>
      <c r="E921" s="8"/>
      <c r="F921" s="8"/>
    </row>
    <row r="922">
      <c r="D922" s="8"/>
      <c r="E922" s="8"/>
      <c r="F922" s="8"/>
    </row>
    <row r="923">
      <c r="D923" s="8"/>
      <c r="E923" s="8"/>
      <c r="F923" s="8"/>
    </row>
    <row r="924">
      <c r="D924" s="8"/>
      <c r="E924" s="8"/>
      <c r="F924" s="8"/>
    </row>
    <row r="925">
      <c r="D925" s="8"/>
      <c r="E925" s="8"/>
      <c r="F925" s="8"/>
    </row>
    <row r="926">
      <c r="D926" s="8"/>
      <c r="E926" s="8"/>
      <c r="F926" s="8"/>
    </row>
    <row r="927">
      <c r="D927" s="8"/>
      <c r="E927" s="8"/>
      <c r="F927" s="8"/>
    </row>
    <row r="928">
      <c r="D928" s="8"/>
      <c r="E928" s="8"/>
      <c r="F928" s="8"/>
    </row>
    <row r="929">
      <c r="D929" s="8"/>
      <c r="E929" s="8"/>
      <c r="F929" s="8"/>
    </row>
    <row r="930">
      <c r="D930" s="8"/>
      <c r="E930" s="8"/>
      <c r="F930" s="8"/>
    </row>
    <row r="931">
      <c r="D931" s="8"/>
      <c r="E931" s="8"/>
      <c r="F931" s="8"/>
    </row>
    <row r="932">
      <c r="D932" s="8"/>
      <c r="E932" s="8"/>
      <c r="F932" s="8"/>
    </row>
    <row r="933">
      <c r="D933" s="8"/>
      <c r="E933" s="8"/>
      <c r="F933" s="8"/>
    </row>
    <row r="934">
      <c r="D934" s="8"/>
      <c r="E934" s="8"/>
      <c r="F934" s="8"/>
    </row>
    <row r="935">
      <c r="D935" s="8"/>
      <c r="E935" s="8"/>
      <c r="F935" s="8"/>
    </row>
    <row r="936">
      <c r="D936" s="8"/>
      <c r="E936" s="8"/>
      <c r="F936" s="8"/>
    </row>
    <row r="937">
      <c r="D937" s="8"/>
      <c r="E937" s="8"/>
      <c r="F937" s="8"/>
    </row>
    <row r="938">
      <c r="D938" s="8"/>
      <c r="E938" s="8"/>
      <c r="F938" s="8"/>
    </row>
    <row r="939">
      <c r="D939" s="8"/>
      <c r="E939" s="8"/>
      <c r="F939" s="8"/>
    </row>
    <row r="940">
      <c r="D940" s="8"/>
      <c r="E940" s="8"/>
      <c r="F940" s="8"/>
    </row>
    <row r="941">
      <c r="D941" s="8"/>
      <c r="E941" s="8"/>
      <c r="F941" s="8"/>
    </row>
    <row r="942">
      <c r="D942" s="8"/>
      <c r="E942" s="8"/>
      <c r="F942" s="8"/>
    </row>
    <row r="943">
      <c r="D943" s="8"/>
      <c r="E943" s="8"/>
      <c r="F943" s="8"/>
    </row>
    <row r="944">
      <c r="D944" s="8"/>
      <c r="E944" s="8"/>
      <c r="F944" s="8"/>
    </row>
    <row r="945">
      <c r="D945" s="8"/>
      <c r="E945" s="8"/>
      <c r="F945" s="8"/>
    </row>
    <row r="946">
      <c r="D946" s="8"/>
      <c r="E946" s="8"/>
      <c r="F946" s="8"/>
    </row>
    <row r="947">
      <c r="D947" s="8"/>
      <c r="E947" s="8"/>
      <c r="F947" s="8"/>
    </row>
    <row r="948">
      <c r="D948" s="8"/>
      <c r="E948" s="8"/>
      <c r="F948" s="8"/>
    </row>
    <row r="949">
      <c r="D949" s="8"/>
      <c r="E949" s="8"/>
      <c r="F949" s="8"/>
    </row>
    <row r="950">
      <c r="D950" s="8"/>
      <c r="E950" s="8"/>
      <c r="F950" s="8"/>
    </row>
    <row r="951">
      <c r="D951" s="8"/>
      <c r="E951" s="8"/>
      <c r="F951" s="8"/>
    </row>
    <row r="952">
      <c r="D952" s="8"/>
      <c r="E952" s="8"/>
      <c r="F952" s="8"/>
    </row>
    <row r="953">
      <c r="D953" s="8"/>
      <c r="E953" s="8"/>
      <c r="F953" s="8"/>
    </row>
    <row r="954">
      <c r="D954" s="8"/>
      <c r="E954" s="8"/>
      <c r="F954" s="8"/>
    </row>
    <row r="955">
      <c r="D955" s="8"/>
      <c r="E955" s="8"/>
      <c r="F955" s="8"/>
    </row>
    <row r="956">
      <c r="D956" s="8"/>
      <c r="E956" s="8"/>
      <c r="F956" s="8"/>
    </row>
    <row r="957">
      <c r="D957" s="8"/>
      <c r="E957" s="8"/>
      <c r="F957" s="8"/>
    </row>
    <row r="958">
      <c r="D958" s="8"/>
      <c r="E958" s="8"/>
      <c r="F958" s="8"/>
    </row>
    <row r="959">
      <c r="D959" s="8"/>
      <c r="E959" s="8"/>
      <c r="F959" s="8"/>
    </row>
    <row r="960">
      <c r="D960" s="8"/>
      <c r="E960" s="8"/>
      <c r="F960" s="8"/>
    </row>
    <row r="961">
      <c r="D961" s="8"/>
      <c r="E961" s="8"/>
      <c r="F961" s="8"/>
    </row>
    <row r="962">
      <c r="D962" s="8"/>
      <c r="E962" s="8"/>
      <c r="F962" s="8"/>
    </row>
    <row r="963">
      <c r="D963" s="8"/>
      <c r="E963" s="8"/>
      <c r="F963" s="8"/>
    </row>
    <row r="964">
      <c r="D964" s="8"/>
      <c r="E964" s="8"/>
      <c r="F964" s="8"/>
    </row>
    <row r="965">
      <c r="D965" s="8"/>
      <c r="E965" s="8"/>
      <c r="F965" s="8"/>
    </row>
    <row r="966">
      <c r="D966" s="8"/>
      <c r="E966" s="8"/>
      <c r="F966" s="8"/>
    </row>
    <row r="967">
      <c r="D967" s="8"/>
      <c r="E967" s="8"/>
      <c r="F967" s="8"/>
    </row>
    <row r="968">
      <c r="D968" s="8"/>
      <c r="E968" s="8"/>
      <c r="F968" s="8"/>
    </row>
    <row r="969">
      <c r="D969" s="8"/>
      <c r="E969" s="8"/>
      <c r="F969" s="8"/>
    </row>
    <row r="970">
      <c r="D970" s="8"/>
      <c r="E970" s="8"/>
      <c r="F970" s="8"/>
    </row>
    <row r="971">
      <c r="D971" s="8"/>
      <c r="E971" s="8"/>
      <c r="F971" s="8"/>
    </row>
    <row r="972">
      <c r="D972" s="8"/>
      <c r="E972" s="8"/>
      <c r="F972" s="8"/>
    </row>
    <row r="973">
      <c r="D973" s="8"/>
      <c r="E973" s="8"/>
      <c r="F973" s="8"/>
    </row>
    <row r="974">
      <c r="D974" s="8"/>
      <c r="E974" s="8"/>
      <c r="F974" s="8"/>
    </row>
    <row r="975">
      <c r="D975" s="8"/>
      <c r="E975" s="8"/>
      <c r="F975" s="8"/>
    </row>
    <row r="976">
      <c r="D976" s="8"/>
      <c r="E976" s="8"/>
      <c r="F976" s="8"/>
    </row>
    <row r="977">
      <c r="D977" s="8"/>
      <c r="E977" s="8"/>
      <c r="F977" s="8"/>
    </row>
    <row r="978">
      <c r="D978" s="8"/>
      <c r="E978" s="8"/>
      <c r="F978" s="8"/>
    </row>
    <row r="979">
      <c r="D979" s="8"/>
      <c r="E979" s="8"/>
      <c r="F979" s="8"/>
    </row>
    <row r="980">
      <c r="D980" s="8"/>
      <c r="E980" s="8"/>
      <c r="F980" s="8"/>
    </row>
    <row r="981">
      <c r="D981" s="8"/>
      <c r="E981" s="8"/>
      <c r="F981" s="8"/>
    </row>
    <row r="982">
      <c r="D982" s="8"/>
      <c r="E982" s="8"/>
      <c r="F982" s="8"/>
    </row>
    <row r="983">
      <c r="D983" s="8"/>
      <c r="E983" s="8"/>
      <c r="F983" s="8"/>
    </row>
    <row r="984">
      <c r="D984" s="8"/>
      <c r="E984" s="8"/>
      <c r="F984" s="8"/>
    </row>
    <row r="985">
      <c r="D985" s="8"/>
      <c r="E985" s="8"/>
      <c r="F985" s="8"/>
    </row>
    <row r="986">
      <c r="D986" s="8"/>
      <c r="E986" s="8"/>
      <c r="F986" s="8"/>
    </row>
    <row r="987">
      <c r="D987" s="8"/>
      <c r="E987" s="8"/>
      <c r="F987" s="8"/>
    </row>
    <row r="988">
      <c r="D988" s="8"/>
      <c r="E988" s="8"/>
      <c r="F988" s="8"/>
    </row>
    <row r="989">
      <c r="D989" s="8"/>
      <c r="E989" s="8"/>
      <c r="F989" s="8"/>
    </row>
    <row r="990">
      <c r="D990" s="8"/>
      <c r="E990" s="8"/>
      <c r="F990" s="8"/>
    </row>
    <row r="991">
      <c r="D991" s="8"/>
      <c r="E991" s="8"/>
      <c r="F991" s="8"/>
    </row>
    <row r="992">
      <c r="D992" s="8"/>
      <c r="E992" s="8"/>
      <c r="F992" s="8"/>
    </row>
    <row r="993">
      <c r="D993" s="8"/>
      <c r="E993" s="8"/>
      <c r="F993" s="8"/>
    </row>
    <row r="994">
      <c r="D994" s="8"/>
      <c r="E994" s="8"/>
      <c r="F994" s="8"/>
    </row>
    <row r="995">
      <c r="D995" s="8"/>
      <c r="E995" s="8"/>
      <c r="F995" s="8"/>
    </row>
    <row r="996">
      <c r="D996" s="8"/>
      <c r="E996" s="8"/>
      <c r="F996" s="8"/>
    </row>
    <row r="997">
      <c r="D997" s="8"/>
      <c r="E997" s="8"/>
      <c r="F997" s="8"/>
    </row>
    <row r="998">
      <c r="D998" s="8"/>
      <c r="E998" s="8"/>
      <c r="F998" s="8"/>
    </row>
    <row r="999">
      <c r="D999" s="8"/>
      <c r="E999" s="8"/>
      <c r="F999" s="8"/>
    </row>
    <row r="1000">
      <c r="D1000" s="8"/>
      <c r="E1000" s="8"/>
      <c r="F1000" s="8"/>
    </row>
    <row r="1001">
      <c r="D1001" s="8"/>
      <c r="E1001" s="8"/>
      <c r="F1001" s="8"/>
    </row>
    <row r="1002">
      <c r="D1002" s="8"/>
      <c r="E1002" s="8"/>
      <c r="F1002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7.78"/>
    <col customWidth="1" min="2" max="2" width="19.44"/>
    <col customWidth="1" min="3" max="3" width="10.89"/>
    <col customWidth="1" min="4" max="5" width="11.0"/>
    <col customWidth="1" min="6" max="6" width="13.22"/>
    <col customWidth="1" min="7" max="7" width="12.11"/>
    <col customWidth="1" min="8" max="8" width="17.11"/>
    <col customWidth="1" min="9" max="9" width="20.0"/>
    <col customWidth="1" min="10" max="10" width="9.11"/>
    <col customWidth="1" min="11" max="11" width="11.67"/>
    <col customWidth="1" min="12" max="12" width="13.67"/>
    <col customWidth="1" min="13" max="13" width="12.44"/>
    <col customWidth="1" min="14" max="14" width="55.44"/>
    <col customWidth="1" hidden="1" min="15" max="15" width="10.0"/>
    <col customWidth="1" hidden="1" min="16" max="16" width="14.11"/>
    <col customWidth="1" min="17" max="17" width="13.67"/>
    <col customWidth="1" min="18" max="18" width="12.11"/>
    <col customWidth="1" min="19" max="19" width="50.0"/>
    <col customWidth="1" min="20" max="20" width="14.78"/>
    <col customWidth="1" min="21" max="21" width="24.67"/>
    <col customWidth="1" min="22" max="22" width="34.67"/>
    <col customWidth="1" min="23" max="23" width="37.33"/>
    <col customWidth="1" min="24" max="25" width="18.0"/>
    <col customWidth="1" min="26" max="27" width="10.56"/>
  </cols>
  <sheetData>
    <row r="1" ht="15.75" customHeight="1">
      <c r="A1" s="1" t="s">
        <v>0</v>
      </c>
      <c r="B1" s="2" t="s">
        <v>1</v>
      </c>
      <c r="C1" s="3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</row>
    <row r="2" ht="15.75" customHeight="1">
      <c r="A2" s="5" t="str">
        <f>HYPERLINK("https://portal.hubmapconsortium.org/browse/sample/66bd96bcb1ed56acb430f7ad0e5ae1bb", "HBM234.DFCZ.923")</f>
        <v>HBM234.DFCZ.923</v>
      </c>
      <c r="C2" s="7" t="s">
        <v>24</v>
      </c>
      <c r="D2" s="7" t="s">
        <v>25</v>
      </c>
      <c r="E2" s="7">
        <v>9.0</v>
      </c>
      <c r="F2" s="7" t="s">
        <v>26</v>
      </c>
      <c r="G2" s="5" t="b">
        <v>0</v>
      </c>
      <c r="H2" s="5" t="str">
        <f>HYPERLINK("https://portal.hubmapconsortium.org/browse/sample/95e661b6148f0eb7dc29eb519de1e934", "HBM348.BSHQ.569")</f>
        <v>HBM348.BSHQ.569</v>
      </c>
      <c r="I2" s="7" t="s">
        <v>27</v>
      </c>
      <c r="K2" s="7">
        <v>16.0</v>
      </c>
      <c r="L2" s="7">
        <v>4.0</v>
      </c>
      <c r="M2" s="7">
        <v>4.0</v>
      </c>
      <c r="O2" s="7" t="s">
        <v>28</v>
      </c>
      <c r="P2" s="7" t="s">
        <v>29</v>
      </c>
      <c r="Q2" s="7" t="s">
        <v>30</v>
      </c>
      <c r="R2" s="5" t="b">
        <v>0</v>
      </c>
      <c r="S2" s="5" t="s">
        <v>31</v>
      </c>
      <c r="T2" s="7" t="s">
        <v>32</v>
      </c>
      <c r="U2" s="7" t="s">
        <v>33</v>
      </c>
      <c r="V2" s="7" t="s">
        <v>34</v>
      </c>
      <c r="W2" s="7" t="s">
        <v>35</v>
      </c>
      <c r="X2" s="9">
        <v>45460.73728740741</v>
      </c>
      <c r="Y2" s="9">
        <v>45460.73728740741</v>
      </c>
    </row>
    <row r="3" ht="15.75" customHeight="1">
      <c r="A3" s="5" t="str">
        <f>HYPERLINK("https://portal.hubmapconsortium.org/browse/sample/ef5e2aac8cab431cc6f5731acf78e8ce", "HBM893.HVBT.597")</f>
        <v>HBM893.HVBT.597</v>
      </c>
      <c r="B3" s="10">
        <v>1.0</v>
      </c>
      <c r="C3" s="7" t="s">
        <v>36</v>
      </c>
      <c r="D3" s="7" t="s">
        <v>37</v>
      </c>
      <c r="E3" s="7">
        <v>1.6</v>
      </c>
      <c r="F3" s="7" t="s">
        <v>38</v>
      </c>
      <c r="G3" s="5" t="b">
        <v>1</v>
      </c>
      <c r="H3" s="5" t="str">
        <f>HYPERLINK("https://portal.hubmapconsortium.org/browse/sample/9d944eb8a61bf85f70762ae3f2b0e22e", "HBM297.BWFF.894")</f>
        <v>HBM297.BWFF.894</v>
      </c>
      <c r="I3" s="7" t="s">
        <v>39</v>
      </c>
      <c r="J3" s="10" t="s">
        <v>40</v>
      </c>
      <c r="N3" s="7" t="s">
        <v>41</v>
      </c>
      <c r="O3" s="7" t="s">
        <v>28</v>
      </c>
      <c r="P3" s="7" t="s">
        <v>29</v>
      </c>
      <c r="Q3" s="7" t="s">
        <v>30</v>
      </c>
      <c r="R3" s="5" t="b">
        <v>1</v>
      </c>
      <c r="S3" s="5" t="s">
        <v>42</v>
      </c>
      <c r="T3" s="7" t="s">
        <v>32</v>
      </c>
      <c r="U3" s="7" t="s">
        <v>33</v>
      </c>
      <c r="V3" s="7" t="s">
        <v>34</v>
      </c>
      <c r="W3" s="7" t="s">
        <v>35</v>
      </c>
      <c r="X3" s="9">
        <v>45358.85031174769</v>
      </c>
      <c r="Y3" s="9">
        <v>45559.77723917824</v>
      </c>
    </row>
    <row r="4" ht="15.75" customHeight="1">
      <c r="A4" s="11" t="str">
        <f>HYPERLINK("https://portal.hubmapconsortium.org/browse/sample/d6122c03657e85960ed82b3f4a2d1dc0", "HBM674.ZLGD.632")</f>
        <v>HBM674.ZLGD.632</v>
      </c>
      <c r="B4" s="13"/>
      <c r="C4" s="13" t="s">
        <v>43</v>
      </c>
      <c r="D4" s="13" t="s">
        <v>37</v>
      </c>
      <c r="E4" s="13" t="s">
        <v>44</v>
      </c>
      <c r="F4" s="13" t="s">
        <v>45</v>
      </c>
      <c r="G4" s="11" t="b">
        <v>0</v>
      </c>
      <c r="H4" s="11" t="str">
        <f>HYPERLINK("https://portal.hubmapconsortium.org/browse/sample/671fe5ae8fd5aac945d1d9260a0a89d2", "HBM524.PSGH.765")</f>
        <v>HBM524.PSGH.765</v>
      </c>
      <c r="I4" s="13" t="s">
        <v>46</v>
      </c>
      <c r="J4" s="13"/>
      <c r="K4" s="13" t="s">
        <v>47</v>
      </c>
      <c r="L4" s="13"/>
      <c r="M4" s="13"/>
      <c r="N4" s="13" t="s">
        <v>48</v>
      </c>
      <c r="O4" s="13" t="s">
        <v>28</v>
      </c>
      <c r="P4" s="13" t="s">
        <v>29</v>
      </c>
      <c r="Q4" s="13" t="s">
        <v>30</v>
      </c>
      <c r="R4" s="11" t="b">
        <v>0</v>
      </c>
      <c r="S4" s="11" t="s">
        <v>31</v>
      </c>
      <c r="T4" s="13" t="s">
        <v>49</v>
      </c>
      <c r="U4" s="13" t="s">
        <v>50</v>
      </c>
      <c r="V4" s="13" t="s">
        <v>51</v>
      </c>
      <c r="W4" s="13" t="s">
        <v>35</v>
      </c>
      <c r="X4" s="14">
        <v>45848.84132299769</v>
      </c>
      <c r="Y4" s="14">
        <v>45848.84132299769</v>
      </c>
      <c r="Z4" s="13"/>
      <c r="AA4" s="13"/>
    </row>
    <row r="5" ht="15.75" customHeight="1">
      <c r="A5" s="5" t="str">
        <f>HYPERLINK("https://portal.hubmapconsortium.org/browse/sample/d9114a4d41165f469ee00466b62a49a2", "HBM856.BCHD.866")</f>
        <v>HBM856.BCHD.866</v>
      </c>
      <c r="C5" s="7" t="s">
        <v>43</v>
      </c>
      <c r="D5" s="7" t="s">
        <v>37</v>
      </c>
      <c r="E5" s="7" t="s">
        <v>44</v>
      </c>
      <c r="F5" s="7" t="s">
        <v>52</v>
      </c>
      <c r="G5" s="5" t="b">
        <v>0</v>
      </c>
      <c r="H5" s="5" t="str">
        <f t="shared" ref="H5:H18" si="1">HYPERLINK("https://portal.hubmapconsortium.org/browse/sample/8d7323f8e67fae6440c934eeb1ab3d9a", "HBM888.XXWD.357")</f>
        <v>HBM888.XXWD.357</v>
      </c>
      <c r="I5" s="7" t="s">
        <v>53</v>
      </c>
      <c r="K5" s="7">
        <v>21.0</v>
      </c>
      <c r="L5" s="7">
        <v>4.0</v>
      </c>
      <c r="M5" s="7">
        <v>4.0</v>
      </c>
      <c r="N5" s="7" t="s">
        <v>54</v>
      </c>
      <c r="O5" s="7" t="s">
        <v>28</v>
      </c>
      <c r="P5" s="7" t="s">
        <v>29</v>
      </c>
      <c r="Q5" s="7" t="s">
        <v>30</v>
      </c>
      <c r="R5" s="5" t="b">
        <v>0</v>
      </c>
      <c r="S5" s="5" t="s">
        <v>31</v>
      </c>
      <c r="T5" s="7" t="s">
        <v>32</v>
      </c>
      <c r="U5" s="7" t="s">
        <v>50</v>
      </c>
      <c r="V5" s="7" t="s">
        <v>51</v>
      </c>
      <c r="W5" s="7" t="s">
        <v>35</v>
      </c>
      <c r="X5" s="9">
        <v>45602.65637839121</v>
      </c>
      <c r="Y5" s="9">
        <v>45602.65637839121</v>
      </c>
    </row>
    <row r="6" ht="15.75" customHeight="1">
      <c r="A6" s="5" t="str">
        <f>HYPERLINK("https://portal.hubmapconsortium.org/browse/sample/cd865a9ff8d20c17d77a8e9274ee5f4b", "HBM779.VFXJ.879")</f>
        <v>HBM779.VFXJ.879</v>
      </c>
      <c r="C6" s="7" t="s">
        <v>43</v>
      </c>
      <c r="D6" s="7" t="s">
        <v>37</v>
      </c>
      <c r="E6" s="7" t="s">
        <v>44</v>
      </c>
      <c r="F6" s="7" t="s">
        <v>52</v>
      </c>
      <c r="G6" s="5" t="b">
        <v>0</v>
      </c>
      <c r="H6" s="5" t="str">
        <f t="shared" si="1"/>
        <v>HBM888.XXWD.357</v>
      </c>
      <c r="I6" s="7" t="s">
        <v>55</v>
      </c>
      <c r="K6" s="7">
        <v>21.0</v>
      </c>
      <c r="L6" s="7">
        <v>5.0</v>
      </c>
      <c r="M6" s="7">
        <v>7.0</v>
      </c>
      <c r="N6" s="7" t="s">
        <v>56</v>
      </c>
      <c r="O6" s="7" t="s">
        <v>28</v>
      </c>
      <c r="P6" s="7" t="s">
        <v>29</v>
      </c>
      <c r="Q6" s="7" t="s">
        <v>30</v>
      </c>
      <c r="R6" s="5" t="b">
        <v>0</v>
      </c>
      <c r="S6" s="5" t="s">
        <v>31</v>
      </c>
      <c r="T6" s="7" t="s">
        <v>49</v>
      </c>
      <c r="U6" s="7" t="s">
        <v>50</v>
      </c>
      <c r="V6" s="7" t="s">
        <v>51</v>
      </c>
      <c r="W6" s="7" t="s">
        <v>35</v>
      </c>
      <c r="X6" s="9">
        <v>45848.84133863426</v>
      </c>
      <c r="Y6" s="9">
        <v>45848.84133863426</v>
      </c>
    </row>
    <row r="7" ht="15.75" customHeight="1">
      <c r="A7" s="5" t="str">
        <f>HYPERLINK("https://portal.hubmapconsortium.org/browse/sample/0f0529d3cf4e24de18436cea97312e23", "HBM725.CTFN.564")</f>
        <v>HBM725.CTFN.564</v>
      </c>
      <c r="C7" s="7" t="s">
        <v>43</v>
      </c>
      <c r="D7" s="7" t="s">
        <v>37</v>
      </c>
      <c r="E7" s="7" t="s">
        <v>44</v>
      </c>
      <c r="F7" s="7" t="s">
        <v>52</v>
      </c>
      <c r="G7" s="5" t="b">
        <v>0</v>
      </c>
      <c r="H7" s="5" t="str">
        <f t="shared" si="1"/>
        <v>HBM888.XXWD.357</v>
      </c>
      <c r="I7" s="7" t="s">
        <v>57</v>
      </c>
      <c r="K7" s="7">
        <v>21.0</v>
      </c>
      <c r="L7" s="7">
        <v>5.0</v>
      </c>
      <c r="M7" s="7">
        <v>4.0</v>
      </c>
      <c r="N7" s="7" t="s">
        <v>58</v>
      </c>
      <c r="O7" s="7" t="s">
        <v>28</v>
      </c>
      <c r="P7" s="7" t="s">
        <v>29</v>
      </c>
      <c r="Q7" s="7" t="s">
        <v>30</v>
      </c>
      <c r="R7" s="5" t="b">
        <v>0</v>
      </c>
      <c r="S7" s="5" t="s">
        <v>31</v>
      </c>
      <c r="T7" s="7" t="s">
        <v>32</v>
      </c>
      <c r="U7" s="7" t="s">
        <v>50</v>
      </c>
      <c r="V7" s="7" t="s">
        <v>51</v>
      </c>
      <c r="W7" s="7" t="s">
        <v>35</v>
      </c>
      <c r="X7" s="9">
        <v>45741.62295486111</v>
      </c>
      <c r="Y7" s="9">
        <v>45741.62295486111</v>
      </c>
    </row>
    <row r="8" ht="15.75" customHeight="1">
      <c r="A8" s="5" t="str">
        <f>HYPERLINK("https://portal.hubmapconsortium.org/browse/sample/4349287d8c01ea3f198bdc57738ca898", "HBM775.RNWZ.775")</f>
        <v>HBM775.RNWZ.775</v>
      </c>
      <c r="C8" s="7" t="s">
        <v>43</v>
      </c>
      <c r="D8" s="7" t="s">
        <v>37</v>
      </c>
      <c r="E8" s="7" t="s">
        <v>44</v>
      </c>
      <c r="F8" s="7" t="s">
        <v>52</v>
      </c>
      <c r="G8" s="5" t="b">
        <v>0</v>
      </c>
      <c r="H8" s="5" t="str">
        <f t="shared" si="1"/>
        <v>HBM888.XXWD.357</v>
      </c>
      <c r="I8" s="7" t="s">
        <v>59</v>
      </c>
      <c r="K8" s="7">
        <v>21.0</v>
      </c>
      <c r="L8" s="7">
        <v>5.0</v>
      </c>
      <c r="M8" s="7">
        <v>3.0</v>
      </c>
      <c r="N8" s="7" t="s">
        <v>56</v>
      </c>
      <c r="O8" s="7" t="s">
        <v>28</v>
      </c>
      <c r="P8" s="7" t="s">
        <v>29</v>
      </c>
      <c r="Q8" s="7" t="s">
        <v>30</v>
      </c>
      <c r="R8" s="5" t="b">
        <v>0</v>
      </c>
      <c r="S8" s="5" t="s">
        <v>31</v>
      </c>
      <c r="T8" s="7" t="s">
        <v>49</v>
      </c>
      <c r="U8" s="7" t="s">
        <v>50</v>
      </c>
      <c r="V8" s="7" t="s">
        <v>51</v>
      </c>
      <c r="W8" s="7" t="s">
        <v>35</v>
      </c>
      <c r="X8" s="9">
        <v>45848.84135009259</v>
      </c>
      <c r="Y8" s="9">
        <v>45848.84135009259</v>
      </c>
    </row>
    <row r="9" ht="15.75" customHeight="1">
      <c r="A9" s="5" t="str">
        <f>HYPERLINK("https://portal.hubmapconsortium.org/browse/sample/3ef121706fa69a027a630e14e7286bf2", "HBM498.RMLH.678")</f>
        <v>HBM498.RMLH.678</v>
      </c>
      <c r="C9" s="7" t="s">
        <v>43</v>
      </c>
      <c r="D9" s="7" t="s">
        <v>37</v>
      </c>
      <c r="E9" s="7" t="s">
        <v>44</v>
      </c>
      <c r="F9" s="7" t="s">
        <v>52</v>
      </c>
      <c r="G9" s="5" t="b">
        <v>0</v>
      </c>
      <c r="H9" s="5" t="str">
        <f t="shared" si="1"/>
        <v>HBM888.XXWD.357</v>
      </c>
      <c r="I9" s="7" t="s">
        <v>60</v>
      </c>
      <c r="K9" s="7">
        <v>21.0</v>
      </c>
      <c r="L9" s="7">
        <v>5.0</v>
      </c>
      <c r="M9" s="7">
        <v>2.0</v>
      </c>
      <c r="N9" s="7" t="s">
        <v>56</v>
      </c>
      <c r="O9" s="7" t="s">
        <v>28</v>
      </c>
      <c r="P9" s="7" t="s">
        <v>29</v>
      </c>
      <c r="Q9" s="7" t="s">
        <v>30</v>
      </c>
      <c r="R9" s="5" t="b">
        <v>0</v>
      </c>
      <c r="S9" s="5" t="s">
        <v>31</v>
      </c>
      <c r="T9" s="7" t="s">
        <v>49</v>
      </c>
      <c r="U9" s="7" t="s">
        <v>50</v>
      </c>
      <c r="V9" s="7" t="s">
        <v>51</v>
      </c>
      <c r="W9" s="7" t="s">
        <v>35</v>
      </c>
      <c r="X9" s="9">
        <v>45848.84136390046</v>
      </c>
      <c r="Y9" s="9">
        <v>45848.84136390046</v>
      </c>
    </row>
    <row r="10" ht="15.75" customHeight="1">
      <c r="A10" s="5" t="str">
        <f>HYPERLINK("https://portal.hubmapconsortium.org/browse/sample/e4408e52512c5df65ea9a484f164dd7f", "HBM732.SXSK.747")</f>
        <v>HBM732.SXSK.747</v>
      </c>
      <c r="C10" s="7" t="s">
        <v>43</v>
      </c>
      <c r="D10" s="7" t="s">
        <v>37</v>
      </c>
      <c r="E10" s="7" t="s">
        <v>44</v>
      </c>
      <c r="F10" s="7" t="s">
        <v>52</v>
      </c>
      <c r="G10" s="5" t="b">
        <v>0</v>
      </c>
      <c r="H10" s="5" t="str">
        <f t="shared" si="1"/>
        <v>HBM888.XXWD.357</v>
      </c>
      <c r="I10" s="7" t="s">
        <v>61</v>
      </c>
      <c r="K10" s="7">
        <v>21.0</v>
      </c>
      <c r="L10" s="7">
        <v>3.0</v>
      </c>
      <c r="M10" s="7">
        <v>6.0</v>
      </c>
      <c r="N10" s="7" t="s">
        <v>56</v>
      </c>
      <c r="O10" s="7" t="s">
        <v>28</v>
      </c>
      <c r="P10" s="7" t="s">
        <v>29</v>
      </c>
      <c r="Q10" s="7" t="s">
        <v>30</v>
      </c>
      <c r="R10" s="5" t="b">
        <v>0</v>
      </c>
      <c r="S10" s="5" t="s">
        <v>31</v>
      </c>
      <c r="T10" s="7" t="s">
        <v>49</v>
      </c>
      <c r="U10" s="7" t="s">
        <v>50</v>
      </c>
      <c r="V10" s="7" t="s">
        <v>51</v>
      </c>
      <c r="W10" s="7" t="s">
        <v>35</v>
      </c>
      <c r="X10" s="9">
        <v>45848.84137884259</v>
      </c>
      <c r="Y10" s="9">
        <v>45848.84137884259</v>
      </c>
    </row>
    <row r="11" ht="15.75" customHeight="1">
      <c r="A11" s="5" t="str">
        <f>HYPERLINK("https://portal.hubmapconsortium.org/browse/sample/032272eb1beb981a8a57f2951bc4f623", "HBM279.KQJH.793")</f>
        <v>HBM279.KQJH.793</v>
      </c>
      <c r="C11" s="7" t="s">
        <v>43</v>
      </c>
      <c r="D11" s="7" t="s">
        <v>37</v>
      </c>
      <c r="E11" s="7" t="s">
        <v>44</v>
      </c>
      <c r="F11" s="7" t="s">
        <v>52</v>
      </c>
      <c r="G11" s="5" t="b">
        <v>0</v>
      </c>
      <c r="H11" s="5" t="str">
        <f t="shared" si="1"/>
        <v>HBM888.XXWD.357</v>
      </c>
      <c r="I11" s="7" t="s">
        <v>62</v>
      </c>
      <c r="K11" s="7">
        <v>21.0</v>
      </c>
      <c r="L11" s="7">
        <v>3.0</v>
      </c>
      <c r="M11" s="7">
        <v>6.0</v>
      </c>
      <c r="N11" s="7" t="s">
        <v>56</v>
      </c>
      <c r="O11" s="7" t="s">
        <v>28</v>
      </c>
      <c r="P11" s="7" t="s">
        <v>29</v>
      </c>
      <c r="Q11" s="7" t="s">
        <v>30</v>
      </c>
      <c r="R11" s="5" t="b">
        <v>0</v>
      </c>
      <c r="S11" s="5" t="s">
        <v>31</v>
      </c>
      <c r="T11" s="7" t="s">
        <v>49</v>
      </c>
      <c r="U11" s="7" t="s">
        <v>50</v>
      </c>
      <c r="V11" s="7" t="s">
        <v>51</v>
      </c>
      <c r="W11" s="7" t="s">
        <v>35</v>
      </c>
      <c r="X11" s="9">
        <v>45819.778089375</v>
      </c>
      <c r="Y11" s="9">
        <v>45819.778089375</v>
      </c>
    </row>
    <row r="12" ht="15.75" customHeight="1">
      <c r="A12" s="5" t="str">
        <f>HYPERLINK("https://portal.hubmapconsortium.org/browse/sample/1bf749e7bf8bf551f636e04b952a5623", "HBM392.BJDX.593")</f>
        <v>HBM392.BJDX.593</v>
      </c>
      <c r="C12" s="7" t="s">
        <v>43</v>
      </c>
      <c r="D12" s="7" t="s">
        <v>37</v>
      </c>
      <c r="E12" s="7" t="s">
        <v>44</v>
      </c>
      <c r="F12" s="7" t="s">
        <v>52</v>
      </c>
      <c r="G12" s="5" t="b">
        <v>0</v>
      </c>
      <c r="H12" s="5" t="str">
        <f t="shared" si="1"/>
        <v>HBM888.XXWD.357</v>
      </c>
      <c r="I12" s="7" t="s">
        <v>63</v>
      </c>
      <c r="K12" s="7">
        <v>21.0</v>
      </c>
      <c r="L12" s="7">
        <v>4.0</v>
      </c>
      <c r="M12" s="7">
        <v>6.0</v>
      </c>
      <c r="N12" s="7" t="s">
        <v>56</v>
      </c>
      <c r="O12" s="7" t="s">
        <v>28</v>
      </c>
      <c r="P12" s="7" t="s">
        <v>29</v>
      </c>
      <c r="Q12" s="7" t="s">
        <v>30</v>
      </c>
      <c r="R12" s="5" t="b">
        <v>0</v>
      </c>
      <c r="S12" s="5" t="s">
        <v>31</v>
      </c>
      <c r="T12" s="7" t="s">
        <v>49</v>
      </c>
      <c r="U12" s="7" t="s">
        <v>50</v>
      </c>
      <c r="V12" s="7" t="s">
        <v>51</v>
      </c>
      <c r="W12" s="7" t="s">
        <v>35</v>
      </c>
      <c r="X12" s="9">
        <v>45848.8413969213</v>
      </c>
      <c r="Y12" s="9">
        <v>45848.8413969213</v>
      </c>
    </row>
    <row r="13" ht="15.75" customHeight="1">
      <c r="A13" s="5" t="str">
        <f>HYPERLINK("https://portal.hubmapconsortium.org/browse/sample/2046680208f00b255d94d61e8dfc853d", "HBM844.RJJN.437")</f>
        <v>HBM844.RJJN.437</v>
      </c>
      <c r="C13" s="7" t="s">
        <v>43</v>
      </c>
      <c r="D13" s="7" t="s">
        <v>37</v>
      </c>
      <c r="E13" s="7" t="s">
        <v>44</v>
      </c>
      <c r="F13" s="7" t="s">
        <v>52</v>
      </c>
      <c r="G13" s="5" t="b">
        <v>0</v>
      </c>
      <c r="H13" s="5" t="str">
        <f t="shared" si="1"/>
        <v>HBM888.XXWD.357</v>
      </c>
      <c r="I13" s="7" t="s">
        <v>64</v>
      </c>
      <c r="K13" s="7">
        <v>21.0</v>
      </c>
      <c r="L13" s="7">
        <v>4.0</v>
      </c>
      <c r="M13" s="7">
        <v>3.0</v>
      </c>
      <c r="N13" s="7" t="s">
        <v>56</v>
      </c>
      <c r="O13" s="7" t="s">
        <v>28</v>
      </c>
      <c r="P13" s="7" t="s">
        <v>29</v>
      </c>
      <c r="Q13" s="7" t="s">
        <v>30</v>
      </c>
      <c r="R13" s="5" t="b">
        <v>0</v>
      </c>
      <c r="S13" s="5" t="s">
        <v>31</v>
      </c>
      <c r="T13" s="7" t="s">
        <v>49</v>
      </c>
      <c r="U13" s="7" t="s">
        <v>50</v>
      </c>
      <c r="V13" s="7" t="s">
        <v>51</v>
      </c>
      <c r="W13" s="7" t="s">
        <v>35</v>
      </c>
      <c r="X13" s="9">
        <v>45819.77810170139</v>
      </c>
      <c r="Y13" s="9">
        <v>45819.77810170139</v>
      </c>
    </row>
    <row r="14" ht="15.75" customHeight="1">
      <c r="A14" s="5" t="str">
        <f>HYPERLINK("https://portal.hubmapconsortium.org/browse/sample/096733e700ef7ab31bedf6bef6d5b9b2", "HBM399.HRKG.458")</f>
        <v>HBM399.HRKG.458</v>
      </c>
      <c r="C14" s="7" t="s">
        <v>43</v>
      </c>
      <c r="D14" s="7" t="s">
        <v>37</v>
      </c>
      <c r="E14" s="7" t="s">
        <v>44</v>
      </c>
      <c r="F14" s="7" t="s">
        <v>52</v>
      </c>
      <c r="G14" s="7" t="b">
        <v>1</v>
      </c>
      <c r="H14" s="5" t="str">
        <f t="shared" si="1"/>
        <v>HBM888.XXWD.357</v>
      </c>
      <c r="I14" s="7" t="s">
        <v>65</v>
      </c>
      <c r="O14" s="7" t="s">
        <v>28</v>
      </c>
      <c r="P14" s="7" t="s">
        <v>29</v>
      </c>
      <c r="Q14" s="7" t="s">
        <v>30</v>
      </c>
      <c r="R14" s="7" t="b">
        <v>1</v>
      </c>
      <c r="S14" s="5" t="s">
        <v>66</v>
      </c>
      <c r="T14" s="7" t="s">
        <v>32</v>
      </c>
      <c r="U14" s="7" t="s">
        <v>67</v>
      </c>
      <c r="V14" s="7" t="s">
        <v>68</v>
      </c>
      <c r="W14" s="7" t="s">
        <v>69</v>
      </c>
      <c r="X14" s="9">
        <v>44387.78200824074</v>
      </c>
      <c r="Y14" s="9">
        <v>44466.18177185185</v>
      </c>
    </row>
    <row r="15" ht="15.75" customHeight="1">
      <c r="A15" s="5" t="str">
        <f>HYPERLINK("https://portal.hubmapconsortium.org/browse/sample/5ae0128190e5c96a3dc3f46dd7675e97", "HBM539.LXKF.934")</f>
        <v>HBM539.LXKF.934</v>
      </c>
      <c r="C15" s="7" t="s">
        <v>43</v>
      </c>
      <c r="D15" s="7" t="s">
        <v>37</v>
      </c>
      <c r="E15" s="7" t="s">
        <v>44</v>
      </c>
      <c r="F15" s="7" t="s">
        <v>52</v>
      </c>
      <c r="G15" s="7" t="b">
        <v>1</v>
      </c>
      <c r="H15" s="5" t="str">
        <f t="shared" si="1"/>
        <v>HBM888.XXWD.357</v>
      </c>
      <c r="I15" s="7" t="s">
        <v>70</v>
      </c>
      <c r="N15" s="7" t="s">
        <v>71</v>
      </c>
      <c r="O15" s="7" t="s">
        <v>28</v>
      </c>
      <c r="P15" s="7" t="s">
        <v>29</v>
      </c>
      <c r="Q15" s="7" t="s">
        <v>30</v>
      </c>
      <c r="R15" s="7" t="b">
        <v>1</v>
      </c>
      <c r="S15" s="5" t="s">
        <v>66</v>
      </c>
      <c r="T15" s="7" t="s">
        <v>32</v>
      </c>
      <c r="U15" s="7" t="s">
        <v>67</v>
      </c>
      <c r="V15" s="7" t="s">
        <v>68</v>
      </c>
      <c r="W15" s="7" t="s">
        <v>69</v>
      </c>
      <c r="X15" s="9">
        <v>44703.74537032408</v>
      </c>
      <c r="Y15" s="9">
        <v>44730.62567258102</v>
      </c>
    </row>
    <row r="16" ht="15.75" customHeight="1">
      <c r="A16" s="5" t="str">
        <f>HYPERLINK("https://portal.hubmapconsortium.org/browse/sample/ad3231b7dc48068b9b884f6ba967de85", "HBM633.CHDG.392")</f>
        <v>HBM633.CHDG.392</v>
      </c>
      <c r="C16" s="7" t="s">
        <v>43</v>
      </c>
      <c r="D16" s="7" t="s">
        <v>37</v>
      </c>
      <c r="E16" s="7" t="s">
        <v>44</v>
      </c>
      <c r="F16" s="7" t="s">
        <v>52</v>
      </c>
      <c r="G16" s="7" t="b">
        <v>1</v>
      </c>
      <c r="H16" s="5" t="str">
        <f t="shared" si="1"/>
        <v>HBM888.XXWD.357</v>
      </c>
      <c r="I16" s="7" t="s">
        <v>72</v>
      </c>
      <c r="O16" s="7" t="s">
        <v>28</v>
      </c>
      <c r="P16" s="7" t="s">
        <v>29</v>
      </c>
      <c r="Q16" s="7" t="s">
        <v>30</v>
      </c>
      <c r="R16" s="7" t="b">
        <v>1</v>
      </c>
      <c r="S16" s="5" t="s">
        <v>66</v>
      </c>
      <c r="T16" s="7" t="s">
        <v>32</v>
      </c>
      <c r="U16" s="7" t="s">
        <v>67</v>
      </c>
      <c r="V16" s="7" t="s">
        <v>68</v>
      </c>
      <c r="W16" s="7" t="s">
        <v>69</v>
      </c>
      <c r="X16" s="9">
        <v>44387.7820084375</v>
      </c>
      <c r="Y16" s="9">
        <v>44467.10801884259</v>
      </c>
    </row>
    <row r="17" ht="15.75" customHeight="1">
      <c r="A17" s="5" t="str">
        <f>HYPERLINK("https://portal.hubmapconsortium.org/browse/sample/4237515bdd85c238189fc4c366575bf3", "HBM439.RKPP.789")</f>
        <v>HBM439.RKPP.789</v>
      </c>
      <c r="C17" s="7" t="s">
        <v>43</v>
      </c>
      <c r="D17" s="7" t="s">
        <v>37</v>
      </c>
      <c r="E17" s="7" t="s">
        <v>44</v>
      </c>
      <c r="F17" s="7" t="s">
        <v>52</v>
      </c>
      <c r="G17" s="7" t="b">
        <v>1</v>
      </c>
      <c r="H17" s="5" t="str">
        <f t="shared" si="1"/>
        <v>HBM888.XXWD.357</v>
      </c>
      <c r="I17" s="7" t="s">
        <v>73</v>
      </c>
      <c r="O17" s="7" t="s">
        <v>28</v>
      </c>
      <c r="P17" s="7" t="s">
        <v>29</v>
      </c>
      <c r="Q17" s="7" t="s">
        <v>30</v>
      </c>
      <c r="R17" s="7" t="b">
        <v>1</v>
      </c>
      <c r="S17" s="5" t="s">
        <v>66</v>
      </c>
      <c r="T17" s="7" t="s">
        <v>32</v>
      </c>
      <c r="U17" s="7" t="s">
        <v>67</v>
      </c>
      <c r="V17" s="7" t="s">
        <v>68</v>
      </c>
      <c r="W17" s="7" t="s">
        <v>69</v>
      </c>
      <c r="X17" s="9">
        <v>44387.78200861111</v>
      </c>
      <c r="Y17" s="9">
        <v>44466.17317122685</v>
      </c>
    </row>
    <row r="18" ht="15.75" customHeight="1">
      <c r="A18" s="5" t="str">
        <f>HYPERLINK("https://portal.hubmapconsortium.org/browse/sample/86651c9d116a80ff359fe95a9455ab8b", "HBM736.NQNZ.734")</f>
        <v>HBM736.NQNZ.734</v>
      </c>
      <c r="C18" s="7" t="s">
        <v>43</v>
      </c>
      <c r="D18" s="7" t="s">
        <v>37</v>
      </c>
      <c r="E18" s="7" t="s">
        <v>44</v>
      </c>
      <c r="F18" s="7" t="s">
        <v>52</v>
      </c>
      <c r="G18" s="7" t="b">
        <v>1</v>
      </c>
      <c r="H18" s="5" t="str">
        <f t="shared" si="1"/>
        <v>HBM888.XXWD.357</v>
      </c>
      <c r="I18" s="7" t="s">
        <v>74</v>
      </c>
      <c r="O18" s="7" t="s">
        <v>28</v>
      </c>
      <c r="P18" s="7" t="s">
        <v>29</v>
      </c>
      <c r="Q18" s="7" t="s">
        <v>30</v>
      </c>
      <c r="R18" s="7" t="b">
        <v>1</v>
      </c>
      <c r="S18" s="5" t="s">
        <v>66</v>
      </c>
      <c r="T18" s="7" t="s">
        <v>32</v>
      </c>
      <c r="U18" s="7" t="s">
        <v>67</v>
      </c>
      <c r="V18" s="7" t="s">
        <v>68</v>
      </c>
      <c r="W18" s="7" t="s">
        <v>69</v>
      </c>
      <c r="X18" s="9">
        <v>44387.78200881944</v>
      </c>
      <c r="Y18" s="9">
        <v>44466.16974403935</v>
      </c>
    </row>
    <row r="19" ht="15.75" customHeight="1">
      <c r="A19" s="5" t="str">
        <f>HYPERLINK("https://portal.hubmapconsortium.org/browse/sample/62df0069c0b1a60fbbfb7e7f55fbfe6b", "HBM665.NGTZ.359")</f>
        <v>HBM665.NGTZ.359</v>
      </c>
      <c r="C19" s="7" t="s">
        <v>75</v>
      </c>
      <c r="D19" s="7" t="s">
        <v>25</v>
      </c>
      <c r="E19" s="7" t="s">
        <v>44</v>
      </c>
      <c r="F19" s="7" t="s">
        <v>76</v>
      </c>
      <c r="G19" s="5" t="b">
        <v>0</v>
      </c>
      <c r="H19" s="5" t="str">
        <f>HYPERLINK("https://portal.hubmapconsortium.org/browse/sample/d84f2ca886df60fa3c88da03da0b1fe9", "HBM598.WKVR.237")</f>
        <v>HBM598.WKVR.237</v>
      </c>
      <c r="I19" s="7" t="s">
        <v>77</v>
      </c>
      <c r="K19" s="7" t="s">
        <v>47</v>
      </c>
      <c r="N19" s="7" t="s">
        <v>78</v>
      </c>
      <c r="O19" s="7" t="s">
        <v>28</v>
      </c>
      <c r="P19" s="7" t="s">
        <v>29</v>
      </c>
      <c r="Q19" s="7" t="s">
        <v>30</v>
      </c>
      <c r="R19" s="5" t="b">
        <v>0</v>
      </c>
      <c r="S19" s="5" t="s">
        <v>31</v>
      </c>
      <c r="T19" s="7" t="s">
        <v>49</v>
      </c>
      <c r="U19" s="7" t="s">
        <v>50</v>
      </c>
      <c r="V19" s="7" t="s">
        <v>51</v>
      </c>
      <c r="W19" s="7" t="s">
        <v>35</v>
      </c>
      <c r="X19" s="9">
        <v>45819.77811184028</v>
      </c>
      <c r="Y19" s="9">
        <v>45819.77811184028</v>
      </c>
    </row>
    <row r="20" ht="15.75" customHeight="1">
      <c r="A20" s="5" t="str">
        <f>HYPERLINK("https://portal.hubmapconsortium.org/browse/sample/6bef9644dd0d600081ebce442a70eab1", "HBM466.QSPK.267")</f>
        <v>HBM466.QSPK.267</v>
      </c>
      <c r="C20" s="7" t="s">
        <v>75</v>
      </c>
      <c r="D20" s="7" t="s">
        <v>25</v>
      </c>
      <c r="E20" s="7" t="s">
        <v>44</v>
      </c>
      <c r="F20" s="7" t="s">
        <v>79</v>
      </c>
      <c r="G20" s="5" t="b">
        <v>0</v>
      </c>
      <c r="H20" s="5" t="str">
        <f t="shared" ref="H20:H36" si="2">HYPERLINK("https://portal.hubmapconsortium.org/browse/sample/83ab99a06a11a99e3fb971c922b50642", "HBM972.ZVMR.866")</f>
        <v>HBM972.ZVMR.866</v>
      </c>
      <c r="I20" s="7" t="s">
        <v>80</v>
      </c>
      <c r="K20" s="7">
        <v>25.0</v>
      </c>
      <c r="L20" s="7">
        <v>4.0</v>
      </c>
      <c r="M20" s="7">
        <v>4.0</v>
      </c>
      <c r="N20" s="7" t="s">
        <v>56</v>
      </c>
      <c r="O20" s="7" t="s">
        <v>28</v>
      </c>
      <c r="P20" s="7" t="s">
        <v>29</v>
      </c>
      <c r="Q20" s="7" t="s">
        <v>30</v>
      </c>
      <c r="R20" s="5" t="b">
        <v>0</v>
      </c>
      <c r="S20" s="5" t="s">
        <v>31</v>
      </c>
      <c r="T20" s="7" t="s">
        <v>49</v>
      </c>
      <c r="U20" s="7" t="s">
        <v>50</v>
      </c>
      <c r="V20" s="7" t="s">
        <v>51</v>
      </c>
      <c r="W20" s="7" t="s">
        <v>35</v>
      </c>
      <c r="X20" s="9">
        <v>45848.84141638889</v>
      </c>
      <c r="Y20" s="9">
        <v>45848.84141638889</v>
      </c>
    </row>
    <row r="21" ht="15.75" customHeight="1">
      <c r="A21" s="5" t="str">
        <f>HYPERLINK("https://portal.hubmapconsortium.org/browse/sample/dde88293924bb3c17724e3f1692173cc", "HBM475.DHDS.342")</f>
        <v>HBM475.DHDS.342</v>
      </c>
      <c r="C21" s="7" t="s">
        <v>75</v>
      </c>
      <c r="D21" s="7" t="s">
        <v>25</v>
      </c>
      <c r="E21" s="7" t="s">
        <v>44</v>
      </c>
      <c r="F21" s="7" t="s">
        <v>79</v>
      </c>
      <c r="G21" s="5" t="b">
        <v>0</v>
      </c>
      <c r="H21" s="5" t="str">
        <f t="shared" si="2"/>
        <v>HBM972.ZVMR.866</v>
      </c>
      <c r="I21" s="7" t="s">
        <v>81</v>
      </c>
      <c r="K21" s="7">
        <v>25.0</v>
      </c>
      <c r="L21" s="7">
        <v>4.0</v>
      </c>
      <c r="M21" s="7">
        <v>3.0</v>
      </c>
      <c r="N21" s="7" t="s">
        <v>82</v>
      </c>
      <c r="O21" s="7" t="s">
        <v>28</v>
      </c>
      <c r="P21" s="7" t="s">
        <v>29</v>
      </c>
      <c r="Q21" s="7" t="s">
        <v>30</v>
      </c>
      <c r="R21" s="5" t="b">
        <v>0</v>
      </c>
      <c r="S21" s="5" t="s">
        <v>31</v>
      </c>
      <c r="T21" s="7" t="s">
        <v>49</v>
      </c>
      <c r="U21" s="7" t="s">
        <v>50</v>
      </c>
      <c r="V21" s="7" t="s">
        <v>51</v>
      </c>
      <c r="W21" s="7" t="s">
        <v>35</v>
      </c>
      <c r="X21" s="9">
        <v>45848.84143439815</v>
      </c>
      <c r="Y21" s="9">
        <v>45848.84143439815</v>
      </c>
    </row>
    <row r="22" ht="15.75" customHeight="1">
      <c r="A22" s="5" t="str">
        <f>HYPERLINK("https://portal.hubmapconsortium.org/browse/sample/b82bdccb646086e051684607f8a28fb9", "HBM554.FQRX.796")</f>
        <v>HBM554.FQRX.796</v>
      </c>
      <c r="C22" s="7" t="s">
        <v>75</v>
      </c>
      <c r="D22" s="7" t="s">
        <v>25</v>
      </c>
      <c r="E22" s="7" t="s">
        <v>44</v>
      </c>
      <c r="F22" s="7" t="s">
        <v>79</v>
      </c>
      <c r="G22" s="5" t="b">
        <v>0</v>
      </c>
      <c r="H22" s="5" t="str">
        <f t="shared" si="2"/>
        <v>HBM972.ZVMR.866</v>
      </c>
      <c r="I22" s="7" t="s">
        <v>83</v>
      </c>
      <c r="K22" s="7">
        <v>25.0</v>
      </c>
      <c r="L22" s="7">
        <v>4.0</v>
      </c>
      <c r="M22" s="7">
        <v>5.0</v>
      </c>
      <c r="N22" s="7" t="s">
        <v>84</v>
      </c>
      <c r="O22" s="7" t="s">
        <v>28</v>
      </c>
      <c r="P22" s="7" t="s">
        <v>29</v>
      </c>
      <c r="Q22" s="7" t="s">
        <v>30</v>
      </c>
      <c r="R22" s="5" t="b">
        <v>0</v>
      </c>
      <c r="S22" s="5" t="s">
        <v>85</v>
      </c>
      <c r="T22" s="7" t="s">
        <v>32</v>
      </c>
      <c r="U22" s="7" t="s">
        <v>50</v>
      </c>
      <c r="V22" s="7" t="s">
        <v>51</v>
      </c>
      <c r="W22" s="7" t="s">
        <v>35</v>
      </c>
      <c r="X22" s="9">
        <v>45610.68034668981</v>
      </c>
      <c r="Y22" s="9">
        <v>45610.68034668981</v>
      </c>
    </row>
    <row r="23" ht="15.75" customHeight="1">
      <c r="A23" s="5" t="str">
        <f>HYPERLINK("https://portal.hubmapconsortium.org/browse/sample/29d19a97bc5be4c45536625a894de69a", "HBM784.GXTN.798")</f>
        <v>HBM784.GXTN.798</v>
      </c>
      <c r="C23" s="7" t="s">
        <v>75</v>
      </c>
      <c r="D23" s="7" t="s">
        <v>25</v>
      </c>
      <c r="E23" s="7" t="s">
        <v>44</v>
      </c>
      <c r="F23" s="7" t="s">
        <v>79</v>
      </c>
      <c r="G23" s="5" t="b">
        <v>0</v>
      </c>
      <c r="H23" s="5" t="str">
        <f t="shared" si="2"/>
        <v>HBM972.ZVMR.866</v>
      </c>
      <c r="I23" s="7" t="s">
        <v>86</v>
      </c>
      <c r="K23" s="7">
        <v>25.0</v>
      </c>
      <c r="L23" s="7">
        <v>4.0</v>
      </c>
      <c r="M23" s="7">
        <v>3.0</v>
      </c>
      <c r="N23" s="7" t="s">
        <v>82</v>
      </c>
      <c r="O23" s="7" t="s">
        <v>28</v>
      </c>
      <c r="P23" s="7" t="s">
        <v>29</v>
      </c>
      <c r="Q23" s="7" t="s">
        <v>30</v>
      </c>
      <c r="R23" s="5" t="b">
        <v>0</v>
      </c>
      <c r="S23" s="5" t="s">
        <v>31</v>
      </c>
      <c r="T23" s="7" t="s">
        <v>49</v>
      </c>
      <c r="U23" s="7" t="s">
        <v>50</v>
      </c>
      <c r="V23" s="7" t="s">
        <v>51</v>
      </c>
      <c r="W23" s="7" t="s">
        <v>35</v>
      </c>
      <c r="X23" s="9">
        <v>45848.84145591435</v>
      </c>
      <c r="Y23" s="9">
        <v>45848.84145591435</v>
      </c>
    </row>
    <row r="24" ht="15.75" customHeight="1">
      <c r="A24" s="5" t="str">
        <f>HYPERLINK("https://portal.hubmapconsortium.org/browse/sample/b4a33bd08ca07881a414984245ba1acd", "HBM564.SJNP.983")</f>
        <v>HBM564.SJNP.983</v>
      </c>
      <c r="C24" s="7" t="s">
        <v>75</v>
      </c>
      <c r="D24" s="7" t="s">
        <v>25</v>
      </c>
      <c r="E24" s="7" t="s">
        <v>44</v>
      </c>
      <c r="F24" s="7" t="s">
        <v>79</v>
      </c>
      <c r="G24" s="5" t="b">
        <v>0</v>
      </c>
      <c r="H24" s="5" t="str">
        <f t="shared" si="2"/>
        <v>HBM972.ZVMR.866</v>
      </c>
      <c r="I24" s="7" t="s">
        <v>87</v>
      </c>
      <c r="K24" s="7">
        <v>25.0</v>
      </c>
      <c r="L24" s="7">
        <v>4.0</v>
      </c>
      <c r="M24" s="7">
        <v>4.0</v>
      </c>
      <c r="N24" s="7" t="s">
        <v>82</v>
      </c>
      <c r="O24" s="7" t="s">
        <v>28</v>
      </c>
      <c r="P24" s="7" t="s">
        <v>29</v>
      </c>
      <c r="Q24" s="7" t="s">
        <v>30</v>
      </c>
      <c r="R24" s="5" t="b">
        <v>0</v>
      </c>
      <c r="S24" s="5" t="s">
        <v>31</v>
      </c>
      <c r="T24" s="7" t="s">
        <v>49</v>
      </c>
      <c r="U24" s="7" t="s">
        <v>50</v>
      </c>
      <c r="V24" s="7" t="s">
        <v>51</v>
      </c>
      <c r="W24" s="7" t="s">
        <v>35</v>
      </c>
      <c r="X24" s="9">
        <v>45848.84148560185</v>
      </c>
      <c r="Y24" s="9">
        <v>45848.84148560185</v>
      </c>
    </row>
    <row r="25" ht="15.75" customHeight="1">
      <c r="A25" s="5" t="str">
        <f>HYPERLINK("https://portal.hubmapconsortium.org/browse/sample/ed6650da61d00a0c0c6f0797190f7b9f", "HBM766.JKZW.274")</f>
        <v>HBM766.JKZW.274</v>
      </c>
      <c r="C25" s="7" t="s">
        <v>75</v>
      </c>
      <c r="D25" s="7" t="s">
        <v>25</v>
      </c>
      <c r="E25" s="7" t="s">
        <v>44</v>
      </c>
      <c r="F25" s="7" t="s">
        <v>79</v>
      </c>
      <c r="G25" s="5" t="b">
        <v>0</v>
      </c>
      <c r="H25" s="5" t="str">
        <f t="shared" si="2"/>
        <v>HBM972.ZVMR.866</v>
      </c>
      <c r="I25" s="7" t="s">
        <v>88</v>
      </c>
      <c r="K25" s="7">
        <v>25.0</v>
      </c>
      <c r="L25" s="7">
        <v>4.0</v>
      </c>
      <c r="M25" s="7">
        <v>8.0</v>
      </c>
      <c r="N25" s="7" t="s">
        <v>82</v>
      </c>
      <c r="O25" s="7" t="s">
        <v>28</v>
      </c>
      <c r="P25" s="7" t="s">
        <v>29</v>
      </c>
      <c r="Q25" s="7" t="s">
        <v>30</v>
      </c>
      <c r="R25" s="5" t="b">
        <v>0</v>
      </c>
      <c r="S25" s="5" t="s">
        <v>31</v>
      </c>
      <c r="T25" s="7" t="s">
        <v>49</v>
      </c>
      <c r="U25" s="7" t="s">
        <v>50</v>
      </c>
      <c r="V25" s="7" t="s">
        <v>51</v>
      </c>
      <c r="W25" s="7" t="s">
        <v>35</v>
      </c>
      <c r="X25" s="9">
        <v>45848.84154738426</v>
      </c>
      <c r="Y25" s="9">
        <v>45848.84154738426</v>
      </c>
    </row>
    <row r="26" ht="15.75" customHeight="1">
      <c r="A26" s="5" t="str">
        <f>HYPERLINK("https://portal.hubmapconsortium.org/browse/sample/f89032539ffd58c50816acb04c32c9c2", "HBM239.KHGT.597")</f>
        <v>HBM239.KHGT.597</v>
      </c>
      <c r="C26" s="7" t="s">
        <v>75</v>
      </c>
      <c r="D26" s="7" t="s">
        <v>25</v>
      </c>
      <c r="E26" s="7" t="s">
        <v>44</v>
      </c>
      <c r="F26" s="7" t="s">
        <v>79</v>
      </c>
      <c r="G26" s="5" t="b">
        <v>0</v>
      </c>
      <c r="H26" s="5" t="str">
        <f t="shared" si="2"/>
        <v>HBM972.ZVMR.866</v>
      </c>
      <c r="I26" s="7" t="s">
        <v>89</v>
      </c>
      <c r="K26" s="7">
        <v>25.0</v>
      </c>
      <c r="L26" s="7">
        <v>4.0</v>
      </c>
      <c r="M26" s="7">
        <v>5.0</v>
      </c>
      <c r="N26" s="7" t="s">
        <v>82</v>
      </c>
      <c r="O26" s="7" t="s">
        <v>28</v>
      </c>
      <c r="P26" s="7" t="s">
        <v>29</v>
      </c>
      <c r="Q26" s="7" t="s">
        <v>30</v>
      </c>
      <c r="R26" s="5" t="b">
        <v>0</v>
      </c>
      <c r="S26" s="5" t="s">
        <v>31</v>
      </c>
      <c r="T26" s="7" t="s">
        <v>49</v>
      </c>
      <c r="U26" s="7" t="s">
        <v>50</v>
      </c>
      <c r="V26" s="7" t="s">
        <v>51</v>
      </c>
      <c r="W26" s="7" t="s">
        <v>35</v>
      </c>
      <c r="X26" s="9">
        <v>45819.77812363426</v>
      </c>
      <c r="Y26" s="9">
        <v>45819.77812363426</v>
      </c>
    </row>
    <row r="27" ht="15.75" customHeight="1">
      <c r="A27" s="5" t="str">
        <f>HYPERLINK("https://portal.hubmapconsortium.org/browse/sample/f61e6c06f9454a55adea67802fa2acd4", "HBM579.PFDV.745")</f>
        <v>HBM579.PFDV.745</v>
      </c>
      <c r="C27" s="7" t="s">
        <v>75</v>
      </c>
      <c r="D27" s="7" t="s">
        <v>25</v>
      </c>
      <c r="E27" s="7" t="s">
        <v>44</v>
      </c>
      <c r="F27" s="7" t="s">
        <v>79</v>
      </c>
      <c r="G27" s="5" t="b">
        <v>0</v>
      </c>
      <c r="H27" s="5" t="str">
        <f t="shared" si="2"/>
        <v>HBM972.ZVMR.866</v>
      </c>
      <c r="I27" s="7" t="s">
        <v>90</v>
      </c>
      <c r="K27" s="7">
        <v>25.0</v>
      </c>
      <c r="L27" s="7">
        <v>4.0</v>
      </c>
      <c r="M27" s="7">
        <v>8.0</v>
      </c>
      <c r="N27" s="7" t="s">
        <v>82</v>
      </c>
      <c r="O27" s="7" t="s">
        <v>28</v>
      </c>
      <c r="P27" s="7" t="s">
        <v>29</v>
      </c>
      <c r="Q27" s="7" t="s">
        <v>30</v>
      </c>
      <c r="R27" s="5" t="b">
        <v>0</v>
      </c>
      <c r="S27" s="5" t="s">
        <v>31</v>
      </c>
      <c r="T27" s="7" t="s">
        <v>49</v>
      </c>
      <c r="U27" s="7" t="s">
        <v>50</v>
      </c>
      <c r="V27" s="7" t="s">
        <v>51</v>
      </c>
      <c r="W27" s="7" t="s">
        <v>35</v>
      </c>
      <c r="X27" s="9">
        <v>45848.8416078588</v>
      </c>
      <c r="Y27" s="9">
        <v>45848.8416078588</v>
      </c>
    </row>
    <row r="28" ht="15.75" customHeight="1">
      <c r="A28" s="5" t="str">
        <f>HYPERLINK("https://portal.hubmapconsortium.org/browse/sample/c75c1b22efde0638d42d20f26ee49351", "HBM562.ZLPZ.398")</f>
        <v>HBM562.ZLPZ.398</v>
      </c>
      <c r="C28" s="7" t="s">
        <v>75</v>
      </c>
      <c r="D28" s="7" t="s">
        <v>25</v>
      </c>
      <c r="E28" s="7" t="s">
        <v>44</v>
      </c>
      <c r="F28" s="7" t="s">
        <v>79</v>
      </c>
      <c r="G28" s="5" t="b">
        <v>0</v>
      </c>
      <c r="H28" s="5" t="str">
        <f t="shared" si="2"/>
        <v>HBM972.ZVMR.866</v>
      </c>
      <c r="I28" s="7" t="s">
        <v>91</v>
      </c>
      <c r="K28" s="7">
        <v>25.0</v>
      </c>
      <c r="L28" s="7">
        <v>4.0</v>
      </c>
      <c r="M28" s="7">
        <v>7.0</v>
      </c>
      <c r="N28" s="7" t="s">
        <v>82</v>
      </c>
      <c r="O28" s="7" t="s">
        <v>28</v>
      </c>
      <c r="P28" s="7" t="s">
        <v>29</v>
      </c>
      <c r="Q28" s="7" t="s">
        <v>30</v>
      </c>
      <c r="R28" s="5" t="b">
        <v>0</v>
      </c>
      <c r="S28" s="5" t="s">
        <v>31</v>
      </c>
      <c r="T28" s="7" t="s">
        <v>49</v>
      </c>
      <c r="U28" s="7" t="s">
        <v>50</v>
      </c>
      <c r="V28" s="7" t="s">
        <v>51</v>
      </c>
      <c r="W28" s="7" t="s">
        <v>35</v>
      </c>
      <c r="X28" s="9">
        <v>45819.77813576389</v>
      </c>
      <c r="Y28" s="9">
        <v>45819.77813576389</v>
      </c>
    </row>
    <row r="29" ht="15.75" customHeight="1">
      <c r="A29" s="5" t="str">
        <f>HYPERLINK("https://portal.hubmapconsortium.org/browse/sample/46f5c8d7dc8d545c540748347d20a9b7", "HBM242.XXTB.333")</f>
        <v>HBM242.XXTB.333</v>
      </c>
      <c r="C29" s="7" t="s">
        <v>75</v>
      </c>
      <c r="D29" s="7" t="s">
        <v>25</v>
      </c>
      <c r="E29" s="7" t="s">
        <v>44</v>
      </c>
      <c r="F29" s="7" t="s">
        <v>79</v>
      </c>
      <c r="G29" s="7" t="b">
        <v>1</v>
      </c>
      <c r="H29" s="5" t="str">
        <f t="shared" si="2"/>
        <v>HBM972.ZVMR.866</v>
      </c>
      <c r="I29" s="7" t="s">
        <v>92</v>
      </c>
      <c r="O29" s="7" t="s">
        <v>28</v>
      </c>
      <c r="P29" s="7" t="s">
        <v>29</v>
      </c>
      <c r="Q29" s="7" t="s">
        <v>30</v>
      </c>
      <c r="R29" s="7" t="b">
        <v>1</v>
      </c>
      <c r="S29" s="5" t="s">
        <v>66</v>
      </c>
      <c r="T29" s="7" t="s">
        <v>32</v>
      </c>
      <c r="U29" s="7" t="s">
        <v>67</v>
      </c>
      <c r="V29" s="7" t="s">
        <v>68</v>
      </c>
      <c r="W29" s="7" t="s">
        <v>69</v>
      </c>
      <c r="X29" s="9">
        <v>44060.68714509259</v>
      </c>
      <c r="Y29" s="9">
        <v>44462.59290232639</v>
      </c>
    </row>
    <row r="30" ht="15.75" customHeight="1">
      <c r="A30" s="5" t="str">
        <f>HYPERLINK("https://portal.hubmapconsortium.org/browse/sample/5d53bd5a71569c59c90d1608cd3da5c9", "HBM636.XRCL.997")</f>
        <v>HBM636.XRCL.997</v>
      </c>
      <c r="C30" s="7" t="s">
        <v>75</v>
      </c>
      <c r="D30" s="7" t="s">
        <v>25</v>
      </c>
      <c r="E30" s="7" t="s">
        <v>44</v>
      </c>
      <c r="F30" s="7" t="s">
        <v>79</v>
      </c>
      <c r="G30" s="7" t="b">
        <v>1</v>
      </c>
      <c r="H30" s="5" t="str">
        <f t="shared" si="2"/>
        <v>HBM972.ZVMR.866</v>
      </c>
      <c r="I30" s="7" t="s">
        <v>93</v>
      </c>
      <c r="O30" s="7" t="s">
        <v>28</v>
      </c>
      <c r="P30" s="7" t="s">
        <v>29</v>
      </c>
      <c r="Q30" s="7" t="s">
        <v>30</v>
      </c>
      <c r="R30" s="7" t="b">
        <v>1</v>
      </c>
      <c r="S30" s="5" t="s">
        <v>66</v>
      </c>
      <c r="T30" s="7" t="s">
        <v>32</v>
      </c>
      <c r="U30" s="7" t="s">
        <v>67</v>
      </c>
      <c r="V30" s="7" t="s">
        <v>68</v>
      </c>
      <c r="W30" s="7" t="s">
        <v>69</v>
      </c>
      <c r="X30" s="9">
        <v>44060.68714509259</v>
      </c>
      <c r="Y30" s="9">
        <v>44462.59442127315</v>
      </c>
    </row>
    <row r="31" ht="15.75" customHeight="1">
      <c r="A31" s="5" t="str">
        <f>HYPERLINK("https://portal.hubmapconsortium.org/browse/sample/aff08197f187418318e12cd70c9a6e3d", "HBM288.MHXG.854")</f>
        <v>HBM288.MHXG.854</v>
      </c>
      <c r="C31" s="7" t="s">
        <v>75</v>
      </c>
      <c r="D31" s="7" t="s">
        <v>25</v>
      </c>
      <c r="E31" s="7" t="s">
        <v>44</v>
      </c>
      <c r="F31" s="7" t="s">
        <v>79</v>
      </c>
      <c r="G31" s="7" t="b">
        <v>1</v>
      </c>
      <c r="H31" s="5" t="str">
        <f t="shared" si="2"/>
        <v>HBM972.ZVMR.866</v>
      </c>
      <c r="I31" s="7" t="s">
        <v>94</v>
      </c>
      <c r="O31" s="7" t="s">
        <v>28</v>
      </c>
      <c r="P31" s="7" t="s">
        <v>29</v>
      </c>
      <c r="Q31" s="7" t="s">
        <v>30</v>
      </c>
      <c r="R31" s="7" t="b">
        <v>1</v>
      </c>
      <c r="S31" s="5" t="s">
        <v>66</v>
      </c>
      <c r="T31" s="7" t="s">
        <v>32</v>
      </c>
      <c r="U31" s="7" t="s">
        <v>67</v>
      </c>
      <c r="V31" s="7" t="s">
        <v>68</v>
      </c>
      <c r="W31" s="7" t="s">
        <v>69</v>
      </c>
      <c r="X31" s="9">
        <v>44060.68714509259</v>
      </c>
      <c r="Y31" s="9">
        <v>44462.59362295139</v>
      </c>
    </row>
    <row r="32" ht="15.75" customHeight="1">
      <c r="A32" s="5" t="str">
        <f>HYPERLINK("https://portal.hubmapconsortium.org/browse/sample/fed53eab5847287de706a8dafa6faf8f", "HBM825.KBPF.658")</f>
        <v>HBM825.KBPF.658</v>
      </c>
      <c r="C32" s="7" t="s">
        <v>75</v>
      </c>
      <c r="D32" s="7" t="s">
        <v>25</v>
      </c>
      <c r="E32" s="7" t="s">
        <v>44</v>
      </c>
      <c r="F32" s="7" t="s">
        <v>79</v>
      </c>
      <c r="G32" s="7" t="b">
        <v>1</v>
      </c>
      <c r="H32" s="5" t="str">
        <f t="shared" si="2"/>
        <v>HBM972.ZVMR.866</v>
      </c>
      <c r="I32" s="7" t="s">
        <v>95</v>
      </c>
      <c r="O32" s="7" t="s">
        <v>28</v>
      </c>
      <c r="P32" s="7" t="s">
        <v>29</v>
      </c>
      <c r="Q32" s="7" t="s">
        <v>30</v>
      </c>
      <c r="R32" s="7" t="b">
        <v>1</v>
      </c>
      <c r="S32" s="5" t="s">
        <v>66</v>
      </c>
      <c r="T32" s="7" t="s">
        <v>32</v>
      </c>
      <c r="U32" s="7" t="s">
        <v>67</v>
      </c>
      <c r="V32" s="7" t="s">
        <v>68</v>
      </c>
      <c r="W32" s="7" t="s">
        <v>69</v>
      </c>
      <c r="X32" s="9">
        <v>44060.68714509259</v>
      </c>
      <c r="Y32" s="9">
        <v>44462.5948152662</v>
      </c>
    </row>
    <row r="33" ht="15.75" customHeight="1">
      <c r="A33" s="5" t="str">
        <f>HYPERLINK("https://portal.hubmapconsortium.org/browse/sample/173fbebb10c3af766e26b1d6c9c8d563", "HBM897.MZNC.757")</f>
        <v>HBM897.MZNC.757</v>
      </c>
      <c r="C33" s="7" t="s">
        <v>75</v>
      </c>
      <c r="D33" s="7" t="s">
        <v>25</v>
      </c>
      <c r="E33" s="7" t="s">
        <v>44</v>
      </c>
      <c r="F33" s="7" t="s">
        <v>79</v>
      </c>
      <c r="G33" s="7" t="b">
        <v>1</v>
      </c>
      <c r="H33" s="5" t="str">
        <f t="shared" si="2"/>
        <v>HBM972.ZVMR.866</v>
      </c>
      <c r="I33" s="7" t="s">
        <v>96</v>
      </c>
      <c r="O33" s="7" t="s">
        <v>28</v>
      </c>
      <c r="P33" s="7" t="s">
        <v>29</v>
      </c>
      <c r="Q33" s="7" t="s">
        <v>30</v>
      </c>
      <c r="R33" s="7" t="b">
        <v>1</v>
      </c>
      <c r="S33" s="5" t="s">
        <v>66</v>
      </c>
      <c r="T33" s="7" t="s">
        <v>32</v>
      </c>
      <c r="U33" s="7" t="s">
        <v>67</v>
      </c>
      <c r="V33" s="7" t="s">
        <v>68</v>
      </c>
      <c r="W33" s="7" t="s">
        <v>69</v>
      </c>
      <c r="X33" s="9">
        <v>44060.68714509259</v>
      </c>
      <c r="Y33" s="9">
        <v>44462.59522898148</v>
      </c>
    </row>
    <row r="34" ht="15.75" customHeight="1">
      <c r="A34" s="5" t="str">
        <f>HYPERLINK("https://portal.hubmapconsortium.org/browse/sample/6e5e5be224d88f38aa390d0c389839c7", "HBM279.ZBSM.472")</f>
        <v>HBM279.ZBSM.472</v>
      </c>
      <c r="C34" s="7" t="s">
        <v>75</v>
      </c>
      <c r="D34" s="7" t="s">
        <v>25</v>
      </c>
      <c r="E34" s="7" t="s">
        <v>44</v>
      </c>
      <c r="F34" s="7" t="s">
        <v>79</v>
      </c>
      <c r="G34" s="7" t="b">
        <v>1</v>
      </c>
      <c r="H34" s="5" t="str">
        <f t="shared" si="2"/>
        <v>HBM972.ZVMR.866</v>
      </c>
      <c r="I34" s="7" t="s">
        <v>97</v>
      </c>
      <c r="O34" s="7" t="s">
        <v>28</v>
      </c>
      <c r="P34" s="7" t="s">
        <v>29</v>
      </c>
      <c r="Q34" s="7" t="s">
        <v>30</v>
      </c>
      <c r="R34" s="7" t="b">
        <v>1</v>
      </c>
      <c r="S34" s="5" t="s">
        <v>66</v>
      </c>
      <c r="T34" s="7" t="s">
        <v>32</v>
      </c>
      <c r="U34" s="7" t="s">
        <v>67</v>
      </c>
      <c r="V34" s="7" t="s">
        <v>68</v>
      </c>
      <c r="W34" s="7" t="s">
        <v>69</v>
      </c>
      <c r="X34" s="9">
        <v>44060.68714509259</v>
      </c>
      <c r="Y34" s="9">
        <v>44462.5932406713</v>
      </c>
    </row>
    <row r="35" ht="15.75" customHeight="1">
      <c r="A35" s="5" t="str">
        <f>HYPERLINK("https://portal.hubmapconsortium.org/browse/sample/bb2f22ab105c49476def20e47e9c1206", "HBM622.DQNP.599")</f>
        <v>HBM622.DQNP.599</v>
      </c>
      <c r="C35" s="7" t="s">
        <v>75</v>
      </c>
      <c r="D35" s="7" t="s">
        <v>25</v>
      </c>
      <c r="E35" s="7" t="s">
        <v>44</v>
      </c>
      <c r="F35" s="7" t="s">
        <v>79</v>
      </c>
      <c r="G35" s="7" t="b">
        <v>1</v>
      </c>
      <c r="H35" s="5" t="str">
        <f t="shared" si="2"/>
        <v>HBM972.ZVMR.866</v>
      </c>
      <c r="I35" s="7" t="s">
        <v>98</v>
      </c>
      <c r="O35" s="7" t="s">
        <v>28</v>
      </c>
      <c r="P35" s="7" t="s">
        <v>29</v>
      </c>
      <c r="Q35" s="7" t="s">
        <v>30</v>
      </c>
      <c r="R35" s="7" t="b">
        <v>1</v>
      </c>
      <c r="S35" s="5" t="s">
        <v>66</v>
      </c>
      <c r="T35" s="7" t="s">
        <v>32</v>
      </c>
      <c r="U35" s="7" t="s">
        <v>67</v>
      </c>
      <c r="V35" s="7" t="s">
        <v>68</v>
      </c>
      <c r="W35" s="7" t="s">
        <v>69</v>
      </c>
      <c r="X35" s="9">
        <v>44060.68714509259</v>
      </c>
      <c r="Y35" s="9">
        <v>44462.59409688658</v>
      </c>
    </row>
    <row r="36" ht="15.75" customHeight="1">
      <c r="A36" s="5" t="str">
        <f>HYPERLINK("https://portal.hubmapconsortium.org/browse/sample/643e32742a766d63dd15d99a542d4173", "HBM466.CDSN.556")</f>
        <v>HBM466.CDSN.556</v>
      </c>
      <c r="C36" s="7" t="s">
        <v>75</v>
      </c>
      <c r="D36" s="7" t="s">
        <v>25</v>
      </c>
      <c r="E36" s="7" t="s">
        <v>44</v>
      </c>
      <c r="F36" s="7" t="s">
        <v>79</v>
      </c>
      <c r="G36" s="7" t="b">
        <v>1</v>
      </c>
      <c r="H36" s="5" t="str">
        <f t="shared" si="2"/>
        <v>HBM972.ZVMR.866</v>
      </c>
      <c r="I36" s="7" t="s">
        <v>712</v>
      </c>
      <c r="N36" s="7" t="s">
        <v>101</v>
      </c>
      <c r="O36" s="7" t="s">
        <v>28</v>
      </c>
      <c r="P36" s="7" t="s">
        <v>29</v>
      </c>
      <c r="Q36" s="7" t="s">
        <v>30</v>
      </c>
      <c r="R36" s="7" t="b">
        <v>1</v>
      </c>
      <c r="S36" s="5" t="s">
        <v>66</v>
      </c>
      <c r="T36" s="7" t="s">
        <v>32</v>
      </c>
      <c r="U36" s="7" t="s">
        <v>67</v>
      </c>
      <c r="V36" s="7" t="s">
        <v>68</v>
      </c>
      <c r="W36" s="7" t="s">
        <v>69</v>
      </c>
      <c r="X36" s="9">
        <v>44427.84824297453</v>
      </c>
      <c r="Y36" s="9">
        <v>44467.05801048611</v>
      </c>
    </row>
    <row r="37" ht="15.75" customHeight="1">
      <c r="A37" s="5" t="str">
        <f>HYPERLINK("https://portal.hubmapconsortium.org/browse/sample/8d89ca0de235ede7ce756c9668c7596e", "HBM776.MWMG.262")</f>
        <v>HBM776.MWMG.262</v>
      </c>
      <c r="C37" s="7" t="s">
        <v>102</v>
      </c>
      <c r="D37" s="7" t="s">
        <v>25</v>
      </c>
      <c r="E37" s="7" t="s">
        <v>44</v>
      </c>
      <c r="F37" s="7" t="s">
        <v>103</v>
      </c>
      <c r="G37" s="7" t="b">
        <v>0</v>
      </c>
      <c r="H37" s="5" t="str">
        <f t="shared" ref="H37:H40" si="3">HYPERLINK("https://portal.hubmapconsortium.org/browse/sample/124e9eccc4e80afa3cf6c6da18ea882c", "HBM867.CKFH.272")</f>
        <v>HBM867.CKFH.272</v>
      </c>
      <c r="I37" s="7" t="s">
        <v>104</v>
      </c>
      <c r="K37" s="7">
        <v>29.0</v>
      </c>
      <c r="L37" s="7">
        <v>4.0</v>
      </c>
      <c r="M37" s="7">
        <v>4.0</v>
      </c>
      <c r="N37" s="7" t="s">
        <v>105</v>
      </c>
      <c r="O37" s="7" t="s">
        <v>28</v>
      </c>
      <c r="P37" s="7" t="s">
        <v>29</v>
      </c>
      <c r="Q37" s="7" t="s">
        <v>30</v>
      </c>
      <c r="R37" s="7" t="b">
        <v>0</v>
      </c>
      <c r="S37" s="5" t="s">
        <v>66</v>
      </c>
      <c r="T37" s="7" t="s">
        <v>32</v>
      </c>
      <c r="U37" s="7" t="s">
        <v>67</v>
      </c>
      <c r="V37" s="7" t="s">
        <v>68</v>
      </c>
      <c r="W37" s="7" t="s">
        <v>69</v>
      </c>
      <c r="X37" s="9">
        <v>44703.76206466436</v>
      </c>
      <c r="Y37" s="9">
        <v>44703.76392577546</v>
      </c>
    </row>
    <row r="38" ht="15.75" customHeight="1">
      <c r="A38" s="5" t="str">
        <f>HYPERLINK("https://portal.hubmapconsortium.org/browse/sample/638a483d2daac131b79c4d242ac7efc3", "HBM495.CCMS.672")</f>
        <v>HBM495.CCMS.672</v>
      </c>
      <c r="C38" s="7" t="s">
        <v>102</v>
      </c>
      <c r="D38" s="7" t="s">
        <v>25</v>
      </c>
      <c r="E38" s="7" t="s">
        <v>44</v>
      </c>
      <c r="F38" s="7" t="s">
        <v>103</v>
      </c>
      <c r="G38" s="7" t="b">
        <v>1</v>
      </c>
      <c r="H38" s="5" t="str">
        <f t="shared" si="3"/>
        <v>HBM867.CKFH.272</v>
      </c>
      <c r="I38" s="7" t="s">
        <v>106</v>
      </c>
      <c r="N38" s="7" t="s">
        <v>105</v>
      </c>
      <c r="O38" s="7" t="s">
        <v>28</v>
      </c>
      <c r="P38" s="7" t="s">
        <v>29</v>
      </c>
      <c r="Q38" s="7" t="s">
        <v>30</v>
      </c>
      <c r="R38" s="7" t="b">
        <v>1</v>
      </c>
      <c r="S38" s="5" t="s">
        <v>66</v>
      </c>
      <c r="T38" s="7" t="s">
        <v>32</v>
      </c>
      <c r="U38" s="7" t="s">
        <v>67</v>
      </c>
      <c r="V38" s="7" t="s">
        <v>68</v>
      </c>
      <c r="W38" s="7" t="s">
        <v>69</v>
      </c>
      <c r="X38" s="9">
        <v>44703.76206494213</v>
      </c>
      <c r="Y38" s="9">
        <v>44730.72690369213</v>
      </c>
    </row>
    <row r="39" ht="15.75" customHeight="1">
      <c r="A39" s="5" t="str">
        <f>HYPERLINK("https://portal.hubmapconsortium.org/browse/sample/b9ae8c019f2ce4a20e2f4b6ae7cda9af", "HBM338.VMRG.486")</f>
        <v>HBM338.VMRG.486</v>
      </c>
      <c r="C39" s="7" t="s">
        <v>102</v>
      </c>
      <c r="D39" s="7" t="s">
        <v>25</v>
      </c>
      <c r="E39" s="7" t="s">
        <v>44</v>
      </c>
      <c r="F39" s="7" t="s">
        <v>103</v>
      </c>
      <c r="G39" s="7" t="b">
        <v>1</v>
      </c>
      <c r="H39" s="5" t="str">
        <f t="shared" si="3"/>
        <v>HBM867.CKFH.272</v>
      </c>
      <c r="I39" s="7" t="s">
        <v>107</v>
      </c>
      <c r="N39" s="7" t="s">
        <v>105</v>
      </c>
      <c r="O39" s="7" t="s">
        <v>28</v>
      </c>
      <c r="P39" s="7" t="s">
        <v>29</v>
      </c>
      <c r="Q39" s="7" t="s">
        <v>30</v>
      </c>
      <c r="R39" s="7" t="b">
        <v>1</v>
      </c>
      <c r="S39" s="5" t="s">
        <v>66</v>
      </c>
      <c r="T39" s="7" t="s">
        <v>32</v>
      </c>
      <c r="U39" s="7" t="s">
        <v>67</v>
      </c>
      <c r="V39" s="7" t="s">
        <v>68</v>
      </c>
      <c r="W39" s="7" t="s">
        <v>69</v>
      </c>
      <c r="X39" s="9">
        <v>44703.76206511574</v>
      </c>
      <c r="Y39" s="9">
        <v>44730.73542565972</v>
      </c>
    </row>
    <row r="40" ht="15.75" customHeight="1">
      <c r="A40" s="5" t="str">
        <f>HYPERLINK("https://portal.hubmapconsortium.org/browse/sample/6bd10b73ec3bb100b691b9ed3f8c4e37", "HBM922.TCNK.538")</f>
        <v>HBM922.TCNK.538</v>
      </c>
      <c r="C40" s="7" t="s">
        <v>102</v>
      </c>
      <c r="D40" s="7" t="s">
        <v>25</v>
      </c>
      <c r="E40" s="7" t="s">
        <v>44</v>
      </c>
      <c r="F40" s="7" t="s">
        <v>103</v>
      </c>
      <c r="G40" s="7" t="b">
        <v>1</v>
      </c>
      <c r="H40" s="5" t="str">
        <f t="shared" si="3"/>
        <v>HBM867.CKFH.272</v>
      </c>
      <c r="I40" s="7" t="s">
        <v>108</v>
      </c>
      <c r="N40" s="7" t="s">
        <v>105</v>
      </c>
      <c r="O40" s="7" t="s">
        <v>28</v>
      </c>
      <c r="P40" s="7" t="s">
        <v>29</v>
      </c>
      <c r="Q40" s="7" t="s">
        <v>30</v>
      </c>
      <c r="R40" s="7" t="b">
        <v>1</v>
      </c>
      <c r="S40" s="5" t="s">
        <v>66</v>
      </c>
      <c r="T40" s="7" t="s">
        <v>32</v>
      </c>
      <c r="U40" s="7" t="s">
        <v>67</v>
      </c>
      <c r="V40" s="7" t="s">
        <v>68</v>
      </c>
      <c r="W40" s="7" t="s">
        <v>69</v>
      </c>
      <c r="X40" s="9">
        <v>44703.76206528935</v>
      </c>
      <c r="Y40" s="9">
        <v>44730.74717863426</v>
      </c>
    </row>
    <row r="41" ht="15.75" customHeight="1">
      <c r="A41" s="5" t="str">
        <f>HYPERLINK("https://portal.hubmapconsortium.org/browse/sample/83997d3696d9d5e6e6a5eb2483ea8f0d", "HBM439.XSCJ.847")</f>
        <v>HBM439.XSCJ.847</v>
      </c>
      <c r="C41" s="7" t="s">
        <v>102</v>
      </c>
      <c r="D41" s="7" t="s">
        <v>25</v>
      </c>
      <c r="E41" s="7" t="s">
        <v>44</v>
      </c>
      <c r="F41" s="7" t="s">
        <v>109</v>
      </c>
      <c r="G41" s="5" t="b">
        <v>0</v>
      </c>
      <c r="H41" s="5" t="str">
        <f>HYPERLINK("https://portal.hubmapconsortium.org/browse/sample/97408712e754c9d9ba0a450d8617997a", "HBM633.KTTT.942")</f>
        <v>HBM633.KTTT.942</v>
      </c>
      <c r="I41" s="7" t="s">
        <v>110</v>
      </c>
      <c r="K41" s="7">
        <v>21.0</v>
      </c>
      <c r="L41" s="7">
        <v>4.0</v>
      </c>
      <c r="M41" s="7">
        <v>7.0</v>
      </c>
      <c r="N41" s="7" t="s">
        <v>111</v>
      </c>
      <c r="O41" s="7" t="s">
        <v>28</v>
      </c>
      <c r="P41" s="7" t="s">
        <v>29</v>
      </c>
      <c r="Q41" s="7" t="s">
        <v>30</v>
      </c>
      <c r="R41" s="5" t="b">
        <v>0</v>
      </c>
      <c r="S41" s="5" t="s">
        <v>31</v>
      </c>
      <c r="T41" s="7" t="s">
        <v>32</v>
      </c>
      <c r="U41" s="7" t="s">
        <v>50</v>
      </c>
      <c r="V41" s="7" t="s">
        <v>51</v>
      </c>
      <c r="W41" s="7" t="s">
        <v>35</v>
      </c>
      <c r="X41" s="9">
        <v>45722.890963125</v>
      </c>
      <c r="Y41" s="9">
        <v>45722.90300627315</v>
      </c>
    </row>
    <row r="42" ht="15.75" customHeight="1">
      <c r="A42" s="5" t="str">
        <f>HYPERLINK("https://portal.hubmapconsortium.org/browse/sample/70a9b2f3ce9bb9ad015bff0ee05ffbca", "HBM548.KWTN.354")</f>
        <v>HBM548.KWTN.354</v>
      </c>
      <c r="C42" s="7" t="s">
        <v>112</v>
      </c>
      <c r="D42" s="7" t="s">
        <v>25</v>
      </c>
      <c r="E42" s="7" t="s">
        <v>44</v>
      </c>
      <c r="F42" s="7" t="s">
        <v>113</v>
      </c>
      <c r="G42" s="5" t="b">
        <v>0</v>
      </c>
      <c r="H42" s="5" t="str">
        <f t="shared" ref="H42:H47" si="4">HYPERLINK("https://portal.hubmapconsortium.org/browse/sample/75e0685fda23bf05bf3f75afd36f597c", "HBM757.DWNN.437")</f>
        <v>HBM757.DWNN.437</v>
      </c>
      <c r="I42" s="7" t="s">
        <v>114</v>
      </c>
      <c r="K42" s="7">
        <v>20.0</v>
      </c>
      <c r="L42" s="7">
        <v>3.0</v>
      </c>
      <c r="M42" s="7">
        <v>6.0</v>
      </c>
      <c r="N42" s="7" t="s">
        <v>115</v>
      </c>
      <c r="O42" s="7" t="s">
        <v>28</v>
      </c>
      <c r="P42" s="7" t="s">
        <v>29</v>
      </c>
      <c r="Q42" s="7" t="s">
        <v>30</v>
      </c>
      <c r="R42" s="5" t="b">
        <v>0</v>
      </c>
      <c r="S42" s="5" t="s">
        <v>31</v>
      </c>
      <c r="T42" s="7" t="s">
        <v>32</v>
      </c>
      <c r="U42" s="7" t="s">
        <v>50</v>
      </c>
      <c r="V42" s="7" t="s">
        <v>51</v>
      </c>
      <c r="W42" s="7" t="s">
        <v>35</v>
      </c>
      <c r="X42" s="9">
        <v>45722.89098645833</v>
      </c>
      <c r="Y42" s="9">
        <v>45722.90320615741</v>
      </c>
    </row>
    <row r="43" ht="15.75" customHeight="1">
      <c r="A43" s="5" t="str">
        <f>HYPERLINK("https://portal.hubmapconsortium.org/browse/sample/678a20084899d8fae3733967a8c7bbb8", "HBM828.FDRM.746")</f>
        <v>HBM828.FDRM.746</v>
      </c>
      <c r="C43" s="7" t="s">
        <v>112</v>
      </c>
      <c r="D43" s="7" t="s">
        <v>25</v>
      </c>
      <c r="E43" s="7" t="s">
        <v>44</v>
      </c>
      <c r="F43" s="7" t="s">
        <v>113</v>
      </c>
      <c r="G43" s="7" t="b">
        <v>1</v>
      </c>
      <c r="H43" s="5" t="str">
        <f t="shared" si="4"/>
        <v>HBM757.DWNN.437</v>
      </c>
      <c r="I43" s="7" t="s">
        <v>116</v>
      </c>
      <c r="N43" s="7" t="s">
        <v>117</v>
      </c>
      <c r="O43" s="7" t="s">
        <v>28</v>
      </c>
      <c r="P43" s="7" t="s">
        <v>29</v>
      </c>
      <c r="Q43" s="7" t="s">
        <v>30</v>
      </c>
      <c r="R43" s="7" t="b">
        <v>1</v>
      </c>
      <c r="S43" s="5" t="s">
        <v>118</v>
      </c>
      <c r="T43" s="7" t="s">
        <v>32</v>
      </c>
      <c r="U43" s="7" t="s">
        <v>67</v>
      </c>
      <c r="V43" s="7" t="s">
        <v>68</v>
      </c>
      <c r="W43" s="7" t="s">
        <v>69</v>
      </c>
      <c r="X43" s="9">
        <v>44703.79954015046</v>
      </c>
      <c r="Y43" s="9">
        <v>44730.76611866898</v>
      </c>
    </row>
    <row r="44" ht="15.75" customHeight="1">
      <c r="A44" s="5" t="str">
        <f>HYPERLINK("https://portal.hubmapconsortium.org/browse/sample/814bd0449a4b88dd432b4ad7e1ebe4f8", "HBM664.CMGH.349")</f>
        <v>HBM664.CMGH.349</v>
      </c>
      <c r="C44" s="7" t="s">
        <v>112</v>
      </c>
      <c r="D44" s="7" t="s">
        <v>25</v>
      </c>
      <c r="E44" s="7" t="s">
        <v>44</v>
      </c>
      <c r="F44" s="7" t="s">
        <v>113</v>
      </c>
      <c r="G44" s="7" t="b">
        <v>1</v>
      </c>
      <c r="H44" s="5" t="str">
        <f t="shared" si="4"/>
        <v>HBM757.DWNN.437</v>
      </c>
      <c r="I44" s="7" t="s">
        <v>119</v>
      </c>
      <c r="O44" s="7" t="s">
        <v>28</v>
      </c>
      <c r="P44" s="7" t="s">
        <v>29</v>
      </c>
      <c r="Q44" s="7" t="s">
        <v>30</v>
      </c>
      <c r="R44" s="7" t="b">
        <v>1</v>
      </c>
      <c r="S44" s="5" t="s">
        <v>66</v>
      </c>
      <c r="T44" s="7" t="s">
        <v>32</v>
      </c>
      <c r="U44" s="7" t="s">
        <v>67</v>
      </c>
      <c r="V44" s="7" t="s">
        <v>68</v>
      </c>
      <c r="W44" s="7" t="s">
        <v>69</v>
      </c>
      <c r="X44" s="9">
        <v>44387.99647568287</v>
      </c>
      <c r="Y44" s="9">
        <v>44467.09837001158</v>
      </c>
    </row>
    <row r="45" ht="15.75" customHeight="1">
      <c r="A45" s="5" t="str">
        <f>HYPERLINK("https://portal.hubmapconsortium.org/browse/sample/9727d9bc9b938a988c88ae21738e00b5", "HBM328.HNFB.949")</f>
        <v>HBM328.HNFB.949</v>
      </c>
      <c r="C45" s="7" t="s">
        <v>112</v>
      </c>
      <c r="D45" s="7" t="s">
        <v>25</v>
      </c>
      <c r="E45" s="7" t="s">
        <v>44</v>
      </c>
      <c r="F45" s="7" t="s">
        <v>113</v>
      </c>
      <c r="G45" s="7" t="b">
        <v>1</v>
      </c>
      <c r="H45" s="5" t="str">
        <f t="shared" si="4"/>
        <v>HBM757.DWNN.437</v>
      </c>
      <c r="I45" s="7" t="s">
        <v>120</v>
      </c>
      <c r="N45" s="7" t="s">
        <v>117</v>
      </c>
      <c r="O45" s="7" t="s">
        <v>28</v>
      </c>
      <c r="P45" s="7" t="s">
        <v>29</v>
      </c>
      <c r="Q45" s="7" t="s">
        <v>30</v>
      </c>
      <c r="R45" s="7" t="b">
        <v>1</v>
      </c>
      <c r="S45" s="5" t="s">
        <v>118</v>
      </c>
      <c r="T45" s="7" t="s">
        <v>32</v>
      </c>
      <c r="U45" s="7" t="s">
        <v>67</v>
      </c>
      <c r="V45" s="7" t="s">
        <v>68</v>
      </c>
      <c r="W45" s="7" t="s">
        <v>69</v>
      </c>
      <c r="X45" s="9">
        <v>44703.79954041666</v>
      </c>
      <c r="Y45" s="9">
        <v>44730.78470189815</v>
      </c>
    </row>
    <row r="46" ht="15.75" customHeight="1">
      <c r="A46" s="5" t="str">
        <f>HYPERLINK("https://portal.hubmapconsortium.org/browse/sample/7c911d2636459124eabc69883afe4cbc", "HBM267.HTHQ.426")</f>
        <v>HBM267.HTHQ.426</v>
      </c>
      <c r="C46" s="7" t="s">
        <v>112</v>
      </c>
      <c r="D46" s="7" t="s">
        <v>25</v>
      </c>
      <c r="E46" s="7" t="s">
        <v>44</v>
      </c>
      <c r="F46" s="7" t="s">
        <v>113</v>
      </c>
      <c r="G46" s="7" t="b">
        <v>1</v>
      </c>
      <c r="H46" s="5" t="str">
        <f t="shared" si="4"/>
        <v>HBM757.DWNN.437</v>
      </c>
      <c r="I46" s="7" t="s">
        <v>121</v>
      </c>
      <c r="N46" s="7" t="s">
        <v>117</v>
      </c>
      <c r="O46" s="7" t="s">
        <v>28</v>
      </c>
      <c r="P46" s="7" t="s">
        <v>29</v>
      </c>
      <c r="Q46" s="7" t="s">
        <v>30</v>
      </c>
      <c r="R46" s="7" t="b">
        <v>1</v>
      </c>
      <c r="S46" s="5" t="s">
        <v>118</v>
      </c>
      <c r="T46" s="7" t="s">
        <v>32</v>
      </c>
      <c r="U46" s="7" t="s">
        <v>67</v>
      </c>
      <c r="V46" s="7" t="s">
        <v>68</v>
      </c>
      <c r="W46" s="7" t="s">
        <v>69</v>
      </c>
      <c r="X46" s="9">
        <v>44703.79954059028</v>
      </c>
      <c r="Y46" s="9">
        <v>44730.79408695602</v>
      </c>
    </row>
    <row r="47" ht="15.75" customHeight="1">
      <c r="A47" s="5" t="str">
        <f>HYPERLINK("https://portal.hubmapconsortium.org/browse/sample/fbb9843273bf419bfff9634878a42fef", "HBM399.SZKR.526")</f>
        <v>HBM399.SZKR.526</v>
      </c>
      <c r="C47" s="7" t="s">
        <v>112</v>
      </c>
      <c r="D47" s="7" t="s">
        <v>25</v>
      </c>
      <c r="E47" s="7" t="s">
        <v>44</v>
      </c>
      <c r="F47" s="7" t="s">
        <v>113</v>
      </c>
      <c r="G47" s="7" t="b">
        <v>1</v>
      </c>
      <c r="H47" s="5" t="str">
        <f t="shared" si="4"/>
        <v>HBM757.DWNN.437</v>
      </c>
      <c r="I47" s="7" t="s">
        <v>122</v>
      </c>
      <c r="N47" s="7" t="s">
        <v>117</v>
      </c>
      <c r="O47" s="7" t="s">
        <v>28</v>
      </c>
      <c r="P47" s="7" t="s">
        <v>29</v>
      </c>
      <c r="Q47" s="7" t="s">
        <v>30</v>
      </c>
      <c r="R47" s="7" t="b">
        <v>1</v>
      </c>
      <c r="S47" s="5" t="s">
        <v>118</v>
      </c>
      <c r="T47" s="7" t="s">
        <v>32</v>
      </c>
      <c r="U47" s="7" t="s">
        <v>67</v>
      </c>
      <c r="V47" s="7" t="s">
        <v>68</v>
      </c>
      <c r="W47" s="7" t="s">
        <v>69</v>
      </c>
      <c r="X47" s="9">
        <v>44703.79954075231</v>
      </c>
      <c r="Y47" s="9">
        <v>44730.8151634838</v>
      </c>
    </row>
    <row r="48" ht="15.75" customHeight="1">
      <c r="A48" s="5" t="str">
        <f>HYPERLINK("https://portal.hubmapconsortium.org/browse/sample/ed9f69c18378e00e9b59a51489689fb3", "HBM745.XSZJ.387")</f>
        <v>HBM745.XSZJ.387</v>
      </c>
      <c r="C48" s="7" t="s">
        <v>123</v>
      </c>
      <c r="D48" s="7" t="s">
        <v>25</v>
      </c>
      <c r="E48" s="7" t="s">
        <v>44</v>
      </c>
      <c r="F48" s="7" t="s">
        <v>124</v>
      </c>
      <c r="G48" s="5" t="b">
        <v>0</v>
      </c>
      <c r="H48" s="5" t="str">
        <f t="shared" ref="H48:H58" si="5">HYPERLINK("https://portal.hubmapconsortium.org/browse/sample/5b24ccb2caa0fadbb19325591b4c2236", "HBM247.SHRT.724")</f>
        <v>HBM247.SHRT.724</v>
      </c>
      <c r="I48" s="7" t="s">
        <v>125</v>
      </c>
      <c r="K48" s="7">
        <v>20.0</v>
      </c>
      <c r="L48" s="7">
        <v>4.0</v>
      </c>
      <c r="M48" s="7">
        <v>8.0</v>
      </c>
      <c r="N48" s="7" t="s">
        <v>126</v>
      </c>
      <c r="O48" s="7" t="s">
        <v>28</v>
      </c>
      <c r="P48" s="7" t="s">
        <v>29</v>
      </c>
      <c r="Q48" s="7" t="s">
        <v>30</v>
      </c>
      <c r="R48" s="5" t="b">
        <v>0</v>
      </c>
      <c r="S48" s="5" t="s">
        <v>31</v>
      </c>
      <c r="T48" s="7" t="s">
        <v>32</v>
      </c>
      <c r="U48" s="7" t="s">
        <v>50</v>
      </c>
      <c r="V48" s="7" t="s">
        <v>51</v>
      </c>
      <c r="W48" s="7" t="s">
        <v>35</v>
      </c>
      <c r="X48" s="9">
        <v>45741.62296953703</v>
      </c>
      <c r="Y48" s="9">
        <v>45741.62296953703</v>
      </c>
    </row>
    <row r="49" ht="15.75" customHeight="1">
      <c r="A49" s="5" t="str">
        <f>HYPERLINK("https://portal.hubmapconsortium.org/browse/sample/19e75ac18b4279ee82d81d370495c56a", "HBM696.NSWW.345")</f>
        <v>HBM696.NSWW.345</v>
      </c>
      <c r="C49" s="7" t="s">
        <v>123</v>
      </c>
      <c r="D49" s="7" t="s">
        <v>25</v>
      </c>
      <c r="E49" s="7" t="s">
        <v>44</v>
      </c>
      <c r="F49" s="7" t="s">
        <v>124</v>
      </c>
      <c r="G49" s="5" t="b">
        <v>0</v>
      </c>
      <c r="H49" s="5" t="str">
        <f t="shared" si="5"/>
        <v>HBM247.SHRT.724</v>
      </c>
      <c r="I49" s="7" t="s">
        <v>127</v>
      </c>
      <c r="K49" s="7">
        <v>20.0</v>
      </c>
      <c r="L49" s="7">
        <v>4.0</v>
      </c>
      <c r="M49" s="7">
        <v>7.0</v>
      </c>
      <c r="N49" s="7" t="s">
        <v>128</v>
      </c>
      <c r="O49" s="7" t="s">
        <v>28</v>
      </c>
      <c r="P49" s="7" t="s">
        <v>29</v>
      </c>
      <c r="Q49" s="7" t="s">
        <v>30</v>
      </c>
      <c r="R49" s="5" t="b">
        <v>0</v>
      </c>
      <c r="S49" s="5" t="s">
        <v>31</v>
      </c>
      <c r="T49" s="7" t="s">
        <v>49</v>
      </c>
      <c r="U49" s="7" t="s">
        <v>33</v>
      </c>
      <c r="V49" s="7" t="s">
        <v>34</v>
      </c>
      <c r="W49" s="7" t="s">
        <v>35</v>
      </c>
      <c r="X49" s="9">
        <v>45789.82286482639</v>
      </c>
      <c r="Y49" s="9">
        <v>45789.82286482639</v>
      </c>
    </row>
    <row r="50" ht="15.75" customHeight="1">
      <c r="A50" s="5" t="str">
        <f>HYPERLINK("https://portal.hubmapconsortium.org/browse/sample/90ccaa377259bc049f8644f8c2003e36", "HBM727.WZMV.684")</f>
        <v>HBM727.WZMV.684</v>
      </c>
      <c r="C50" s="7" t="s">
        <v>123</v>
      </c>
      <c r="D50" s="7" t="s">
        <v>25</v>
      </c>
      <c r="E50" s="7" t="s">
        <v>44</v>
      </c>
      <c r="F50" s="7" t="s">
        <v>124</v>
      </c>
      <c r="G50" s="5" t="b">
        <v>0</v>
      </c>
      <c r="H50" s="5" t="str">
        <f t="shared" si="5"/>
        <v>HBM247.SHRT.724</v>
      </c>
      <c r="I50" s="7" t="s">
        <v>129</v>
      </c>
      <c r="K50" s="7">
        <v>20.0</v>
      </c>
      <c r="L50" s="7">
        <v>4.0</v>
      </c>
      <c r="M50" s="7">
        <v>5.0</v>
      </c>
      <c r="N50" s="7" t="s">
        <v>130</v>
      </c>
      <c r="O50" s="7" t="s">
        <v>28</v>
      </c>
      <c r="P50" s="7" t="s">
        <v>29</v>
      </c>
      <c r="Q50" s="7" t="s">
        <v>30</v>
      </c>
      <c r="R50" s="5" t="b">
        <v>0</v>
      </c>
      <c r="S50" s="5" t="s">
        <v>131</v>
      </c>
      <c r="T50" s="7" t="s">
        <v>32</v>
      </c>
      <c r="U50" s="7" t="s">
        <v>33</v>
      </c>
      <c r="V50" s="7" t="s">
        <v>34</v>
      </c>
      <c r="W50" s="7" t="s">
        <v>35</v>
      </c>
      <c r="X50" s="9">
        <v>45316.64665724537</v>
      </c>
      <c r="Y50" s="9">
        <v>45316.64665724537</v>
      </c>
    </row>
    <row r="51" ht="15.75" customHeight="1">
      <c r="A51" s="5" t="str">
        <f>HYPERLINK("https://portal.hubmapconsortium.org/browse/sample/bb125996355ca8646ec74a8bedb7639d", "HBM879.PRLJ.697")</f>
        <v>HBM879.PRLJ.697</v>
      </c>
      <c r="C51" s="7" t="s">
        <v>123</v>
      </c>
      <c r="D51" s="7" t="s">
        <v>25</v>
      </c>
      <c r="E51" s="7" t="s">
        <v>44</v>
      </c>
      <c r="F51" s="7" t="s">
        <v>124</v>
      </c>
      <c r="G51" s="5" t="b">
        <v>0</v>
      </c>
      <c r="H51" s="5" t="str">
        <f t="shared" si="5"/>
        <v>HBM247.SHRT.724</v>
      </c>
      <c r="I51" s="7" t="s">
        <v>132</v>
      </c>
      <c r="K51" s="7">
        <v>20.0</v>
      </c>
      <c r="L51" s="7">
        <v>4.0</v>
      </c>
      <c r="M51" s="7">
        <v>8.0</v>
      </c>
      <c r="N51" s="7" t="s">
        <v>130</v>
      </c>
      <c r="O51" s="7" t="s">
        <v>28</v>
      </c>
      <c r="P51" s="7" t="s">
        <v>29</v>
      </c>
      <c r="Q51" s="7" t="s">
        <v>30</v>
      </c>
      <c r="R51" s="5" t="b">
        <v>0</v>
      </c>
      <c r="S51" s="5" t="s">
        <v>131</v>
      </c>
      <c r="T51" s="7" t="s">
        <v>32</v>
      </c>
      <c r="U51" s="7" t="s">
        <v>33</v>
      </c>
      <c r="V51" s="7" t="s">
        <v>34</v>
      </c>
      <c r="W51" s="7" t="s">
        <v>35</v>
      </c>
      <c r="X51" s="9">
        <v>45316.64578706019</v>
      </c>
      <c r="Y51" s="9">
        <v>45362.1456799537</v>
      </c>
    </row>
    <row r="52" ht="15.75" customHeight="1">
      <c r="A52" s="5" t="str">
        <f>HYPERLINK("https://portal.hubmapconsortium.org/browse/sample/06fd15efbba53f1bd8d1ba4ed9f55421", "HBM325.FMTV.343")</f>
        <v>HBM325.FMTV.343</v>
      </c>
      <c r="C52" s="7" t="s">
        <v>123</v>
      </c>
      <c r="D52" s="7" t="s">
        <v>25</v>
      </c>
      <c r="E52" s="7" t="s">
        <v>44</v>
      </c>
      <c r="F52" s="7" t="s">
        <v>124</v>
      </c>
      <c r="G52" s="7" t="b">
        <v>1</v>
      </c>
      <c r="H52" s="5" t="str">
        <f t="shared" si="5"/>
        <v>HBM247.SHRT.724</v>
      </c>
      <c r="I52" s="7" t="s">
        <v>133</v>
      </c>
      <c r="N52" s="7" t="s">
        <v>134</v>
      </c>
      <c r="O52" s="7" t="s">
        <v>28</v>
      </c>
      <c r="P52" s="7" t="s">
        <v>29</v>
      </c>
      <c r="Q52" s="7" t="s">
        <v>30</v>
      </c>
      <c r="R52" s="7" t="b">
        <v>1</v>
      </c>
      <c r="S52" s="5" t="s">
        <v>118</v>
      </c>
      <c r="T52" s="7" t="s">
        <v>32</v>
      </c>
      <c r="U52" s="7" t="s">
        <v>67</v>
      </c>
      <c r="V52" s="7" t="s">
        <v>68</v>
      </c>
      <c r="W52" s="7" t="s">
        <v>69</v>
      </c>
      <c r="X52" s="9">
        <v>44704.03275454861</v>
      </c>
      <c r="Y52" s="9">
        <v>44730.83014736111</v>
      </c>
    </row>
    <row r="53" ht="15.75" customHeight="1">
      <c r="A53" s="5" t="str">
        <f>HYPERLINK("https://portal.hubmapconsortium.org/browse/sample/825e4d48c77f4b0444f1dcc3834e1a2d", "HBM744.DVKT.694")</f>
        <v>HBM744.DVKT.694</v>
      </c>
      <c r="C53" s="7" t="s">
        <v>123</v>
      </c>
      <c r="D53" s="7" t="s">
        <v>25</v>
      </c>
      <c r="E53" s="7" t="s">
        <v>44</v>
      </c>
      <c r="F53" s="7" t="s">
        <v>124</v>
      </c>
      <c r="G53" s="7" t="b">
        <v>1</v>
      </c>
      <c r="H53" s="5" t="str">
        <f t="shared" si="5"/>
        <v>HBM247.SHRT.724</v>
      </c>
      <c r="I53" s="7" t="s">
        <v>135</v>
      </c>
      <c r="O53" s="7" t="s">
        <v>28</v>
      </c>
      <c r="P53" s="7" t="s">
        <v>29</v>
      </c>
      <c r="Q53" s="7" t="s">
        <v>30</v>
      </c>
      <c r="R53" s="7" t="b">
        <v>1</v>
      </c>
      <c r="S53" s="5" t="s">
        <v>66</v>
      </c>
      <c r="T53" s="7" t="s">
        <v>32</v>
      </c>
      <c r="U53" s="7" t="s">
        <v>67</v>
      </c>
      <c r="V53" s="7" t="s">
        <v>68</v>
      </c>
      <c r="W53" s="7" t="s">
        <v>69</v>
      </c>
      <c r="X53" s="9">
        <v>44387.97883446759</v>
      </c>
      <c r="Y53" s="9">
        <v>44466.12749850695</v>
      </c>
    </row>
    <row r="54" ht="15.75" customHeight="1">
      <c r="A54" s="5" t="str">
        <f>HYPERLINK("https://portal.hubmapconsortium.org/browse/sample/c4ce62fa093c5cd82cb2e8b41f4800d9", "HBM248.WJMR.773")</f>
        <v>HBM248.WJMR.773</v>
      </c>
      <c r="C54" s="7" t="s">
        <v>123</v>
      </c>
      <c r="D54" s="7" t="s">
        <v>25</v>
      </c>
      <c r="E54" s="7" t="s">
        <v>44</v>
      </c>
      <c r="F54" s="7" t="s">
        <v>124</v>
      </c>
      <c r="G54" s="5" t="b">
        <v>0</v>
      </c>
      <c r="H54" s="5" t="str">
        <f t="shared" si="5"/>
        <v>HBM247.SHRT.724</v>
      </c>
      <c r="I54" s="7" t="s">
        <v>136</v>
      </c>
      <c r="K54" s="7">
        <v>22.0</v>
      </c>
      <c r="L54" s="7">
        <v>1.0</v>
      </c>
      <c r="M54" s="7">
        <v>3.0</v>
      </c>
      <c r="O54" s="7" t="s">
        <v>28</v>
      </c>
      <c r="P54" s="7" t="s">
        <v>29</v>
      </c>
      <c r="Q54" s="7" t="s">
        <v>30</v>
      </c>
      <c r="R54" s="5" t="b">
        <v>0</v>
      </c>
      <c r="S54" s="5" t="s">
        <v>137</v>
      </c>
      <c r="T54" s="7" t="s">
        <v>49</v>
      </c>
      <c r="U54" s="7" t="s">
        <v>33</v>
      </c>
      <c r="V54" s="7" t="s">
        <v>34</v>
      </c>
      <c r="W54" s="7" t="s">
        <v>35</v>
      </c>
      <c r="X54" s="9">
        <v>45736.64051854167</v>
      </c>
      <c r="Y54" s="9">
        <v>45736.64506359954</v>
      </c>
    </row>
    <row r="55" ht="15.75" customHeight="1">
      <c r="A55" s="5" t="str">
        <f>HYPERLINK("https://portal.hubmapconsortium.org/browse/sample/7e68adff1c4ad41005fe77eb71641fa4", "HBM624.HGGF.297")</f>
        <v>HBM624.HGGF.297</v>
      </c>
      <c r="C55" s="7" t="s">
        <v>123</v>
      </c>
      <c r="D55" s="7" t="s">
        <v>25</v>
      </c>
      <c r="E55" s="7" t="s">
        <v>44</v>
      </c>
      <c r="F55" s="7" t="s">
        <v>124</v>
      </c>
      <c r="G55" s="7" t="b">
        <v>1</v>
      </c>
      <c r="H55" s="5" t="str">
        <f t="shared" si="5"/>
        <v>HBM247.SHRT.724</v>
      </c>
      <c r="I55" s="7" t="s">
        <v>138</v>
      </c>
      <c r="O55" s="7" t="s">
        <v>28</v>
      </c>
      <c r="P55" s="7" t="s">
        <v>29</v>
      </c>
      <c r="Q55" s="7" t="s">
        <v>30</v>
      </c>
      <c r="R55" s="7" t="b">
        <v>1</v>
      </c>
      <c r="S55" s="5" t="s">
        <v>66</v>
      </c>
      <c r="T55" s="7" t="s">
        <v>32</v>
      </c>
      <c r="U55" s="7" t="s">
        <v>67</v>
      </c>
      <c r="V55" s="7" t="s">
        <v>68</v>
      </c>
      <c r="W55" s="7" t="s">
        <v>69</v>
      </c>
      <c r="X55" s="9">
        <v>44387.98763866898</v>
      </c>
      <c r="Y55" s="9">
        <v>44467.07306399306</v>
      </c>
    </row>
    <row r="56" ht="15.75" customHeight="1">
      <c r="A56" s="5" t="str">
        <f>HYPERLINK("https://portal.hubmapconsortium.org/browse/sample/17b3afd0a7b2aca21ab51e72596f769b", "HBM824.SLZK.599")</f>
        <v>HBM824.SLZK.599</v>
      </c>
      <c r="C56" s="7" t="s">
        <v>123</v>
      </c>
      <c r="D56" s="7" t="s">
        <v>25</v>
      </c>
      <c r="E56" s="7" t="s">
        <v>44</v>
      </c>
      <c r="F56" s="7" t="s">
        <v>124</v>
      </c>
      <c r="G56" s="7" t="b">
        <v>1</v>
      </c>
      <c r="H56" s="5" t="str">
        <f t="shared" si="5"/>
        <v>HBM247.SHRT.724</v>
      </c>
      <c r="I56" s="7" t="s">
        <v>139</v>
      </c>
      <c r="N56" s="7" t="s">
        <v>140</v>
      </c>
      <c r="O56" s="7" t="s">
        <v>28</v>
      </c>
      <c r="P56" s="7" t="s">
        <v>29</v>
      </c>
      <c r="Q56" s="7" t="s">
        <v>30</v>
      </c>
      <c r="R56" s="7" t="b">
        <v>1</v>
      </c>
      <c r="S56" s="5" t="s">
        <v>118</v>
      </c>
      <c r="T56" s="7" t="s">
        <v>32</v>
      </c>
      <c r="U56" s="7" t="s">
        <v>67</v>
      </c>
      <c r="V56" s="7" t="s">
        <v>68</v>
      </c>
      <c r="W56" s="7" t="s">
        <v>69</v>
      </c>
      <c r="X56" s="9">
        <v>44704.03275487269</v>
      </c>
      <c r="Y56" s="9">
        <v>44730.83728607639</v>
      </c>
    </row>
    <row r="57" ht="15.75" customHeight="1">
      <c r="A57" s="5" t="str">
        <f>HYPERLINK("https://portal.hubmapconsortium.org/browse/sample/878fba1e9cb02481bda8e38dc243c7de", "HBM437.CVGQ.787")</f>
        <v>HBM437.CVGQ.787</v>
      </c>
      <c r="C57" s="7" t="s">
        <v>123</v>
      </c>
      <c r="D57" s="7" t="s">
        <v>25</v>
      </c>
      <c r="E57" s="7" t="s">
        <v>44</v>
      </c>
      <c r="F57" s="7" t="s">
        <v>124</v>
      </c>
      <c r="G57" s="7" t="b">
        <v>1</v>
      </c>
      <c r="H57" s="5" t="str">
        <f t="shared" si="5"/>
        <v>HBM247.SHRT.724</v>
      </c>
      <c r="I57" s="7" t="s">
        <v>141</v>
      </c>
      <c r="O57" s="7" t="s">
        <v>28</v>
      </c>
      <c r="P57" s="7" t="s">
        <v>29</v>
      </c>
      <c r="Q57" s="7" t="s">
        <v>30</v>
      </c>
      <c r="R57" s="7" t="b">
        <v>1</v>
      </c>
      <c r="S57" s="5" t="s">
        <v>66</v>
      </c>
      <c r="T57" s="7" t="s">
        <v>32</v>
      </c>
      <c r="U57" s="7" t="s">
        <v>67</v>
      </c>
      <c r="V57" s="7" t="s">
        <v>68</v>
      </c>
      <c r="W57" s="7" t="s">
        <v>69</v>
      </c>
      <c r="X57" s="9">
        <v>44387.97883418982</v>
      </c>
      <c r="Y57" s="9">
        <v>44466.15045480324</v>
      </c>
    </row>
    <row r="58" ht="15.75" customHeight="1">
      <c r="A58" s="5" t="str">
        <f>HYPERLINK("https://portal.hubmapconsortium.org/browse/sample/1a4319c0159c674a014d94b6ad493bb7", "HBM497.VGSN.945")</f>
        <v>HBM497.VGSN.945</v>
      </c>
      <c r="C58" s="7" t="s">
        <v>123</v>
      </c>
      <c r="D58" s="7" t="s">
        <v>25</v>
      </c>
      <c r="E58" s="7" t="s">
        <v>44</v>
      </c>
      <c r="F58" s="7" t="s">
        <v>124</v>
      </c>
      <c r="G58" s="7" t="b">
        <v>1</v>
      </c>
      <c r="H58" s="5" t="str">
        <f t="shared" si="5"/>
        <v>HBM247.SHRT.724</v>
      </c>
      <c r="I58" s="7" t="s">
        <v>142</v>
      </c>
      <c r="O58" s="7" t="s">
        <v>28</v>
      </c>
      <c r="P58" s="7" t="s">
        <v>29</v>
      </c>
      <c r="Q58" s="7" t="s">
        <v>30</v>
      </c>
      <c r="R58" s="7" t="b">
        <v>1</v>
      </c>
      <c r="S58" s="5" t="s">
        <v>66</v>
      </c>
      <c r="T58" s="7" t="s">
        <v>32</v>
      </c>
      <c r="U58" s="7" t="s">
        <v>67</v>
      </c>
      <c r="V58" s="7" t="s">
        <v>68</v>
      </c>
      <c r="W58" s="7" t="s">
        <v>69</v>
      </c>
      <c r="X58" s="9">
        <v>44387.98763846065</v>
      </c>
      <c r="Y58" s="9">
        <v>44467.08184118055</v>
      </c>
    </row>
    <row r="59" ht="15.75" customHeight="1">
      <c r="A59" s="5" t="str">
        <f>HYPERLINK("https://portal.hubmapconsortium.org/browse/sample/46c312ed8a0d794e8d83b52bdb3ec3e8", "HBM588.VWJV.826")</f>
        <v>HBM588.VWJV.826</v>
      </c>
      <c r="C59" s="7" t="s">
        <v>143</v>
      </c>
      <c r="D59" s="7" t="s">
        <v>25</v>
      </c>
      <c r="E59" s="7" t="s">
        <v>44</v>
      </c>
      <c r="F59" s="7" t="s">
        <v>144</v>
      </c>
      <c r="G59" s="7" t="b">
        <v>1</v>
      </c>
      <c r="H59" s="5" t="str">
        <f t="shared" ref="H59:H64" si="6">HYPERLINK("https://portal.hubmapconsortium.org/browse/sample/914451adcbf7503357c542841367b6fb", "HBM693.VJCB.242")</f>
        <v>HBM693.VJCB.242</v>
      </c>
      <c r="I59" s="7" t="s">
        <v>145</v>
      </c>
      <c r="N59" s="7" t="s">
        <v>146</v>
      </c>
      <c r="O59" s="7" t="s">
        <v>28</v>
      </c>
      <c r="P59" s="7" t="s">
        <v>29</v>
      </c>
      <c r="Q59" s="7" t="s">
        <v>30</v>
      </c>
      <c r="R59" s="7" t="b">
        <v>1</v>
      </c>
      <c r="S59" s="5" t="s">
        <v>147</v>
      </c>
      <c r="T59" s="7" t="s">
        <v>49</v>
      </c>
      <c r="U59" s="7" t="s">
        <v>67</v>
      </c>
      <c r="V59" s="7" t="s">
        <v>68</v>
      </c>
      <c r="W59" s="7" t="s">
        <v>69</v>
      </c>
      <c r="X59" s="9">
        <v>44606.27544533565</v>
      </c>
      <c r="Y59" s="9">
        <v>44606.28370409722</v>
      </c>
    </row>
    <row r="60" ht="15.75" customHeight="1">
      <c r="A60" s="5" t="str">
        <f>HYPERLINK("https://portal.hubmapconsortium.org/browse/sample/a1674a8ba8caf5515bdfbaf76ad7420c", "HBM395.JPSZ.677")</f>
        <v>HBM395.JPSZ.677</v>
      </c>
      <c r="C60" s="7" t="s">
        <v>143</v>
      </c>
      <c r="D60" s="7" t="s">
        <v>25</v>
      </c>
      <c r="E60" s="7" t="s">
        <v>44</v>
      </c>
      <c r="F60" s="7" t="s">
        <v>144</v>
      </c>
      <c r="G60" s="5" t="b">
        <v>0</v>
      </c>
      <c r="H60" s="5" t="str">
        <f t="shared" si="6"/>
        <v>HBM693.VJCB.242</v>
      </c>
      <c r="I60" s="7" t="s">
        <v>148</v>
      </c>
      <c r="K60" s="7">
        <v>20.0</v>
      </c>
      <c r="L60" s="7">
        <v>5.0</v>
      </c>
      <c r="M60" s="7">
        <v>9.0</v>
      </c>
      <c r="N60" s="7" t="s">
        <v>149</v>
      </c>
      <c r="O60" s="7" t="s">
        <v>28</v>
      </c>
      <c r="P60" s="7" t="s">
        <v>29</v>
      </c>
      <c r="Q60" s="7" t="s">
        <v>30</v>
      </c>
      <c r="R60" s="5" t="b">
        <v>0</v>
      </c>
      <c r="S60" s="5" t="s">
        <v>31</v>
      </c>
      <c r="T60" s="7" t="s">
        <v>32</v>
      </c>
      <c r="U60" s="7" t="s">
        <v>50</v>
      </c>
      <c r="V60" s="7" t="s">
        <v>51</v>
      </c>
      <c r="W60" s="7" t="s">
        <v>35</v>
      </c>
      <c r="X60" s="9">
        <v>45722.89100760416</v>
      </c>
      <c r="Y60" s="9">
        <v>45722.90338587963</v>
      </c>
    </row>
    <row r="61" ht="15.75" customHeight="1">
      <c r="A61" s="5" t="str">
        <f>HYPERLINK("https://portal.hubmapconsortium.org/browse/sample/c901fc37457edd564e02518de7889225", "HBM435.QGHP.936")</f>
        <v>HBM435.QGHP.936</v>
      </c>
      <c r="C61" s="7" t="s">
        <v>143</v>
      </c>
      <c r="D61" s="7" t="s">
        <v>25</v>
      </c>
      <c r="E61" s="7" t="s">
        <v>44</v>
      </c>
      <c r="F61" s="7" t="s">
        <v>144</v>
      </c>
      <c r="G61" s="7" t="b">
        <v>1</v>
      </c>
      <c r="H61" s="5" t="str">
        <f t="shared" si="6"/>
        <v>HBM693.VJCB.242</v>
      </c>
      <c r="I61" s="7" t="s">
        <v>150</v>
      </c>
      <c r="O61" s="7" t="s">
        <v>28</v>
      </c>
      <c r="P61" s="7" t="s">
        <v>29</v>
      </c>
      <c r="Q61" s="7" t="s">
        <v>30</v>
      </c>
      <c r="R61" s="7" t="b">
        <v>1</v>
      </c>
      <c r="S61" s="5" t="s">
        <v>147</v>
      </c>
      <c r="T61" s="7" t="s">
        <v>49</v>
      </c>
      <c r="U61" s="7" t="s">
        <v>67</v>
      </c>
      <c r="V61" s="7" t="s">
        <v>68</v>
      </c>
      <c r="W61" s="7" t="s">
        <v>69</v>
      </c>
      <c r="X61" s="9">
        <v>44606.27544556713</v>
      </c>
      <c r="Y61" s="9">
        <v>44606.29006614583</v>
      </c>
    </row>
    <row r="62" ht="15.75" customHeight="1">
      <c r="A62" s="5" t="str">
        <f>HYPERLINK("https://portal.hubmapconsortium.org/browse/sample/9f7b7b28fae00c8539bc0243df8fb207", "HBM946.WFMM.788")</f>
        <v>HBM946.WFMM.788</v>
      </c>
      <c r="C62" s="7" t="s">
        <v>143</v>
      </c>
      <c r="D62" s="7" t="s">
        <v>25</v>
      </c>
      <c r="E62" s="7" t="s">
        <v>44</v>
      </c>
      <c r="F62" s="7" t="s">
        <v>144</v>
      </c>
      <c r="G62" s="7" t="b">
        <v>1</v>
      </c>
      <c r="H62" s="5" t="str">
        <f t="shared" si="6"/>
        <v>HBM693.VJCB.242</v>
      </c>
      <c r="I62" s="7" t="s">
        <v>151</v>
      </c>
      <c r="N62" s="7" t="s">
        <v>152</v>
      </c>
      <c r="O62" s="7" t="s">
        <v>28</v>
      </c>
      <c r="P62" s="7" t="s">
        <v>29</v>
      </c>
      <c r="Q62" s="7" t="s">
        <v>30</v>
      </c>
      <c r="R62" s="7" t="b">
        <v>1</v>
      </c>
      <c r="S62" s="5" t="s">
        <v>66</v>
      </c>
      <c r="T62" s="7" t="s">
        <v>32</v>
      </c>
      <c r="U62" s="7" t="s">
        <v>67</v>
      </c>
      <c r="V62" s="7" t="s">
        <v>68</v>
      </c>
      <c r="W62" s="7" t="s">
        <v>69</v>
      </c>
      <c r="X62" s="9">
        <v>44487.0855580787</v>
      </c>
      <c r="Y62" s="9">
        <v>44487.12066413194</v>
      </c>
    </row>
    <row r="63" ht="15.75" customHeight="1">
      <c r="A63" s="5" t="str">
        <f>HYPERLINK("https://portal.hubmapconsortium.org/browse/sample/24bdccf12d2200cebf572bb04b43eca2", "HBM385.MVFS.563")</f>
        <v>HBM385.MVFS.563</v>
      </c>
      <c r="C63" s="7" t="s">
        <v>143</v>
      </c>
      <c r="D63" s="7" t="s">
        <v>25</v>
      </c>
      <c r="E63" s="7" t="s">
        <v>44</v>
      </c>
      <c r="F63" s="7" t="s">
        <v>144</v>
      </c>
      <c r="G63" s="7" t="b">
        <v>1</v>
      </c>
      <c r="H63" s="5" t="str">
        <f t="shared" si="6"/>
        <v>HBM693.VJCB.242</v>
      </c>
      <c r="I63" s="7" t="s">
        <v>153</v>
      </c>
      <c r="N63" s="7" t="s">
        <v>154</v>
      </c>
      <c r="O63" s="7" t="s">
        <v>28</v>
      </c>
      <c r="P63" s="7" t="s">
        <v>29</v>
      </c>
      <c r="Q63" s="7" t="s">
        <v>30</v>
      </c>
      <c r="R63" s="7" t="b">
        <v>1</v>
      </c>
      <c r="S63" s="5" t="s">
        <v>147</v>
      </c>
      <c r="T63" s="7" t="s">
        <v>49</v>
      </c>
      <c r="U63" s="7" t="s">
        <v>67</v>
      </c>
      <c r="V63" s="7" t="s">
        <v>68</v>
      </c>
      <c r="W63" s="7" t="s">
        <v>69</v>
      </c>
      <c r="X63" s="9">
        <v>44606.27544579861</v>
      </c>
      <c r="Y63" s="9">
        <v>44606.29598584491</v>
      </c>
    </row>
    <row r="64" ht="15.75" customHeight="1">
      <c r="A64" s="5" t="str">
        <f>HYPERLINK("https://portal.hubmapconsortium.org/browse/sample/ab2b437444d182648bbad8aa499d0f80", "HBM935.BPZZ.984")</f>
        <v>HBM935.BPZZ.984</v>
      </c>
      <c r="C64" s="7" t="s">
        <v>143</v>
      </c>
      <c r="D64" s="7" t="s">
        <v>25</v>
      </c>
      <c r="E64" s="7" t="s">
        <v>44</v>
      </c>
      <c r="F64" s="7" t="s">
        <v>144</v>
      </c>
      <c r="G64" s="7" t="b">
        <v>1</v>
      </c>
      <c r="H64" s="5" t="str">
        <f t="shared" si="6"/>
        <v>HBM693.VJCB.242</v>
      </c>
      <c r="I64" s="7" t="s">
        <v>155</v>
      </c>
      <c r="N64" s="7" t="s">
        <v>152</v>
      </c>
      <c r="O64" s="7" t="s">
        <v>28</v>
      </c>
      <c r="P64" s="7" t="s">
        <v>29</v>
      </c>
      <c r="Q64" s="7" t="s">
        <v>30</v>
      </c>
      <c r="R64" s="7" t="b">
        <v>1</v>
      </c>
      <c r="S64" s="5" t="s">
        <v>66</v>
      </c>
      <c r="T64" s="7" t="s">
        <v>32</v>
      </c>
      <c r="U64" s="7" t="s">
        <v>67</v>
      </c>
      <c r="V64" s="7" t="s">
        <v>68</v>
      </c>
      <c r="W64" s="7" t="s">
        <v>69</v>
      </c>
      <c r="X64" s="9">
        <v>44487.08555783565</v>
      </c>
      <c r="Y64" s="9">
        <v>44487.11149767361</v>
      </c>
    </row>
    <row r="65" ht="15.75" customHeight="1">
      <c r="A65" s="5" t="str">
        <f>HYPERLINK("https://portal.hubmapconsortium.org/browse/sample/6e2d6e2c9623bb4ac30f307bdb56bea6", "HBM795.MJCN.964")</f>
        <v>HBM795.MJCN.964</v>
      </c>
      <c r="C65" s="7" t="s">
        <v>156</v>
      </c>
      <c r="D65" s="7" t="s">
        <v>25</v>
      </c>
      <c r="E65" s="7" t="s">
        <v>44</v>
      </c>
      <c r="F65" s="7" t="s">
        <v>157</v>
      </c>
      <c r="G65" s="5" t="b">
        <v>0</v>
      </c>
      <c r="H65" s="5" t="str">
        <f t="shared" ref="H65:H66" si="7">HYPERLINK("https://portal.hubmapconsortium.org/browse/sample/30036c780684b91f47ea886887051bec", "HBM957.PBHP.655")</f>
        <v>HBM957.PBHP.655</v>
      </c>
      <c r="I65" s="7" t="s">
        <v>158</v>
      </c>
      <c r="K65" s="7">
        <v>20.0</v>
      </c>
      <c r="L65" s="7">
        <v>4.0</v>
      </c>
      <c r="M65" s="7">
        <v>7.0</v>
      </c>
      <c r="N65" s="7" t="s">
        <v>159</v>
      </c>
      <c r="O65" s="7" t="s">
        <v>28</v>
      </c>
      <c r="P65" s="7" t="s">
        <v>29</v>
      </c>
      <c r="Q65" s="7" t="s">
        <v>30</v>
      </c>
      <c r="R65" s="5" t="b">
        <v>0</v>
      </c>
      <c r="S65" s="5" t="s">
        <v>31</v>
      </c>
      <c r="T65" s="7" t="s">
        <v>32</v>
      </c>
      <c r="U65" s="7" t="s">
        <v>50</v>
      </c>
      <c r="V65" s="7" t="s">
        <v>51</v>
      </c>
      <c r="W65" s="7" t="s">
        <v>35</v>
      </c>
      <c r="X65" s="9">
        <v>45722.89102907408</v>
      </c>
      <c r="Y65" s="9">
        <v>45722.90358333333</v>
      </c>
    </row>
    <row r="66" ht="15.75" customHeight="1">
      <c r="A66" s="5" t="str">
        <f>HYPERLINK("https://portal.hubmapconsortium.org/browse/sample/6bd977affa23b9c72775f5da7bb008b3", "HBM326.SRTD.984")</f>
        <v>HBM326.SRTD.984</v>
      </c>
      <c r="C66" s="7" t="s">
        <v>156</v>
      </c>
      <c r="D66" s="7" t="s">
        <v>25</v>
      </c>
      <c r="E66" s="7" t="s">
        <v>44</v>
      </c>
      <c r="F66" s="7" t="s">
        <v>157</v>
      </c>
      <c r="G66" s="7" t="b">
        <v>1</v>
      </c>
      <c r="H66" s="5" t="str">
        <f t="shared" si="7"/>
        <v>HBM957.PBHP.655</v>
      </c>
      <c r="I66" s="7" t="s">
        <v>160</v>
      </c>
      <c r="O66" s="7" t="s">
        <v>28</v>
      </c>
      <c r="P66" s="7" t="s">
        <v>29</v>
      </c>
      <c r="Q66" s="7" t="s">
        <v>30</v>
      </c>
      <c r="R66" s="7" t="b">
        <v>1</v>
      </c>
      <c r="S66" s="5" t="s">
        <v>66</v>
      </c>
      <c r="T66" s="7" t="s">
        <v>32</v>
      </c>
      <c r="U66" s="7" t="s">
        <v>67</v>
      </c>
      <c r="V66" s="7" t="s">
        <v>68</v>
      </c>
      <c r="W66" s="7" t="s">
        <v>69</v>
      </c>
      <c r="X66" s="9">
        <v>44387.97194818287</v>
      </c>
      <c r="Y66" s="9">
        <v>44466.15789416667</v>
      </c>
    </row>
    <row r="67" ht="15.75" customHeight="1">
      <c r="A67" s="5" t="str">
        <f>HYPERLINK("https://portal.hubmapconsortium.org/browse/sample/1faf0a1c75723bec60a496920bfc5219", "HBM444.WLVB.222")</f>
        <v>HBM444.WLVB.222</v>
      </c>
      <c r="C67" s="7" t="s">
        <v>161</v>
      </c>
      <c r="D67" s="7" t="s">
        <v>25</v>
      </c>
      <c r="E67" s="7" t="s">
        <v>44</v>
      </c>
      <c r="F67" s="7" t="s">
        <v>162</v>
      </c>
      <c r="G67" s="7" t="b">
        <v>1</v>
      </c>
      <c r="H67" s="5" t="str">
        <f t="shared" ref="H67:H70" si="8">HYPERLINK("https://portal.hubmapconsortium.org/browse/sample/073a3361795080ea15a6e7049aacc94c", "HBM457.LKWK.628")</f>
        <v>HBM457.LKWK.628</v>
      </c>
      <c r="I67" s="7" t="s">
        <v>163</v>
      </c>
      <c r="N67" s="7" t="s">
        <v>164</v>
      </c>
      <c r="O67" s="7" t="s">
        <v>28</v>
      </c>
      <c r="P67" s="7" t="s">
        <v>29</v>
      </c>
      <c r="Q67" s="7" t="s">
        <v>30</v>
      </c>
      <c r="R67" s="7" t="b">
        <v>1</v>
      </c>
      <c r="S67" s="5" t="s">
        <v>147</v>
      </c>
      <c r="T67" s="7" t="s">
        <v>49</v>
      </c>
      <c r="U67" s="7" t="s">
        <v>67</v>
      </c>
      <c r="V67" s="7" t="s">
        <v>68</v>
      </c>
      <c r="W67" s="7" t="s">
        <v>69</v>
      </c>
      <c r="X67" s="9">
        <v>44605.84245135417</v>
      </c>
      <c r="Y67" s="9">
        <v>44605.93324898148</v>
      </c>
    </row>
    <row r="68" ht="15.75" customHeight="1">
      <c r="A68" s="5" t="str">
        <f>HYPERLINK("https://portal.hubmapconsortium.org/browse/sample/0bd03ece486a441bd8dac8df764ae79e", "HBM889.LVLV.827")</f>
        <v>HBM889.LVLV.827</v>
      </c>
      <c r="C68" s="7" t="s">
        <v>161</v>
      </c>
      <c r="D68" s="7" t="s">
        <v>25</v>
      </c>
      <c r="E68" s="7" t="s">
        <v>44</v>
      </c>
      <c r="F68" s="7" t="s">
        <v>162</v>
      </c>
      <c r="G68" s="7" t="b">
        <v>1</v>
      </c>
      <c r="H68" s="5" t="str">
        <f t="shared" si="8"/>
        <v>HBM457.LKWK.628</v>
      </c>
      <c r="I68" s="7" t="s">
        <v>165</v>
      </c>
      <c r="N68" s="7" t="s">
        <v>164</v>
      </c>
      <c r="O68" s="7" t="s">
        <v>28</v>
      </c>
      <c r="P68" s="7" t="s">
        <v>29</v>
      </c>
      <c r="Q68" s="7" t="s">
        <v>30</v>
      </c>
      <c r="R68" s="7" t="b">
        <v>1</v>
      </c>
      <c r="S68" s="5" t="s">
        <v>147</v>
      </c>
      <c r="T68" s="7" t="s">
        <v>49</v>
      </c>
      <c r="U68" s="7" t="s">
        <v>67</v>
      </c>
      <c r="V68" s="7" t="s">
        <v>68</v>
      </c>
      <c r="W68" s="7" t="s">
        <v>69</v>
      </c>
      <c r="X68" s="9">
        <v>44605.84245170139</v>
      </c>
      <c r="Y68" s="9">
        <v>44605.92969581018</v>
      </c>
    </row>
    <row r="69" ht="15.75" customHeight="1">
      <c r="A69" s="5" t="str">
        <f>HYPERLINK("https://portal.hubmapconsortium.org/browse/sample/18ef0bce0983ba9620179416d2d6d178", "HBM944.PSMP.747")</f>
        <v>HBM944.PSMP.747</v>
      </c>
      <c r="C69" s="7" t="s">
        <v>161</v>
      </c>
      <c r="D69" s="7" t="s">
        <v>25</v>
      </c>
      <c r="E69" s="7" t="s">
        <v>44</v>
      </c>
      <c r="F69" s="7" t="s">
        <v>162</v>
      </c>
      <c r="G69" s="7" t="b">
        <v>1</v>
      </c>
      <c r="H69" s="5" t="str">
        <f t="shared" si="8"/>
        <v>HBM457.LKWK.628</v>
      </c>
      <c r="I69" s="7" t="s">
        <v>166</v>
      </c>
      <c r="N69" s="7" t="s">
        <v>164</v>
      </c>
      <c r="O69" s="7" t="s">
        <v>28</v>
      </c>
      <c r="P69" s="7" t="s">
        <v>29</v>
      </c>
      <c r="Q69" s="7" t="s">
        <v>30</v>
      </c>
      <c r="R69" s="7" t="b">
        <v>1</v>
      </c>
      <c r="S69" s="5" t="s">
        <v>147</v>
      </c>
      <c r="T69" s="7" t="s">
        <v>49</v>
      </c>
      <c r="U69" s="7" t="s">
        <v>67</v>
      </c>
      <c r="V69" s="7" t="s">
        <v>68</v>
      </c>
      <c r="W69" s="7" t="s">
        <v>69</v>
      </c>
      <c r="X69" s="9">
        <v>44605.84245188657</v>
      </c>
      <c r="Y69" s="9">
        <v>44605.93398784722</v>
      </c>
    </row>
    <row r="70" ht="15.75" customHeight="1">
      <c r="A70" s="5" t="str">
        <f>HYPERLINK("https://portal.hubmapconsortium.org/browse/sample/ba3df384c84f06657e64c10589a0f5ae", "HBM642.MHDG.573")</f>
        <v>HBM642.MHDG.573</v>
      </c>
      <c r="C70" s="7" t="s">
        <v>161</v>
      </c>
      <c r="D70" s="7" t="s">
        <v>25</v>
      </c>
      <c r="E70" s="7" t="s">
        <v>44</v>
      </c>
      <c r="F70" s="7" t="s">
        <v>162</v>
      </c>
      <c r="G70" s="7" t="b">
        <v>1</v>
      </c>
      <c r="H70" s="5" t="str">
        <f t="shared" si="8"/>
        <v>HBM457.LKWK.628</v>
      </c>
      <c r="I70" s="7" t="s">
        <v>167</v>
      </c>
      <c r="N70" s="7" t="s">
        <v>164</v>
      </c>
      <c r="O70" s="7" t="s">
        <v>28</v>
      </c>
      <c r="P70" s="7" t="s">
        <v>29</v>
      </c>
      <c r="Q70" s="7" t="s">
        <v>30</v>
      </c>
      <c r="R70" s="7" t="b">
        <v>1</v>
      </c>
      <c r="S70" s="5" t="s">
        <v>147</v>
      </c>
      <c r="T70" s="7" t="s">
        <v>49</v>
      </c>
      <c r="U70" s="7" t="s">
        <v>67</v>
      </c>
      <c r="V70" s="7" t="s">
        <v>68</v>
      </c>
      <c r="W70" s="7" t="s">
        <v>69</v>
      </c>
      <c r="X70" s="9">
        <v>44605.84245208334</v>
      </c>
      <c r="Y70" s="9">
        <v>44605.93452221065</v>
      </c>
    </row>
    <row r="71" ht="15.75" customHeight="1">
      <c r="A71" s="5" t="str">
        <f>HYPERLINK("https://portal.hubmapconsortium.org/browse/sample/a6267125810102481da9f269eeb3f47a", "HBM536.PJNF.357")</f>
        <v>HBM536.PJNF.357</v>
      </c>
      <c r="C71" s="7" t="s">
        <v>168</v>
      </c>
      <c r="D71" s="7" t="s">
        <v>37</v>
      </c>
      <c r="E71" s="7" t="s">
        <v>44</v>
      </c>
      <c r="F71" s="7" t="s">
        <v>169</v>
      </c>
      <c r="G71" s="5" t="b">
        <v>0</v>
      </c>
      <c r="H71" s="5" t="str">
        <f t="shared" ref="H71:H77" si="9">HYPERLINK("https://portal.hubmapconsortium.org/browse/sample/b4d5c999634afcdb45473176dfdf14ab", "HBM224.PXCC.749")</f>
        <v>HBM224.PXCC.749</v>
      </c>
      <c r="I71" s="7" t="s">
        <v>170</v>
      </c>
      <c r="K71" s="7">
        <v>24.0</v>
      </c>
      <c r="L71" s="7">
        <v>4.0</v>
      </c>
      <c r="M71" s="7">
        <v>5.0</v>
      </c>
      <c r="N71" s="7" t="s">
        <v>171</v>
      </c>
      <c r="O71" s="7" t="s">
        <v>28</v>
      </c>
      <c r="P71" s="7" t="s">
        <v>29</v>
      </c>
      <c r="Q71" s="7" t="s">
        <v>30</v>
      </c>
      <c r="R71" s="5" t="b">
        <v>0</v>
      </c>
      <c r="S71" s="5" t="s">
        <v>31</v>
      </c>
      <c r="T71" s="7" t="s">
        <v>32</v>
      </c>
      <c r="U71" s="7" t="s">
        <v>50</v>
      </c>
      <c r="V71" s="7" t="s">
        <v>51</v>
      </c>
      <c r="W71" s="7" t="s">
        <v>35</v>
      </c>
      <c r="X71" s="9">
        <v>45741.62298353009</v>
      </c>
      <c r="Y71" s="9">
        <v>45741.62298353009</v>
      </c>
    </row>
    <row r="72" ht="15.75" customHeight="1">
      <c r="A72" s="5" t="str">
        <f>HYPERLINK("https://portal.hubmapconsortium.org/browse/sample/05b441fb72cf92c9afc77b982a9052ae", "HBM927.GWCS.636")</f>
        <v>HBM927.GWCS.636</v>
      </c>
      <c r="C72" s="7" t="s">
        <v>168</v>
      </c>
      <c r="D72" s="7" t="s">
        <v>37</v>
      </c>
      <c r="E72" s="7" t="s">
        <v>44</v>
      </c>
      <c r="F72" s="7" t="s">
        <v>169</v>
      </c>
      <c r="G72" s="5" t="b">
        <v>0</v>
      </c>
      <c r="H72" s="5" t="str">
        <f t="shared" si="9"/>
        <v>HBM224.PXCC.749</v>
      </c>
      <c r="I72" s="7" t="s">
        <v>172</v>
      </c>
      <c r="K72" s="7">
        <v>24.0</v>
      </c>
      <c r="L72" s="7">
        <v>4.0</v>
      </c>
      <c r="M72" s="7">
        <v>5.0</v>
      </c>
      <c r="N72" s="7" t="s">
        <v>173</v>
      </c>
      <c r="O72" s="7" t="s">
        <v>28</v>
      </c>
      <c r="P72" s="7" t="s">
        <v>29</v>
      </c>
      <c r="Q72" s="7" t="s">
        <v>30</v>
      </c>
      <c r="R72" s="5" t="b">
        <v>0</v>
      </c>
      <c r="S72" s="5" t="s">
        <v>31</v>
      </c>
      <c r="T72" s="7" t="s">
        <v>32</v>
      </c>
      <c r="U72" s="7" t="s">
        <v>50</v>
      </c>
      <c r="V72" s="7" t="s">
        <v>51</v>
      </c>
      <c r="W72" s="7" t="s">
        <v>35</v>
      </c>
      <c r="X72" s="9">
        <v>45722.89105206019</v>
      </c>
      <c r="Y72" s="9">
        <v>45722.90375739583</v>
      </c>
    </row>
    <row r="73" ht="15.75" customHeight="1">
      <c r="A73" s="5" t="str">
        <f>HYPERLINK("https://portal.hubmapconsortium.org/browse/sample/92292494fe566fcd19a54d27edca52f0", "HBM723.WVZJ.827")</f>
        <v>HBM723.WVZJ.827</v>
      </c>
      <c r="C73" s="7" t="s">
        <v>168</v>
      </c>
      <c r="D73" s="7" t="s">
        <v>37</v>
      </c>
      <c r="E73" s="7" t="s">
        <v>44</v>
      </c>
      <c r="F73" s="7" t="s">
        <v>169</v>
      </c>
      <c r="G73" s="7" t="b">
        <v>1</v>
      </c>
      <c r="H73" s="5" t="str">
        <f t="shared" si="9"/>
        <v>HBM224.PXCC.749</v>
      </c>
      <c r="I73" s="7" t="s">
        <v>174</v>
      </c>
      <c r="O73" s="7" t="s">
        <v>28</v>
      </c>
      <c r="P73" s="7" t="s">
        <v>29</v>
      </c>
      <c r="Q73" s="7" t="s">
        <v>30</v>
      </c>
      <c r="R73" s="7" t="b">
        <v>1</v>
      </c>
      <c r="S73" s="5" t="s">
        <v>66</v>
      </c>
      <c r="T73" s="7" t="s">
        <v>32</v>
      </c>
      <c r="U73" s="7" t="s">
        <v>67</v>
      </c>
      <c r="V73" s="7" t="s">
        <v>68</v>
      </c>
      <c r="W73" s="7" t="s">
        <v>69</v>
      </c>
      <c r="X73" s="9">
        <v>44386.13336646991</v>
      </c>
      <c r="Y73" s="9">
        <v>44467.02662341435</v>
      </c>
    </row>
    <row r="74" ht="15.75" customHeight="1">
      <c r="A74" s="5" t="str">
        <f>HYPERLINK("https://portal.hubmapconsortium.org/browse/sample/e03ab23235245440a8d68e2d17d39c02", "HBM638.GGCQ.252")</f>
        <v>HBM638.GGCQ.252</v>
      </c>
      <c r="C74" s="7" t="s">
        <v>168</v>
      </c>
      <c r="D74" s="7" t="s">
        <v>37</v>
      </c>
      <c r="E74" s="7" t="s">
        <v>44</v>
      </c>
      <c r="F74" s="7" t="s">
        <v>169</v>
      </c>
      <c r="G74" s="7" t="b">
        <v>1</v>
      </c>
      <c r="H74" s="5" t="str">
        <f t="shared" si="9"/>
        <v>HBM224.PXCC.749</v>
      </c>
      <c r="I74" s="7" t="s">
        <v>175</v>
      </c>
      <c r="O74" s="7" t="s">
        <v>28</v>
      </c>
      <c r="P74" s="7" t="s">
        <v>29</v>
      </c>
      <c r="Q74" s="7" t="s">
        <v>30</v>
      </c>
      <c r="R74" s="7" t="b">
        <v>1</v>
      </c>
      <c r="S74" s="5" t="s">
        <v>66</v>
      </c>
      <c r="T74" s="7" t="s">
        <v>32</v>
      </c>
      <c r="U74" s="7" t="s">
        <v>67</v>
      </c>
      <c r="V74" s="7" t="s">
        <v>68</v>
      </c>
      <c r="W74" s="7" t="s">
        <v>69</v>
      </c>
      <c r="X74" s="9">
        <v>44386.13336630787</v>
      </c>
      <c r="Y74" s="9">
        <v>44467.04204292824</v>
      </c>
    </row>
    <row r="75" ht="15.75" customHeight="1">
      <c r="A75" s="5" t="str">
        <f>HYPERLINK("https://portal.hubmapconsortium.org/browse/sample/b98686d9df0b06f26fa5c4cd417331a0", "HBM733.MDFT.436")</f>
        <v>HBM733.MDFT.436</v>
      </c>
      <c r="C75" s="7" t="s">
        <v>168</v>
      </c>
      <c r="D75" s="7" t="s">
        <v>37</v>
      </c>
      <c r="E75" s="7" t="s">
        <v>44</v>
      </c>
      <c r="F75" s="7" t="s">
        <v>169</v>
      </c>
      <c r="G75" s="7" t="b">
        <v>1</v>
      </c>
      <c r="H75" s="5" t="str">
        <f t="shared" si="9"/>
        <v>HBM224.PXCC.749</v>
      </c>
      <c r="I75" s="7" t="s">
        <v>176</v>
      </c>
      <c r="O75" s="7" t="s">
        <v>28</v>
      </c>
      <c r="P75" s="7" t="s">
        <v>29</v>
      </c>
      <c r="Q75" s="7" t="s">
        <v>30</v>
      </c>
      <c r="R75" s="7" t="b">
        <v>1</v>
      </c>
      <c r="S75" s="5" t="s">
        <v>66</v>
      </c>
      <c r="T75" s="7" t="s">
        <v>32</v>
      </c>
      <c r="U75" s="7" t="s">
        <v>67</v>
      </c>
      <c r="V75" s="7" t="s">
        <v>68</v>
      </c>
      <c r="W75" s="7" t="s">
        <v>69</v>
      </c>
      <c r="X75" s="9">
        <v>44386.13336604166</v>
      </c>
      <c r="Y75" s="9">
        <v>44467.04843079861</v>
      </c>
    </row>
    <row r="76" ht="15.75" customHeight="1">
      <c r="A76" s="5" t="str">
        <f>HYPERLINK("https://portal.hubmapconsortium.org/browse/sample/6c7f7b91ee218f5bad7d8c498f7fe428", "HBM337.KBLS.364")</f>
        <v>HBM337.KBLS.364</v>
      </c>
      <c r="C76" s="7" t="s">
        <v>168</v>
      </c>
      <c r="D76" s="7" t="s">
        <v>37</v>
      </c>
      <c r="E76" s="7" t="s">
        <v>44</v>
      </c>
      <c r="F76" s="7" t="s">
        <v>169</v>
      </c>
      <c r="G76" s="7" t="b">
        <v>1</v>
      </c>
      <c r="H76" s="5" t="str">
        <f t="shared" si="9"/>
        <v>HBM224.PXCC.749</v>
      </c>
      <c r="I76" s="7" t="s">
        <v>177</v>
      </c>
      <c r="N76" s="7" t="s">
        <v>178</v>
      </c>
      <c r="O76" s="7" t="s">
        <v>28</v>
      </c>
      <c r="P76" s="7" t="s">
        <v>29</v>
      </c>
      <c r="Q76" s="7" t="s">
        <v>30</v>
      </c>
      <c r="R76" s="7" t="b">
        <v>1</v>
      </c>
      <c r="S76" s="5" t="s">
        <v>118</v>
      </c>
      <c r="T76" s="7" t="s">
        <v>32</v>
      </c>
      <c r="U76" s="7" t="s">
        <v>67</v>
      </c>
      <c r="V76" s="7" t="s">
        <v>68</v>
      </c>
      <c r="W76" s="7" t="s">
        <v>69</v>
      </c>
      <c r="X76" s="9">
        <v>44704.06830846065</v>
      </c>
      <c r="Y76" s="9">
        <v>44733.08061332176</v>
      </c>
    </row>
    <row r="77" ht="15.75" customHeight="1">
      <c r="A77" s="5" t="str">
        <f>HYPERLINK("https://portal.hubmapconsortium.org/browse/sample/ac36bf37661605311f87c821f90d04f8", "HBM973.CRMG.832")</f>
        <v>HBM973.CRMG.832</v>
      </c>
      <c r="C77" s="7" t="s">
        <v>168</v>
      </c>
      <c r="D77" s="7" t="s">
        <v>37</v>
      </c>
      <c r="E77" s="7" t="s">
        <v>44</v>
      </c>
      <c r="F77" s="7" t="s">
        <v>169</v>
      </c>
      <c r="G77" s="7" t="b">
        <v>1</v>
      </c>
      <c r="H77" s="5" t="str">
        <f t="shared" si="9"/>
        <v>HBM224.PXCC.749</v>
      </c>
      <c r="I77" s="7" t="s">
        <v>179</v>
      </c>
      <c r="O77" s="7" t="s">
        <v>28</v>
      </c>
      <c r="P77" s="7" t="s">
        <v>29</v>
      </c>
      <c r="Q77" s="7" t="s">
        <v>30</v>
      </c>
      <c r="R77" s="7" t="b">
        <v>1</v>
      </c>
      <c r="S77" s="5" t="s">
        <v>66</v>
      </c>
      <c r="T77" s="7" t="s">
        <v>32</v>
      </c>
      <c r="U77" s="7" t="s">
        <v>67</v>
      </c>
      <c r="V77" s="7" t="s">
        <v>68</v>
      </c>
      <c r="W77" s="7" t="s">
        <v>69</v>
      </c>
      <c r="X77" s="9">
        <v>44386.13336663195</v>
      </c>
      <c r="Y77" s="9">
        <v>44466.76272935185</v>
      </c>
    </row>
    <row r="78" ht="15.75" customHeight="1">
      <c r="A78" s="5" t="str">
        <f>HYPERLINK("https://portal.hubmapconsortium.org/browse/sample/434d183db0e9d7167b15538d380e968c", "HBM984.SBZT.693")</f>
        <v>HBM984.SBZT.693</v>
      </c>
      <c r="C78" s="7" t="s">
        <v>180</v>
      </c>
      <c r="D78" s="7" t="s">
        <v>25</v>
      </c>
      <c r="E78" s="7" t="s">
        <v>44</v>
      </c>
      <c r="F78" s="7" t="s">
        <v>181</v>
      </c>
      <c r="G78" s="7" t="b">
        <v>1</v>
      </c>
      <c r="H78" s="5" t="str">
        <f t="shared" ref="H78:H80" si="10">HYPERLINK("https://portal.hubmapconsortium.org/browse/sample/7721014175fd163100b8807c7b628455", "HBM624.SPBH.585")</f>
        <v>HBM624.SPBH.585</v>
      </c>
      <c r="I78" s="7" t="s">
        <v>182</v>
      </c>
      <c r="N78" s="7" t="s">
        <v>183</v>
      </c>
      <c r="O78" s="7" t="s">
        <v>28</v>
      </c>
      <c r="P78" s="7" t="s">
        <v>29</v>
      </c>
      <c r="Q78" s="7" t="s">
        <v>30</v>
      </c>
      <c r="R78" s="7" t="b">
        <v>1</v>
      </c>
      <c r="S78" s="5" t="s">
        <v>147</v>
      </c>
      <c r="T78" s="7" t="s">
        <v>49</v>
      </c>
      <c r="U78" s="7" t="s">
        <v>67</v>
      </c>
      <c r="V78" s="7" t="s">
        <v>68</v>
      </c>
      <c r="W78" s="7" t="s">
        <v>69</v>
      </c>
      <c r="X78" s="9">
        <v>44606.01235734954</v>
      </c>
      <c r="Y78" s="9">
        <v>44606.04575578704</v>
      </c>
    </row>
    <row r="79" ht="15.75" customHeight="1">
      <c r="A79" s="5" t="str">
        <f>HYPERLINK("https://portal.hubmapconsortium.org/browse/sample/21094972f6340966ed0688fe4cda3d73", "HBM548.JSMM.398")</f>
        <v>HBM548.JSMM.398</v>
      </c>
      <c r="C79" s="7" t="s">
        <v>180</v>
      </c>
      <c r="D79" s="7" t="s">
        <v>25</v>
      </c>
      <c r="E79" s="7" t="s">
        <v>44</v>
      </c>
      <c r="F79" s="7" t="s">
        <v>181</v>
      </c>
      <c r="G79" s="7" t="b">
        <v>1</v>
      </c>
      <c r="H79" s="5" t="str">
        <f t="shared" si="10"/>
        <v>HBM624.SPBH.585</v>
      </c>
      <c r="I79" s="7" t="s">
        <v>184</v>
      </c>
      <c r="N79" s="7" t="s">
        <v>183</v>
      </c>
      <c r="O79" s="7" t="s">
        <v>28</v>
      </c>
      <c r="P79" s="7" t="s">
        <v>29</v>
      </c>
      <c r="Q79" s="7" t="s">
        <v>30</v>
      </c>
      <c r="R79" s="7" t="b">
        <v>1</v>
      </c>
      <c r="S79" s="5" t="s">
        <v>147</v>
      </c>
      <c r="T79" s="7" t="s">
        <v>49</v>
      </c>
      <c r="U79" s="7" t="s">
        <v>67</v>
      </c>
      <c r="V79" s="7" t="s">
        <v>68</v>
      </c>
      <c r="W79" s="7" t="s">
        <v>69</v>
      </c>
      <c r="X79" s="9">
        <v>44606.01235758102</v>
      </c>
      <c r="Y79" s="9">
        <v>44606.05685413194</v>
      </c>
    </row>
    <row r="80" ht="15.75" customHeight="1">
      <c r="A80" s="5" t="str">
        <f>HYPERLINK("https://portal.hubmapconsortium.org/browse/sample/67e6b730ca7411bac6218e8470609a56", "HBM357.FCQK.842")</f>
        <v>HBM357.FCQK.842</v>
      </c>
      <c r="C80" s="7" t="s">
        <v>180</v>
      </c>
      <c r="D80" s="7" t="s">
        <v>25</v>
      </c>
      <c r="E80" s="7" t="s">
        <v>44</v>
      </c>
      <c r="F80" s="7" t="s">
        <v>181</v>
      </c>
      <c r="G80" s="7" t="b">
        <v>1</v>
      </c>
      <c r="H80" s="5" t="str">
        <f t="shared" si="10"/>
        <v>HBM624.SPBH.585</v>
      </c>
      <c r="I80" s="7" t="s">
        <v>185</v>
      </c>
      <c r="N80" s="7" t="s">
        <v>183</v>
      </c>
      <c r="O80" s="7" t="s">
        <v>28</v>
      </c>
      <c r="P80" s="7" t="s">
        <v>29</v>
      </c>
      <c r="Q80" s="7" t="s">
        <v>30</v>
      </c>
      <c r="R80" s="7" t="b">
        <v>1</v>
      </c>
      <c r="S80" s="5" t="s">
        <v>147</v>
      </c>
      <c r="T80" s="7" t="s">
        <v>49</v>
      </c>
      <c r="U80" s="7" t="s">
        <v>67</v>
      </c>
      <c r="V80" s="7" t="s">
        <v>68</v>
      </c>
      <c r="W80" s="7" t="s">
        <v>69</v>
      </c>
      <c r="X80" s="9">
        <v>44606.01235784722</v>
      </c>
      <c r="Y80" s="9">
        <v>44606.06279364583</v>
      </c>
    </row>
    <row r="81" ht="15.75" customHeight="1">
      <c r="A81" s="5" t="str">
        <f>HYPERLINK("https://portal.hubmapconsortium.org/browse/sample/c4b1788942e4e885f7cc32231455fc5d", "HBM427.XKJM.693")</f>
        <v>HBM427.XKJM.693</v>
      </c>
      <c r="C81" s="7" t="s">
        <v>186</v>
      </c>
      <c r="D81" s="7" t="s">
        <v>25</v>
      </c>
      <c r="E81" s="7" t="s">
        <v>44</v>
      </c>
      <c r="F81" s="7" t="s">
        <v>187</v>
      </c>
      <c r="G81" s="7" t="b">
        <v>1</v>
      </c>
      <c r="H81" s="5" t="str">
        <f t="shared" ref="H81:H84" si="11">HYPERLINK("https://portal.hubmapconsortium.org/browse/sample/3ffec9546bd99b52e9a5fae7141fd600", "HBM588.MFZJ.862")</f>
        <v>HBM588.MFZJ.862</v>
      </c>
      <c r="I81" s="7" t="s">
        <v>188</v>
      </c>
      <c r="N81" s="7" t="s">
        <v>189</v>
      </c>
      <c r="O81" s="7" t="s">
        <v>28</v>
      </c>
      <c r="P81" s="7" t="s">
        <v>29</v>
      </c>
      <c r="Q81" s="7" t="s">
        <v>30</v>
      </c>
      <c r="R81" s="7" t="b">
        <v>1</v>
      </c>
      <c r="S81" s="5" t="s">
        <v>147</v>
      </c>
      <c r="T81" s="7" t="s">
        <v>49</v>
      </c>
      <c r="U81" s="7" t="s">
        <v>67</v>
      </c>
      <c r="V81" s="7" t="s">
        <v>68</v>
      </c>
      <c r="W81" s="7" t="s">
        <v>69</v>
      </c>
      <c r="X81" s="9">
        <v>44606.07025758102</v>
      </c>
      <c r="Y81" s="9">
        <v>44606.09087761574</v>
      </c>
    </row>
    <row r="82" ht="15.75" customHeight="1">
      <c r="A82" s="5" t="str">
        <f>HYPERLINK("https://portal.hubmapconsortium.org/browse/sample/e470fdd9163d03c9427a8bfa8eee371c", "HBM353.XLCT.988")</f>
        <v>HBM353.XLCT.988</v>
      </c>
      <c r="C82" s="7" t="s">
        <v>186</v>
      </c>
      <c r="D82" s="7" t="s">
        <v>25</v>
      </c>
      <c r="E82" s="7" t="s">
        <v>44</v>
      </c>
      <c r="F82" s="7" t="s">
        <v>187</v>
      </c>
      <c r="G82" s="7" t="b">
        <v>1</v>
      </c>
      <c r="H82" s="5" t="str">
        <f t="shared" si="11"/>
        <v>HBM588.MFZJ.862</v>
      </c>
      <c r="I82" s="7" t="s">
        <v>190</v>
      </c>
      <c r="N82" s="7" t="s">
        <v>189</v>
      </c>
      <c r="O82" s="7" t="s">
        <v>28</v>
      </c>
      <c r="P82" s="7" t="s">
        <v>29</v>
      </c>
      <c r="Q82" s="7" t="s">
        <v>30</v>
      </c>
      <c r="R82" s="7" t="b">
        <v>1</v>
      </c>
      <c r="S82" s="5" t="s">
        <v>147</v>
      </c>
      <c r="T82" s="7" t="s">
        <v>49</v>
      </c>
      <c r="U82" s="7" t="s">
        <v>67</v>
      </c>
      <c r="V82" s="7" t="s">
        <v>68</v>
      </c>
      <c r="W82" s="7" t="s">
        <v>69</v>
      </c>
      <c r="X82" s="9">
        <v>44606.07025787037</v>
      </c>
      <c r="Y82" s="9">
        <v>44606.09759428241</v>
      </c>
    </row>
    <row r="83" ht="15.75" customHeight="1">
      <c r="A83" s="5" t="str">
        <f>HYPERLINK("https://portal.hubmapconsortium.org/browse/sample/ca14bbfcfb4e69bcbbfa5f1eb0f033ae", "HBM599.XHXF.485")</f>
        <v>HBM599.XHXF.485</v>
      </c>
      <c r="C83" s="7" t="s">
        <v>186</v>
      </c>
      <c r="D83" s="7" t="s">
        <v>25</v>
      </c>
      <c r="E83" s="7" t="s">
        <v>44</v>
      </c>
      <c r="F83" s="7" t="s">
        <v>187</v>
      </c>
      <c r="G83" s="7" t="b">
        <v>1</v>
      </c>
      <c r="H83" s="5" t="str">
        <f t="shared" si="11"/>
        <v>HBM588.MFZJ.862</v>
      </c>
      <c r="I83" s="7" t="s">
        <v>191</v>
      </c>
      <c r="N83" s="7" t="s">
        <v>189</v>
      </c>
      <c r="O83" s="7" t="s">
        <v>28</v>
      </c>
      <c r="P83" s="7" t="s">
        <v>29</v>
      </c>
      <c r="Q83" s="7" t="s">
        <v>30</v>
      </c>
      <c r="R83" s="7" t="b">
        <v>1</v>
      </c>
      <c r="S83" s="5" t="s">
        <v>147</v>
      </c>
      <c r="T83" s="7" t="s">
        <v>49</v>
      </c>
      <c r="U83" s="7" t="s">
        <v>67</v>
      </c>
      <c r="V83" s="7" t="s">
        <v>68</v>
      </c>
      <c r="W83" s="7" t="s">
        <v>69</v>
      </c>
      <c r="X83" s="9">
        <v>44606.07025804398</v>
      </c>
      <c r="Y83" s="9">
        <v>44606.09972136574</v>
      </c>
    </row>
    <row r="84" ht="15.75" customHeight="1">
      <c r="A84" s="5" t="str">
        <f>HYPERLINK("https://portal.hubmapconsortium.org/browse/sample/a094dc398408648860ef75d448f53ae7", "HBM686.ZQDH.394")</f>
        <v>HBM686.ZQDH.394</v>
      </c>
      <c r="C84" s="7" t="s">
        <v>186</v>
      </c>
      <c r="D84" s="7" t="s">
        <v>25</v>
      </c>
      <c r="E84" s="7" t="s">
        <v>44</v>
      </c>
      <c r="F84" s="7" t="s">
        <v>187</v>
      </c>
      <c r="G84" s="7" t="b">
        <v>1</v>
      </c>
      <c r="H84" s="5" t="str">
        <f t="shared" si="11"/>
        <v>HBM588.MFZJ.862</v>
      </c>
      <c r="I84" s="7" t="s">
        <v>192</v>
      </c>
      <c r="N84" s="7" t="s">
        <v>189</v>
      </c>
      <c r="O84" s="7" t="s">
        <v>28</v>
      </c>
      <c r="P84" s="7" t="s">
        <v>29</v>
      </c>
      <c r="Q84" s="7" t="s">
        <v>30</v>
      </c>
      <c r="R84" s="7" t="b">
        <v>1</v>
      </c>
      <c r="S84" s="5" t="s">
        <v>147</v>
      </c>
      <c r="T84" s="7" t="s">
        <v>49</v>
      </c>
      <c r="U84" s="7" t="s">
        <v>67</v>
      </c>
      <c r="V84" s="7" t="s">
        <v>68</v>
      </c>
      <c r="W84" s="7" t="s">
        <v>69</v>
      </c>
      <c r="X84" s="9">
        <v>44606.07025822916</v>
      </c>
      <c r="Y84" s="9">
        <v>44606.11112450231</v>
      </c>
    </row>
    <row r="85" ht="15.75" customHeight="1">
      <c r="A85" s="5" t="str">
        <f>HYPERLINK("https://portal.hubmapconsortium.org/browse/sample/eca46875ed7e83512df5ad9e1ec6b17f", "HBM629.PHZC.662")</f>
        <v>HBM629.PHZC.662</v>
      </c>
      <c r="C85" s="7" t="s">
        <v>193</v>
      </c>
      <c r="D85" s="7" t="s">
        <v>25</v>
      </c>
      <c r="E85" s="7" t="s">
        <v>44</v>
      </c>
      <c r="F85" s="7" t="s">
        <v>194</v>
      </c>
      <c r="G85" s="7" t="b">
        <v>1</v>
      </c>
      <c r="H85" s="5" t="str">
        <f t="shared" ref="H85:H87" si="12">HYPERLINK("https://portal.hubmapconsortium.org/browse/sample/59d87575c38411233ce2800e909dcc3b", "HBM356.ZSSC.754")</f>
        <v>HBM356.ZSSC.754</v>
      </c>
      <c r="I85" s="7" t="s">
        <v>195</v>
      </c>
      <c r="O85" s="7" t="s">
        <v>28</v>
      </c>
      <c r="P85" s="7" t="s">
        <v>29</v>
      </c>
      <c r="Q85" s="7" t="s">
        <v>30</v>
      </c>
      <c r="R85" s="7" t="b">
        <v>1</v>
      </c>
      <c r="S85" s="5" t="s">
        <v>147</v>
      </c>
      <c r="T85" s="7" t="s">
        <v>49</v>
      </c>
      <c r="U85" s="7" t="s">
        <v>67</v>
      </c>
      <c r="V85" s="7" t="s">
        <v>68</v>
      </c>
      <c r="W85" s="7" t="s">
        <v>69</v>
      </c>
      <c r="X85" s="9">
        <v>44606.11563820602</v>
      </c>
      <c r="Y85" s="9">
        <v>44606.14942030093</v>
      </c>
    </row>
    <row r="86" ht="15.75" customHeight="1">
      <c r="A86" s="5" t="str">
        <f>HYPERLINK("https://portal.hubmapconsortium.org/browse/sample/879896724b51833b988d0c45b57bede7", "HBM352.FNTN.356")</f>
        <v>HBM352.FNTN.356</v>
      </c>
      <c r="C86" s="7" t="s">
        <v>193</v>
      </c>
      <c r="D86" s="7" t="s">
        <v>25</v>
      </c>
      <c r="E86" s="7" t="s">
        <v>44</v>
      </c>
      <c r="F86" s="7" t="s">
        <v>194</v>
      </c>
      <c r="G86" s="7" t="b">
        <v>1</v>
      </c>
      <c r="H86" s="5" t="str">
        <f t="shared" si="12"/>
        <v>HBM356.ZSSC.754</v>
      </c>
      <c r="I86" s="7" t="s">
        <v>196</v>
      </c>
      <c r="O86" s="7" t="s">
        <v>28</v>
      </c>
      <c r="P86" s="7" t="s">
        <v>29</v>
      </c>
      <c r="Q86" s="7" t="s">
        <v>30</v>
      </c>
      <c r="R86" s="7" t="b">
        <v>1</v>
      </c>
      <c r="S86" s="5" t="s">
        <v>147</v>
      </c>
      <c r="T86" s="7" t="s">
        <v>49</v>
      </c>
      <c r="U86" s="7" t="s">
        <v>67</v>
      </c>
      <c r="V86" s="7" t="s">
        <v>68</v>
      </c>
      <c r="W86" s="7" t="s">
        <v>69</v>
      </c>
      <c r="X86" s="9">
        <v>44606.11563878472</v>
      </c>
      <c r="Y86" s="9">
        <v>44606.14339002315</v>
      </c>
    </row>
    <row r="87" ht="15.75" customHeight="1">
      <c r="A87" s="5" t="str">
        <f>HYPERLINK("https://portal.hubmapconsortium.org/browse/sample/1a96fa39cc74f8623ab9f3dc230fab05", "HBM284.BLPX.997")</f>
        <v>HBM284.BLPX.997</v>
      </c>
      <c r="C87" s="7" t="s">
        <v>193</v>
      </c>
      <c r="D87" s="7" t="s">
        <v>25</v>
      </c>
      <c r="E87" s="7" t="s">
        <v>44</v>
      </c>
      <c r="F87" s="7" t="s">
        <v>194</v>
      </c>
      <c r="G87" s="7" t="b">
        <v>1</v>
      </c>
      <c r="H87" s="5" t="str">
        <f t="shared" si="12"/>
        <v>HBM356.ZSSC.754</v>
      </c>
      <c r="I87" s="7" t="s">
        <v>197</v>
      </c>
      <c r="O87" s="7" t="s">
        <v>28</v>
      </c>
      <c r="P87" s="7" t="s">
        <v>29</v>
      </c>
      <c r="Q87" s="7" t="s">
        <v>30</v>
      </c>
      <c r="R87" s="7" t="b">
        <v>1</v>
      </c>
      <c r="S87" s="5" t="s">
        <v>147</v>
      </c>
      <c r="T87" s="7" t="s">
        <v>49</v>
      </c>
      <c r="U87" s="7" t="s">
        <v>67</v>
      </c>
      <c r="V87" s="7" t="s">
        <v>68</v>
      </c>
      <c r="W87" s="7" t="s">
        <v>69</v>
      </c>
      <c r="X87" s="9">
        <v>44606.11563920139</v>
      </c>
      <c r="Y87" s="9">
        <v>44606.14967240741</v>
      </c>
    </row>
    <row r="88" ht="15.75" customHeight="1">
      <c r="A88" s="5" t="str">
        <f>HYPERLINK("https://portal.hubmapconsortium.org/browse/sample/dee667601318e7eef79c82cbb68dc329", "HBM299.QJBZ.969")</f>
        <v>HBM299.QJBZ.969</v>
      </c>
      <c r="C88" s="7" t="s">
        <v>198</v>
      </c>
      <c r="D88" s="7" t="s">
        <v>37</v>
      </c>
      <c r="E88" s="7" t="s">
        <v>44</v>
      </c>
      <c r="F88" s="7" t="s">
        <v>199</v>
      </c>
      <c r="G88" s="7" t="b">
        <v>1</v>
      </c>
      <c r="H88" s="5" t="str">
        <f t="shared" ref="H88:H90" si="13">HYPERLINK("https://portal.hubmapconsortium.org/browse/sample/3c857f6a307acbf513b553a024c6f62e", "HBM878.PGRH.747")</f>
        <v>HBM878.PGRH.747</v>
      </c>
      <c r="I88" s="7" t="s">
        <v>200</v>
      </c>
      <c r="N88" s="7" t="s">
        <v>201</v>
      </c>
      <c r="O88" s="7" t="s">
        <v>28</v>
      </c>
      <c r="P88" s="7" t="s">
        <v>29</v>
      </c>
      <c r="Q88" s="7" t="s">
        <v>30</v>
      </c>
      <c r="R88" s="7" t="b">
        <v>1</v>
      </c>
      <c r="S88" s="5" t="s">
        <v>147</v>
      </c>
      <c r="T88" s="7" t="s">
        <v>49</v>
      </c>
      <c r="U88" s="7" t="s">
        <v>67</v>
      </c>
      <c r="V88" s="7" t="s">
        <v>68</v>
      </c>
      <c r="W88" s="7" t="s">
        <v>69</v>
      </c>
      <c r="X88" s="9">
        <v>44606.17109418981</v>
      </c>
      <c r="Y88" s="9">
        <v>44606.17741118056</v>
      </c>
    </row>
    <row r="89" ht="15.75" customHeight="1">
      <c r="A89" s="5" t="str">
        <f>HYPERLINK("https://portal.hubmapconsortium.org/browse/sample/f08e4eb9d5a854beb47f72178488bf3a", "HBM672.BXWP.375")</f>
        <v>HBM672.BXWP.375</v>
      </c>
      <c r="C89" s="7" t="s">
        <v>198</v>
      </c>
      <c r="D89" s="7" t="s">
        <v>37</v>
      </c>
      <c r="E89" s="7" t="s">
        <v>44</v>
      </c>
      <c r="F89" s="7" t="s">
        <v>199</v>
      </c>
      <c r="G89" s="7" t="b">
        <v>1</v>
      </c>
      <c r="H89" s="5" t="str">
        <f t="shared" si="13"/>
        <v>HBM878.PGRH.747</v>
      </c>
      <c r="I89" s="7" t="s">
        <v>202</v>
      </c>
      <c r="N89" s="7" t="s">
        <v>201</v>
      </c>
      <c r="O89" s="7" t="s">
        <v>28</v>
      </c>
      <c r="P89" s="7" t="s">
        <v>29</v>
      </c>
      <c r="Q89" s="7" t="s">
        <v>30</v>
      </c>
      <c r="R89" s="7" t="b">
        <v>1</v>
      </c>
      <c r="S89" s="5" t="s">
        <v>147</v>
      </c>
      <c r="T89" s="7" t="s">
        <v>49</v>
      </c>
      <c r="U89" s="7" t="s">
        <v>67</v>
      </c>
      <c r="V89" s="7" t="s">
        <v>68</v>
      </c>
      <c r="W89" s="7" t="s">
        <v>69</v>
      </c>
      <c r="X89" s="9">
        <v>44606.171094375</v>
      </c>
      <c r="Y89" s="9">
        <v>44606.18587174769</v>
      </c>
    </row>
    <row r="90" ht="15.75" customHeight="1">
      <c r="A90" s="5" t="str">
        <f>HYPERLINK("https://portal.hubmapconsortium.org/browse/sample/f6ad10f51fa64e3ad77bcf8b60b24658", "HBM734.VNNV.644")</f>
        <v>HBM734.VNNV.644</v>
      </c>
      <c r="C90" s="7" t="s">
        <v>198</v>
      </c>
      <c r="D90" s="7" t="s">
        <v>37</v>
      </c>
      <c r="E90" s="7" t="s">
        <v>44</v>
      </c>
      <c r="F90" s="7" t="s">
        <v>199</v>
      </c>
      <c r="G90" s="7" t="b">
        <v>1</v>
      </c>
      <c r="H90" s="5" t="str">
        <f t="shared" si="13"/>
        <v>HBM878.PGRH.747</v>
      </c>
      <c r="I90" s="7" t="s">
        <v>203</v>
      </c>
      <c r="N90" s="7" t="s">
        <v>201</v>
      </c>
      <c r="O90" s="7" t="s">
        <v>28</v>
      </c>
      <c r="P90" s="7" t="s">
        <v>29</v>
      </c>
      <c r="Q90" s="7" t="s">
        <v>30</v>
      </c>
      <c r="R90" s="7" t="b">
        <v>1</v>
      </c>
      <c r="S90" s="5" t="s">
        <v>147</v>
      </c>
      <c r="T90" s="7" t="s">
        <v>49</v>
      </c>
      <c r="U90" s="7" t="s">
        <v>67</v>
      </c>
      <c r="V90" s="7" t="s">
        <v>68</v>
      </c>
      <c r="W90" s="7" t="s">
        <v>69</v>
      </c>
      <c r="X90" s="9">
        <v>44606.17109457176</v>
      </c>
      <c r="Y90" s="9">
        <v>44606.19254555555</v>
      </c>
    </row>
    <row r="91" ht="15.75" customHeight="1">
      <c r="A91" s="5" t="str">
        <f>HYPERLINK("https://portal.hubmapconsortium.org/browse/sample/996c3ce64703c05416256f59e05ae960", "HBM383.FVQN.393")</f>
        <v>HBM383.FVQN.393</v>
      </c>
      <c r="C91" s="7" t="s">
        <v>204</v>
      </c>
      <c r="D91" s="7" t="s">
        <v>25</v>
      </c>
      <c r="E91" s="7" t="s">
        <v>44</v>
      </c>
      <c r="F91" s="7" t="s">
        <v>205</v>
      </c>
      <c r="G91" s="7" t="b">
        <v>1</v>
      </c>
      <c r="H91" s="5" t="str">
        <f t="shared" ref="H91:H93" si="14">HYPERLINK("https://portal.hubmapconsortium.org/browse/sample/937073987c3b49313685f40991c5259a", "HBM598.WNXQ.998")</f>
        <v>HBM598.WNXQ.998</v>
      </c>
      <c r="I91" s="7" t="s">
        <v>206</v>
      </c>
      <c r="N91" s="7" t="s">
        <v>207</v>
      </c>
      <c r="O91" s="7" t="s">
        <v>28</v>
      </c>
      <c r="P91" s="7" t="s">
        <v>29</v>
      </c>
      <c r="Q91" s="7" t="s">
        <v>30</v>
      </c>
      <c r="R91" s="7" t="b">
        <v>1</v>
      </c>
      <c r="S91" s="5" t="s">
        <v>147</v>
      </c>
      <c r="T91" s="7" t="s">
        <v>49</v>
      </c>
      <c r="U91" s="7" t="s">
        <v>67</v>
      </c>
      <c r="V91" s="7" t="s">
        <v>68</v>
      </c>
      <c r="W91" s="7" t="s">
        <v>69</v>
      </c>
      <c r="X91" s="9">
        <v>44606.20414158565</v>
      </c>
      <c r="Y91" s="9">
        <v>44606.21965706019</v>
      </c>
    </row>
    <row r="92" ht="15.75" customHeight="1">
      <c r="A92" s="5" t="str">
        <f>HYPERLINK("https://portal.hubmapconsortium.org/browse/sample/939e91e879f33cc48c65ea9fc0140c57", "HBM299.BHKJ.645")</f>
        <v>HBM299.BHKJ.645</v>
      </c>
      <c r="C92" s="7" t="s">
        <v>204</v>
      </c>
      <c r="D92" s="7" t="s">
        <v>25</v>
      </c>
      <c r="E92" s="7" t="s">
        <v>44</v>
      </c>
      <c r="F92" s="7" t="s">
        <v>205</v>
      </c>
      <c r="G92" s="7" t="b">
        <v>1</v>
      </c>
      <c r="H92" s="5" t="str">
        <f t="shared" si="14"/>
        <v>HBM598.WNXQ.998</v>
      </c>
      <c r="I92" s="7" t="s">
        <v>208</v>
      </c>
      <c r="O92" s="7" t="s">
        <v>28</v>
      </c>
      <c r="P92" s="7" t="s">
        <v>29</v>
      </c>
      <c r="Q92" s="7" t="s">
        <v>30</v>
      </c>
      <c r="R92" s="7" t="b">
        <v>1</v>
      </c>
      <c r="S92" s="5" t="s">
        <v>147</v>
      </c>
      <c r="T92" s="7" t="s">
        <v>49</v>
      </c>
      <c r="U92" s="7" t="s">
        <v>67</v>
      </c>
      <c r="V92" s="7" t="s">
        <v>68</v>
      </c>
      <c r="W92" s="7" t="s">
        <v>69</v>
      </c>
      <c r="X92" s="9">
        <v>44606.20414178241</v>
      </c>
      <c r="Y92" s="9">
        <v>44606.23295107639</v>
      </c>
    </row>
    <row r="93" ht="15.75" customHeight="1">
      <c r="A93" s="5" t="str">
        <f>HYPERLINK("https://portal.hubmapconsortium.org/browse/sample/5ec0906f45caefc20b1d129654abfc25", "HBM836.DCDH.644")</f>
        <v>HBM836.DCDH.644</v>
      </c>
      <c r="C93" s="7" t="s">
        <v>204</v>
      </c>
      <c r="D93" s="7" t="s">
        <v>25</v>
      </c>
      <c r="E93" s="7" t="s">
        <v>44</v>
      </c>
      <c r="F93" s="7" t="s">
        <v>205</v>
      </c>
      <c r="G93" s="7" t="b">
        <v>1</v>
      </c>
      <c r="H93" s="5" t="str">
        <f t="shared" si="14"/>
        <v>HBM598.WNXQ.998</v>
      </c>
      <c r="I93" s="7" t="s">
        <v>209</v>
      </c>
      <c r="O93" s="7" t="s">
        <v>28</v>
      </c>
      <c r="P93" s="7" t="s">
        <v>29</v>
      </c>
      <c r="Q93" s="7" t="s">
        <v>30</v>
      </c>
      <c r="R93" s="7" t="b">
        <v>1</v>
      </c>
      <c r="S93" s="5" t="s">
        <v>147</v>
      </c>
      <c r="T93" s="7" t="s">
        <v>49</v>
      </c>
      <c r="U93" s="7" t="s">
        <v>67</v>
      </c>
      <c r="V93" s="7" t="s">
        <v>68</v>
      </c>
      <c r="W93" s="7" t="s">
        <v>69</v>
      </c>
      <c r="X93" s="9">
        <v>44606.20414197916</v>
      </c>
      <c r="Y93" s="9">
        <v>44606.23330667824</v>
      </c>
    </row>
    <row r="94" ht="15.75" customHeight="1">
      <c r="A94" s="5" t="str">
        <f>HYPERLINK("https://portal.hubmapconsortium.org/browse/sample/bc48ba9a3be9215229c0bec37913f700", "HBM968.QBGD.956")</f>
        <v>HBM968.QBGD.956</v>
      </c>
      <c r="C94" s="7" t="s">
        <v>210</v>
      </c>
      <c r="D94" s="7" t="s">
        <v>25</v>
      </c>
      <c r="E94" s="7" t="s">
        <v>44</v>
      </c>
      <c r="F94" s="7" t="s">
        <v>211</v>
      </c>
      <c r="G94" s="7" t="b">
        <v>1</v>
      </c>
      <c r="H94" s="5" t="str">
        <f t="shared" ref="H94:H97" si="15">HYPERLINK("https://portal.hubmapconsortium.org/browse/sample/a20e2873d6c388393833fbc36bace964", "HBM823.KHCT.524")</f>
        <v>HBM823.KHCT.524</v>
      </c>
      <c r="I94" s="7" t="s">
        <v>212</v>
      </c>
      <c r="N94" s="7" t="s">
        <v>213</v>
      </c>
      <c r="O94" s="7" t="s">
        <v>28</v>
      </c>
      <c r="P94" s="7" t="s">
        <v>29</v>
      </c>
      <c r="Q94" s="7" t="s">
        <v>30</v>
      </c>
      <c r="R94" s="7" t="b">
        <v>1</v>
      </c>
      <c r="S94" s="5" t="s">
        <v>147</v>
      </c>
      <c r="T94" s="7" t="s">
        <v>49</v>
      </c>
      <c r="U94" s="7" t="s">
        <v>67</v>
      </c>
      <c r="V94" s="7" t="s">
        <v>68</v>
      </c>
      <c r="W94" s="7" t="s">
        <v>69</v>
      </c>
      <c r="X94" s="9">
        <v>44606.24264152778</v>
      </c>
      <c r="Y94" s="9">
        <v>44606.25438760417</v>
      </c>
    </row>
    <row r="95" ht="15.75" customHeight="1">
      <c r="A95" s="5" t="str">
        <f>HYPERLINK("https://portal.hubmapconsortium.org/browse/sample/e8a49e0148923fc059e289639c330c97", "HBM393.KPNS.368")</f>
        <v>HBM393.KPNS.368</v>
      </c>
      <c r="C95" s="7" t="s">
        <v>210</v>
      </c>
      <c r="D95" s="7" t="s">
        <v>25</v>
      </c>
      <c r="E95" s="7" t="s">
        <v>44</v>
      </c>
      <c r="F95" s="7" t="s">
        <v>211</v>
      </c>
      <c r="G95" s="7" t="b">
        <v>1</v>
      </c>
      <c r="H95" s="5" t="str">
        <f t="shared" si="15"/>
        <v>HBM823.KHCT.524</v>
      </c>
      <c r="I95" s="7" t="s">
        <v>214</v>
      </c>
      <c r="N95" s="7" t="s">
        <v>213</v>
      </c>
      <c r="O95" s="7" t="s">
        <v>28</v>
      </c>
      <c r="P95" s="7" t="s">
        <v>29</v>
      </c>
      <c r="Q95" s="7" t="s">
        <v>30</v>
      </c>
      <c r="R95" s="7" t="b">
        <v>1</v>
      </c>
      <c r="S95" s="5" t="s">
        <v>147</v>
      </c>
      <c r="T95" s="7" t="s">
        <v>49</v>
      </c>
      <c r="U95" s="7" t="s">
        <v>67</v>
      </c>
      <c r="V95" s="7" t="s">
        <v>68</v>
      </c>
      <c r="W95" s="7" t="s">
        <v>69</v>
      </c>
      <c r="X95" s="9">
        <v>44606.24264180555</v>
      </c>
      <c r="Y95" s="9">
        <v>44606.25585194444</v>
      </c>
    </row>
    <row r="96" ht="15.75" customHeight="1">
      <c r="A96" s="5" t="str">
        <f>HYPERLINK("https://portal.hubmapconsortium.org/browse/sample/5afd1a10618185e894abb9b4170bcc38", "HBM543.TSLR.886")</f>
        <v>HBM543.TSLR.886</v>
      </c>
      <c r="C96" s="7" t="s">
        <v>210</v>
      </c>
      <c r="D96" s="7" t="s">
        <v>25</v>
      </c>
      <c r="E96" s="7" t="s">
        <v>44</v>
      </c>
      <c r="F96" s="7" t="s">
        <v>211</v>
      </c>
      <c r="G96" s="7" t="b">
        <v>1</v>
      </c>
      <c r="H96" s="5" t="str">
        <f t="shared" si="15"/>
        <v>HBM823.KHCT.524</v>
      </c>
      <c r="I96" s="7" t="s">
        <v>215</v>
      </c>
      <c r="N96" s="7" t="s">
        <v>213</v>
      </c>
      <c r="O96" s="7" t="s">
        <v>28</v>
      </c>
      <c r="P96" s="7" t="s">
        <v>29</v>
      </c>
      <c r="Q96" s="7" t="s">
        <v>30</v>
      </c>
      <c r="R96" s="7" t="b">
        <v>1</v>
      </c>
      <c r="S96" s="5" t="s">
        <v>147</v>
      </c>
      <c r="T96" s="7" t="s">
        <v>49</v>
      </c>
      <c r="U96" s="7" t="s">
        <v>67</v>
      </c>
      <c r="V96" s="7" t="s">
        <v>68</v>
      </c>
      <c r="W96" s="7" t="s">
        <v>69</v>
      </c>
      <c r="X96" s="9">
        <v>44606.24264197917</v>
      </c>
      <c r="Y96" s="9">
        <v>44606.26240310185</v>
      </c>
    </row>
    <row r="97" ht="15.75" customHeight="1">
      <c r="A97" s="5" t="str">
        <f>HYPERLINK("https://portal.hubmapconsortium.org/browse/sample/6345845af038c4125a2cdfb5f63c2f03", "HBM326.WXZF.763")</f>
        <v>HBM326.WXZF.763</v>
      </c>
      <c r="C97" s="7" t="s">
        <v>210</v>
      </c>
      <c r="D97" s="7" t="s">
        <v>25</v>
      </c>
      <c r="E97" s="7" t="s">
        <v>44</v>
      </c>
      <c r="F97" s="7" t="s">
        <v>211</v>
      </c>
      <c r="G97" s="7" t="b">
        <v>1</v>
      </c>
      <c r="H97" s="5" t="str">
        <f t="shared" si="15"/>
        <v>HBM823.KHCT.524</v>
      </c>
      <c r="I97" s="7" t="s">
        <v>216</v>
      </c>
      <c r="N97" s="7" t="s">
        <v>213</v>
      </c>
      <c r="O97" s="7" t="s">
        <v>28</v>
      </c>
      <c r="P97" s="7" t="s">
        <v>29</v>
      </c>
      <c r="Q97" s="7" t="s">
        <v>30</v>
      </c>
      <c r="R97" s="7" t="b">
        <v>1</v>
      </c>
      <c r="S97" s="5" t="s">
        <v>147</v>
      </c>
      <c r="T97" s="7" t="s">
        <v>49</v>
      </c>
      <c r="U97" s="7" t="s">
        <v>67</v>
      </c>
      <c r="V97" s="7" t="s">
        <v>68</v>
      </c>
      <c r="W97" s="7" t="s">
        <v>69</v>
      </c>
      <c r="X97" s="9">
        <v>44606.24264215278</v>
      </c>
      <c r="Y97" s="9">
        <v>44606.26651574074</v>
      </c>
    </row>
    <row r="98" ht="15.75" customHeight="1">
      <c r="A98" s="5" t="str">
        <f>HYPERLINK("https://portal.hubmapconsortium.org/browse/sample/9cc7c2c7351c720d69098c0380a27068", "HBM384.GKQW.539")</f>
        <v>HBM384.GKQW.539</v>
      </c>
      <c r="C98" s="7" t="s">
        <v>217</v>
      </c>
      <c r="D98" s="7" t="s">
        <v>37</v>
      </c>
      <c r="E98" s="7" t="s">
        <v>44</v>
      </c>
      <c r="F98" s="7" t="s">
        <v>218</v>
      </c>
      <c r="G98" s="5" t="b">
        <v>0</v>
      </c>
      <c r="H98" s="5" t="str">
        <f>HYPERLINK("https://portal.hubmapconsortium.org/browse/sample/c02b6ebeab4d35ab4834f7b2cbb1bd06", "HBM546.SGVC.249")</f>
        <v>HBM546.SGVC.249</v>
      </c>
      <c r="I98" s="7" t="s">
        <v>219</v>
      </c>
      <c r="K98" s="7" t="s">
        <v>47</v>
      </c>
      <c r="N98" s="7" t="s">
        <v>220</v>
      </c>
      <c r="O98" s="7" t="s">
        <v>28</v>
      </c>
      <c r="P98" s="7" t="s">
        <v>29</v>
      </c>
      <c r="Q98" s="7" t="s">
        <v>30</v>
      </c>
      <c r="R98" s="5" t="b">
        <v>0</v>
      </c>
      <c r="S98" s="5" t="s">
        <v>31</v>
      </c>
      <c r="T98" s="7" t="s">
        <v>49</v>
      </c>
      <c r="U98" s="7" t="s">
        <v>50</v>
      </c>
      <c r="V98" s="7" t="s">
        <v>51</v>
      </c>
      <c r="W98" s="7" t="s">
        <v>35</v>
      </c>
      <c r="X98" s="9">
        <v>45848.84168436343</v>
      </c>
      <c r="Y98" s="9">
        <v>45848.84168436343</v>
      </c>
    </row>
    <row r="99" ht="15.75" customHeight="1">
      <c r="A99" s="5" t="str">
        <f>HYPERLINK("https://portal.hubmapconsortium.org/browse/sample/dbed05568a60c996abf0411f163f5419", "HBM454.WCXN.634")</f>
        <v>HBM454.WCXN.634</v>
      </c>
      <c r="C99" s="7" t="s">
        <v>217</v>
      </c>
      <c r="D99" s="7" t="s">
        <v>37</v>
      </c>
      <c r="E99" s="7" t="s">
        <v>44</v>
      </c>
      <c r="F99" s="7" t="s">
        <v>221</v>
      </c>
      <c r="G99" s="5" t="b">
        <v>0</v>
      </c>
      <c r="H99" s="5" t="str">
        <f t="shared" ref="H99:H112" si="16">HYPERLINK("https://portal.hubmapconsortium.org/browse/sample/bf6797891187c90525e7e2a4778f58a8", "HBM559.ZVDB.249")</f>
        <v>HBM559.ZVDB.249</v>
      </c>
      <c r="I99" s="7" t="s">
        <v>222</v>
      </c>
      <c r="K99" s="7">
        <v>22.0</v>
      </c>
      <c r="L99" s="7">
        <v>5.0</v>
      </c>
      <c r="M99" s="7">
        <v>4.0</v>
      </c>
      <c r="N99" s="7" t="s">
        <v>223</v>
      </c>
      <c r="O99" s="7" t="s">
        <v>28</v>
      </c>
      <c r="P99" s="7" t="s">
        <v>29</v>
      </c>
      <c r="Q99" s="7" t="s">
        <v>30</v>
      </c>
      <c r="R99" s="5" t="b">
        <v>0</v>
      </c>
      <c r="S99" s="5" t="s">
        <v>31</v>
      </c>
      <c r="T99" s="7" t="s">
        <v>49</v>
      </c>
      <c r="U99" s="7" t="s">
        <v>50</v>
      </c>
      <c r="V99" s="7" t="s">
        <v>51</v>
      </c>
      <c r="W99" s="7" t="s">
        <v>35</v>
      </c>
      <c r="X99" s="9">
        <v>45848.84169892361</v>
      </c>
      <c r="Y99" s="9">
        <v>45848.84169892361</v>
      </c>
    </row>
    <row r="100" ht="15.75" customHeight="1">
      <c r="A100" s="5" t="str">
        <f>HYPERLINK("https://portal.hubmapconsortium.org/browse/sample/1ae0ba156ba62d8933a6865ea7c30562", "HBM453.KCLH.673")</f>
        <v>HBM453.KCLH.673</v>
      </c>
      <c r="C100" s="7" t="s">
        <v>217</v>
      </c>
      <c r="D100" s="7" t="s">
        <v>37</v>
      </c>
      <c r="E100" s="7" t="s">
        <v>44</v>
      </c>
      <c r="F100" s="7" t="s">
        <v>221</v>
      </c>
      <c r="G100" s="5" t="b">
        <v>0</v>
      </c>
      <c r="H100" s="5" t="str">
        <f t="shared" si="16"/>
        <v>HBM559.ZVDB.249</v>
      </c>
      <c r="I100" s="7" t="s">
        <v>224</v>
      </c>
      <c r="K100" s="7">
        <v>22.0</v>
      </c>
      <c r="L100" s="7">
        <v>5.0</v>
      </c>
      <c r="M100" s="7">
        <v>6.0</v>
      </c>
      <c r="N100" s="7" t="s">
        <v>225</v>
      </c>
      <c r="O100" s="7" t="s">
        <v>28</v>
      </c>
      <c r="P100" s="7" t="s">
        <v>29</v>
      </c>
      <c r="Q100" s="7" t="s">
        <v>30</v>
      </c>
      <c r="R100" s="5" t="b">
        <v>0</v>
      </c>
      <c r="S100" s="5" t="s">
        <v>31</v>
      </c>
      <c r="T100" s="7" t="s">
        <v>49</v>
      </c>
      <c r="U100" s="7" t="s">
        <v>50</v>
      </c>
      <c r="V100" s="7" t="s">
        <v>51</v>
      </c>
      <c r="W100" s="7" t="s">
        <v>35</v>
      </c>
      <c r="X100" s="9">
        <v>45819.77816541667</v>
      </c>
      <c r="Y100" s="9">
        <v>45819.77816541667</v>
      </c>
    </row>
    <row r="101" ht="15.75" customHeight="1">
      <c r="A101" s="5" t="str">
        <f>HYPERLINK("https://portal.hubmapconsortium.org/browse/sample/16125b9c405aa81e4d819912b32c82b3", "HBM877.SJLN.558")</f>
        <v>HBM877.SJLN.558</v>
      </c>
      <c r="C101" s="7" t="s">
        <v>217</v>
      </c>
      <c r="D101" s="7" t="s">
        <v>37</v>
      </c>
      <c r="E101" s="7" t="s">
        <v>44</v>
      </c>
      <c r="F101" s="7" t="s">
        <v>221</v>
      </c>
      <c r="G101" s="5" t="b">
        <v>0</v>
      </c>
      <c r="H101" s="5" t="str">
        <f t="shared" si="16"/>
        <v>HBM559.ZVDB.249</v>
      </c>
      <c r="I101" s="7" t="s">
        <v>226</v>
      </c>
      <c r="K101" s="7">
        <v>22.0</v>
      </c>
      <c r="L101" s="7">
        <v>5.0</v>
      </c>
      <c r="M101" s="7">
        <v>5.0</v>
      </c>
      <c r="N101" s="7" t="s">
        <v>223</v>
      </c>
      <c r="O101" s="7" t="s">
        <v>28</v>
      </c>
      <c r="P101" s="7" t="s">
        <v>29</v>
      </c>
      <c r="Q101" s="7" t="s">
        <v>30</v>
      </c>
      <c r="R101" s="5" t="b">
        <v>0</v>
      </c>
      <c r="S101" s="5" t="s">
        <v>31</v>
      </c>
      <c r="T101" s="7" t="s">
        <v>49</v>
      </c>
      <c r="U101" s="7" t="s">
        <v>50</v>
      </c>
      <c r="V101" s="7" t="s">
        <v>51</v>
      </c>
      <c r="W101" s="7" t="s">
        <v>35</v>
      </c>
      <c r="X101" s="9">
        <v>45848.84171981482</v>
      </c>
      <c r="Y101" s="9">
        <v>45848.84171981482</v>
      </c>
    </row>
    <row r="102" ht="15.75" customHeight="1">
      <c r="A102" s="5" t="str">
        <f>HYPERLINK("https://portal.hubmapconsortium.org/browse/sample/8c7c3a8aeb68719f9a94fe6a7a29d874", "HBM467.FSJS.995")</f>
        <v>HBM467.FSJS.995</v>
      </c>
      <c r="C102" s="7" t="s">
        <v>217</v>
      </c>
      <c r="D102" s="7" t="s">
        <v>37</v>
      </c>
      <c r="E102" s="7" t="s">
        <v>44</v>
      </c>
      <c r="F102" s="7" t="s">
        <v>221</v>
      </c>
      <c r="G102" s="5" t="b">
        <v>0</v>
      </c>
      <c r="H102" s="5" t="str">
        <f t="shared" si="16"/>
        <v>HBM559.ZVDB.249</v>
      </c>
      <c r="I102" s="7" t="s">
        <v>227</v>
      </c>
      <c r="K102" s="7">
        <v>22.0</v>
      </c>
      <c r="L102" s="7">
        <v>5.0</v>
      </c>
      <c r="M102" s="7">
        <v>4.0</v>
      </c>
      <c r="N102" s="7" t="s">
        <v>223</v>
      </c>
      <c r="O102" s="7" t="s">
        <v>28</v>
      </c>
      <c r="P102" s="7" t="s">
        <v>29</v>
      </c>
      <c r="Q102" s="7" t="s">
        <v>30</v>
      </c>
      <c r="R102" s="5" t="b">
        <v>0</v>
      </c>
      <c r="S102" s="5" t="s">
        <v>31</v>
      </c>
      <c r="T102" s="7" t="s">
        <v>49</v>
      </c>
      <c r="U102" s="7" t="s">
        <v>50</v>
      </c>
      <c r="V102" s="7" t="s">
        <v>51</v>
      </c>
      <c r="W102" s="7" t="s">
        <v>35</v>
      </c>
      <c r="X102" s="9">
        <v>45848.84175969908</v>
      </c>
      <c r="Y102" s="9">
        <v>45848.84175969908</v>
      </c>
    </row>
    <row r="103" ht="15.75" customHeight="1">
      <c r="A103" s="5" t="str">
        <f>HYPERLINK("https://portal.hubmapconsortium.org/browse/sample/a31266ee927f6f01001cf36416e0a323", "HBM967.CLZG.977")</f>
        <v>HBM967.CLZG.977</v>
      </c>
      <c r="C103" s="7" t="s">
        <v>217</v>
      </c>
      <c r="D103" s="7" t="s">
        <v>37</v>
      </c>
      <c r="E103" s="7" t="s">
        <v>44</v>
      </c>
      <c r="F103" s="7" t="s">
        <v>221</v>
      </c>
      <c r="G103" s="5" t="b">
        <v>0</v>
      </c>
      <c r="H103" s="5" t="str">
        <f t="shared" si="16"/>
        <v>HBM559.ZVDB.249</v>
      </c>
      <c r="I103" s="7" t="s">
        <v>228</v>
      </c>
      <c r="K103" s="7">
        <v>22.0</v>
      </c>
      <c r="L103" s="7">
        <v>5.0</v>
      </c>
      <c r="M103" s="7">
        <v>8.0</v>
      </c>
      <c r="N103" s="7" t="s">
        <v>229</v>
      </c>
      <c r="O103" s="7" t="s">
        <v>28</v>
      </c>
      <c r="P103" s="7" t="s">
        <v>29</v>
      </c>
      <c r="Q103" s="7" t="s">
        <v>30</v>
      </c>
      <c r="R103" s="5" t="b">
        <v>0</v>
      </c>
      <c r="S103" s="5" t="s">
        <v>31</v>
      </c>
      <c r="T103" s="7" t="s">
        <v>32</v>
      </c>
      <c r="U103" s="7" t="s">
        <v>50</v>
      </c>
      <c r="V103" s="7" t="s">
        <v>51</v>
      </c>
      <c r="W103" s="7" t="s">
        <v>35</v>
      </c>
      <c r="X103" s="9">
        <v>45722.89107868056</v>
      </c>
      <c r="Y103" s="9">
        <v>45722.90393729167</v>
      </c>
    </row>
    <row r="104" ht="15.75" customHeight="1">
      <c r="A104" s="5" t="str">
        <f>HYPERLINK("https://portal.hubmapconsortium.org/browse/sample/61057e570ac5cf33f8592a6bd7ccbba6", "HBM784.SPZB.799")</f>
        <v>HBM784.SPZB.799</v>
      </c>
      <c r="C104" s="7" t="s">
        <v>217</v>
      </c>
      <c r="D104" s="7" t="s">
        <v>37</v>
      </c>
      <c r="E104" s="7" t="s">
        <v>44</v>
      </c>
      <c r="F104" s="7" t="s">
        <v>221</v>
      </c>
      <c r="G104" s="7" t="b">
        <v>1</v>
      </c>
      <c r="H104" s="5" t="str">
        <f t="shared" si="16"/>
        <v>HBM559.ZVDB.249</v>
      </c>
      <c r="I104" s="7" t="s">
        <v>230</v>
      </c>
      <c r="N104" s="7" t="s">
        <v>231</v>
      </c>
      <c r="O104" s="7" t="s">
        <v>28</v>
      </c>
      <c r="P104" s="7" t="s">
        <v>29</v>
      </c>
      <c r="Q104" s="7" t="s">
        <v>30</v>
      </c>
      <c r="R104" s="7" t="b">
        <v>1</v>
      </c>
      <c r="S104" s="5" t="s">
        <v>118</v>
      </c>
      <c r="T104" s="7" t="s">
        <v>32</v>
      </c>
      <c r="U104" s="7" t="s">
        <v>67</v>
      </c>
      <c r="V104" s="7" t="s">
        <v>68</v>
      </c>
      <c r="W104" s="7" t="s">
        <v>69</v>
      </c>
      <c r="X104" s="9">
        <v>44704.10776714121</v>
      </c>
      <c r="Y104" s="9">
        <v>44733.08909282408</v>
      </c>
    </row>
    <row r="105" ht="15.75" customHeight="1">
      <c r="A105" s="5" t="str">
        <f>HYPERLINK("https://portal.hubmapconsortium.org/browse/sample/73811cc6ff2e339ce5f210b2e4e0b4d5", "HBM245.TZHD.382")</f>
        <v>HBM245.TZHD.382</v>
      </c>
      <c r="C105" s="7" t="s">
        <v>217</v>
      </c>
      <c r="D105" s="7" t="s">
        <v>37</v>
      </c>
      <c r="E105" s="7" t="s">
        <v>44</v>
      </c>
      <c r="F105" s="7" t="s">
        <v>221</v>
      </c>
      <c r="G105" s="7" t="b">
        <v>1</v>
      </c>
      <c r="H105" s="5" t="str">
        <f t="shared" si="16"/>
        <v>HBM559.ZVDB.249</v>
      </c>
      <c r="I105" s="7" t="s">
        <v>232</v>
      </c>
      <c r="N105" s="7" t="s">
        <v>231</v>
      </c>
      <c r="O105" s="7" t="s">
        <v>28</v>
      </c>
      <c r="P105" s="7" t="s">
        <v>29</v>
      </c>
      <c r="Q105" s="7" t="s">
        <v>30</v>
      </c>
      <c r="R105" s="7" t="b">
        <v>1</v>
      </c>
      <c r="S105" s="5" t="s">
        <v>118</v>
      </c>
      <c r="T105" s="7" t="s">
        <v>32</v>
      </c>
      <c r="U105" s="7" t="s">
        <v>67</v>
      </c>
      <c r="V105" s="7" t="s">
        <v>68</v>
      </c>
      <c r="W105" s="7" t="s">
        <v>69</v>
      </c>
      <c r="X105" s="9">
        <v>44704.10776731482</v>
      </c>
      <c r="Y105" s="9">
        <v>44733.1133165625</v>
      </c>
    </row>
    <row r="106" ht="15.75" customHeight="1">
      <c r="A106" s="5" t="str">
        <f>HYPERLINK("https://portal.hubmapconsortium.org/browse/sample/f2deaab37fb026044244f2cbfa87d152", "HBM942.QQWW.939")</f>
        <v>HBM942.QQWW.939</v>
      </c>
      <c r="C106" s="7" t="s">
        <v>217</v>
      </c>
      <c r="D106" s="7" t="s">
        <v>37</v>
      </c>
      <c r="E106" s="7" t="s">
        <v>44</v>
      </c>
      <c r="F106" s="7" t="s">
        <v>221</v>
      </c>
      <c r="G106" s="7" t="b">
        <v>1</v>
      </c>
      <c r="H106" s="5" t="str">
        <f t="shared" si="16"/>
        <v>HBM559.ZVDB.249</v>
      </c>
      <c r="I106" s="7" t="s">
        <v>233</v>
      </c>
      <c r="N106" s="7" t="s">
        <v>231</v>
      </c>
      <c r="O106" s="7" t="s">
        <v>28</v>
      </c>
      <c r="P106" s="7" t="s">
        <v>29</v>
      </c>
      <c r="Q106" s="7" t="s">
        <v>30</v>
      </c>
      <c r="R106" s="7" t="b">
        <v>1</v>
      </c>
      <c r="S106" s="5" t="s">
        <v>118</v>
      </c>
      <c r="T106" s="7" t="s">
        <v>32</v>
      </c>
      <c r="U106" s="7" t="s">
        <v>67</v>
      </c>
      <c r="V106" s="7" t="s">
        <v>68</v>
      </c>
      <c r="W106" s="7" t="s">
        <v>69</v>
      </c>
      <c r="X106" s="9">
        <v>44704.10776748843</v>
      </c>
      <c r="Y106" s="9">
        <v>44733.10638861111</v>
      </c>
    </row>
    <row r="107" ht="15.75" customHeight="1">
      <c r="A107" s="5" t="str">
        <f>HYPERLINK("https://portal.hubmapconsortium.org/browse/sample/a8f077a9814f91366ed0e1d6c533c60f", "HBM586.NMCP.494")</f>
        <v>HBM586.NMCP.494</v>
      </c>
      <c r="C107" s="7" t="s">
        <v>217</v>
      </c>
      <c r="D107" s="7" t="s">
        <v>37</v>
      </c>
      <c r="E107" s="7" t="s">
        <v>44</v>
      </c>
      <c r="F107" s="7" t="s">
        <v>221</v>
      </c>
      <c r="G107" s="5" t="b">
        <v>0</v>
      </c>
      <c r="H107" s="5" t="str">
        <f t="shared" si="16"/>
        <v>HBM559.ZVDB.249</v>
      </c>
      <c r="I107" s="7" t="s">
        <v>234</v>
      </c>
      <c r="K107" s="7">
        <v>16.0</v>
      </c>
      <c r="L107" s="7">
        <v>3.0</v>
      </c>
      <c r="M107" s="7">
        <v>6.0</v>
      </c>
      <c r="N107" s="7" t="s">
        <v>235</v>
      </c>
      <c r="O107" s="7" t="s">
        <v>28</v>
      </c>
      <c r="P107" s="7" t="s">
        <v>29</v>
      </c>
      <c r="Q107" s="7" t="s">
        <v>30</v>
      </c>
      <c r="R107" s="5" t="b">
        <v>0</v>
      </c>
      <c r="S107" s="5" t="s">
        <v>31</v>
      </c>
      <c r="T107" s="7" t="s">
        <v>49</v>
      </c>
      <c r="U107" s="7" t="s">
        <v>50</v>
      </c>
      <c r="V107" s="7" t="s">
        <v>51</v>
      </c>
      <c r="W107" s="7" t="s">
        <v>35</v>
      </c>
      <c r="X107" s="9">
        <v>45819.77820503472</v>
      </c>
      <c r="Y107" s="9">
        <v>45819.77820503472</v>
      </c>
    </row>
    <row r="108" ht="15.75" customHeight="1">
      <c r="A108" s="5" t="str">
        <f>HYPERLINK("https://portal.hubmapconsortium.org/browse/sample/6cb2bc119ca865b8aa05f0e34ed8cc25", "HBM426.MRPF.254")</f>
        <v>HBM426.MRPF.254</v>
      </c>
      <c r="C108" s="7" t="s">
        <v>217</v>
      </c>
      <c r="D108" s="7" t="s">
        <v>37</v>
      </c>
      <c r="E108" s="7" t="s">
        <v>44</v>
      </c>
      <c r="F108" s="7" t="s">
        <v>221</v>
      </c>
      <c r="G108" s="5" t="b">
        <v>0</v>
      </c>
      <c r="H108" s="5" t="str">
        <f t="shared" si="16"/>
        <v>HBM559.ZVDB.249</v>
      </c>
      <c r="I108" s="7" t="s">
        <v>236</v>
      </c>
      <c r="K108" s="7">
        <v>16.0</v>
      </c>
      <c r="L108" s="7">
        <v>3.0</v>
      </c>
      <c r="M108" s="7">
        <v>5.0</v>
      </c>
      <c r="N108" s="7" t="s">
        <v>237</v>
      </c>
      <c r="O108" s="7" t="s">
        <v>28</v>
      </c>
      <c r="P108" s="7" t="s">
        <v>29</v>
      </c>
      <c r="Q108" s="7" t="s">
        <v>30</v>
      </c>
      <c r="R108" s="5" t="b">
        <v>0</v>
      </c>
      <c r="S108" s="5" t="s">
        <v>31</v>
      </c>
      <c r="T108" s="7" t="s">
        <v>49</v>
      </c>
      <c r="U108" s="7" t="s">
        <v>50</v>
      </c>
      <c r="V108" s="7" t="s">
        <v>51</v>
      </c>
      <c r="W108" s="7" t="s">
        <v>35</v>
      </c>
      <c r="X108" s="9">
        <v>45848.84182912037</v>
      </c>
      <c r="Y108" s="9">
        <v>45848.84182912037</v>
      </c>
    </row>
    <row r="109" ht="15.75" customHeight="1">
      <c r="A109" s="5" t="str">
        <f>HYPERLINK("https://portal.hubmapconsortium.org/browse/sample/2fb1ec9f76583b47e9b38c5b0e2c1817", "HBM676.KFCH.765")</f>
        <v>HBM676.KFCH.765</v>
      </c>
      <c r="C109" s="7" t="s">
        <v>217</v>
      </c>
      <c r="D109" s="7" t="s">
        <v>37</v>
      </c>
      <c r="E109" s="7" t="s">
        <v>44</v>
      </c>
      <c r="F109" s="7" t="s">
        <v>221</v>
      </c>
      <c r="G109" s="5" t="b">
        <v>0</v>
      </c>
      <c r="H109" s="5" t="str">
        <f t="shared" si="16"/>
        <v>HBM559.ZVDB.249</v>
      </c>
      <c r="I109" s="7" t="s">
        <v>238</v>
      </c>
      <c r="K109" s="7">
        <v>16.0</v>
      </c>
      <c r="L109" s="7">
        <v>3.0</v>
      </c>
      <c r="M109" s="7">
        <v>4.0</v>
      </c>
      <c r="N109" s="7" t="s">
        <v>237</v>
      </c>
      <c r="O109" s="7" t="s">
        <v>28</v>
      </c>
      <c r="P109" s="7" t="s">
        <v>29</v>
      </c>
      <c r="Q109" s="7" t="s">
        <v>30</v>
      </c>
      <c r="R109" s="5" t="b">
        <v>0</v>
      </c>
      <c r="S109" s="5" t="s">
        <v>31</v>
      </c>
      <c r="T109" s="7" t="s">
        <v>49</v>
      </c>
      <c r="U109" s="7" t="s">
        <v>50</v>
      </c>
      <c r="V109" s="7" t="s">
        <v>51</v>
      </c>
      <c r="W109" s="7" t="s">
        <v>35</v>
      </c>
      <c r="X109" s="9">
        <v>45848.84186614583</v>
      </c>
      <c r="Y109" s="9">
        <v>45848.84186614583</v>
      </c>
    </row>
    <row r="110" ht="15.75" customHeight="1">
      <c r="A110" s="5" t="str">
        <f>HYPERLINK("https://portal.hubmapconsortium.org/browse/sample/248b0fd5d87bdd9368ef0a398a5ebb70", "HBM998.VHPF.947")</f>
        <v>HBM998.VHPF.947</v>
      </c>
      <c r="C110" s="7" t="s">
        <v>217</v>
      </c>
      <c r="D110" s="7" t="s">
        <v>37</v>
      </c>
      <c r="E110" s="7" t="s">
        <v>44</v>
      </c>
      <c r="F110" s="7" t="s">
        <v>221</v>
      </c>
      <c r="G110" s="7" t="b">
        <v>1</v>
      </c>
      <c r="H110" s="5" t="str">
        <f t="shared" si="16"/>
        <v>HBM559.ZVDB.249</v>
      </c>
      <c r="I110" s="7" t="s">
        <v>239</v>
      </c>
      <c r="N110" s="7" t="s">
        <v>231</v>
      </c>
      <c r="O110" s="7" t="s">
        <v>28</v>
      </c>
      <c r="P110" s="7" t="s">
        <v>29</v>
      </c>
      <c r="Q110" s="7" t="s">
        <v>30</v>
      </c>
      <c r="R110" s="7" t="b">
        <v>1</v>
      </c>
      <c r="S110" s="5" t="s">
        <v>118</v>
      </c>
      <c r="T110" s="7" t="s">
        <v>32</v>
      </c>
      <c r="U110" s="7" t="s">
        <v>67</v>
      </c>
      <c r="V110" s="7" t="s">
        <v>68</v>
      </c>
      <c r="W110" s="7" t="s">
        <v>69</v>
      </c>
      <c r="X110" s="9">
        <v>44704.10776767361</v>
      </c>
      <c r="Y110" s="9">
        <v>44733.11943174768</v>
      </c>
    </row>
    <row r="111" ht="15.75" customHeight="1">
      <c r="A111" s="5" t="str">
        <f>HYPERLINK("https://portal.hubmapconsortium.org/browse/sample/712112593e7dc4f80389c38c6ec0a4a3", "HBM892.JLHP.899")</f>
        <v>HBM892.JLHP.899</v>
      </c>
      <c r="C111" s="7" t="s">
        <v>217</v>
      </c>
      <c r="D111" s="7" t="s">
        <v>37</v>
      </c>
      <c r="E111" s="7" t="s">
        <v>44</v>
      </c>
      <c r="F111" s="7" t="s">
        <v>221</v>
      </c>
      <c r="G111" s="7" t="b">
        <v>1</v>
      </c>
      <c r="H111" s="5" t="str">
        <f t="shared" si="16"/>
        <v>HBM559.ZVDB.249</v>
      </c>
      <c r="I111" s="7" t="s">
        <v>240</v>
      </c>
      <c r="N111" s="7" t="s">
        <v>231</v>
      </c>
      <c r="O111" s="7" t="s">
        <v>28</v>
      </c>
      <c r="P111" s="7" t="s">
        <v>29</v>
      </c>
      <c r="Q111" s="7" t="s">
        <v>30</v>
      </c>
      <c r="R111" s="7" t="b">
        <v>1</v>
      </c>
      <c r="S111" s="5" t="s">
        <v>118</v>
      </c>
      <c r="T111" s="7" t="s">
        <v>32</v>
      </c>
      <c r="U111" s="7" t="s">
        <v>67</v>
      </c>
      <c r="V111" s="7" t="s">
        <v>68</v>
      </c>
      <c r="W111" s="7" t="s">
        <v>69</v>
      </c>
      <c r="X111" s="9">
        <v>44704.10776784722</v>
      </c>
      <c r="Y111" s="9">
        <v>44733.13135949074</v>
      </c>
    </row>
    <row r="112" ht="15.75" customHeight="1">
      <c r="A112" s="5" t="str">
        <f>HYPERLINK("https://portal.hubmapconsortium.org/browse/sample/fca90c1aae343dab921575f3f40d9792", "HBM485.MFVF.256")</f>
        <v>HBM485.MFVF.256</v>
      </c>
      <c r="C112" s="7" t="s">
        <v>217</v>
      </c>
      <c r="D112" s="7" t="s">
        <v>37</v>
      </c>
      <c r="E112" s="7" t="s">
        <v>44</v>
      </c>
      <c r="F112" s="7" t="s">
        <v>221</v>
      </c>
      <c r="G112" s="7" t="b">
        <v>1</v>
      </c>
      <c r="H112" s="5" t="str">
        <f t="shared" si="16"/>
        <v>HBM559.ZVDB.249</v>
      </c>
      <c r="I112" s="7" t="s">
        <v>241</v>
      </c>
      <c r="N112" s="7" t="s">
        <v>231</v>
      </c>
      <c r="O112" s="7" t="s">
        <v>28</v>
      </c>
      <c r="P112" s="7" t="s">
        <v>29</v>
      </c>
      <c r="Q112" s="7" t="s">
        <v>30</v>
      </c>
      <c r="R112" s="7" t="b">
        <v>1</v>
      </c>
      <c r="S112" s="5" t="s">
        <v>118</v>
      </c>
      <c r="T112" s="7" t="s">
        <v>32</v>
      </c>
      <c r="U112" s="7" t="s">
        <v>67</v>
      </c>
      <c r="V112" s="7" t="s">
        <v>68</v>
      </c>
      <c r="W112" s="7" t="s">
        <v>69</v>
      </c>
      <c r="X112" s="9">
        <v>44704.10776802083</v>
      </c>
      <c r="Y112" s="9">
        <v>44733.13916046296</v>
      </c>
    </row>
    <row r="113" ht="15.75" customHeight="1">
      <c r="A113" s="5" t="str">
        <f>HYPERLINK("https://portal.hubmapconsortium.org/browse/sample/baf46ce2b786c8e0bcd223db27d3bd09", "HBM694.DRBP.844")</f>
        <v>HBM694.DRBP.844</v>
      </c>
      <c r="C113" s="7" t="s">
        <v>242</v>
      </c>
      <c r="D113" s="7" t="s">
        <v>25</v>
      </c>
      <c r="E113" s="7" t="s">
        <v>44</v>
      </c>
      <c r="F113" s="7" t="s">
        <v>243</v>
      </c>
      <c r="G113" s="5" t="b">
        <v>0</v>
      </c>
      <c r="H113" s="5" t="str">
        <f>HYPERLINK("https://portal.hubmapconsortium.org/browse/sample/9ea8bdc2c660a0da9d944e0b2da6b237", "HBM749.ZWMQ.359")</f>
        <v>HBM749.ZWMQ.359</v>
      </c>
      <c r="I113" s="7" t="s">
        <v>244</v>
      </c>
      <c r="K113" s="7">
        <v>28.0</v>
      </c>
      <c r="L113" s="7">
        <v>6.0</v>
      </c>
      <c r="M113" s="7">
        <v>8.0</v>
      </c>
      <c r="N113" s="7" t="s">
        <v>245</v>
      </c>
      <c r="O113" s="7" t="s">
        <v>28</v>
      </c>
      <c r="P113" s="7" t="s">
        <v>29</v>
      </c>
      <c r="Q113" s="7" t="s">
        <v>30</v>
      </c>
      <c r="R113" s="5" t="b">
        <v>0</v>
      </c>
      <c r="S113" s="5" t="s">
        <v>31</v>
      </c>
      <c r="T113" s="7" t="s">
        <v>32</v>
      </c>
      <c r="U113" s="7" t="s">
        <v>50</v>
      </c>
      <c r="V113" s="7" t="s">
        <v>51</v>
      </c>
      <c r="W113" s="7" t="s">
        <v>35</v>
      </c>
      <c r="X113" s="9">
        <v>45602.6608978125</v>
      </c>
      <c r="Y113" s="9">
        <v>45602.6608978125</v>
      </c>
    </row>
    <row r="114" ht="15.75" customHeight="1">
      <c r="A114" s="11" t="str">
        <f>HYPERLINK("https://portal.hubmapconsortium.org/browse/sample/c33eb59c346f2263bee337cb1551e678", "HBM876.STLF.442")</f>
        <v>HBM876.STLF.442</v>
      </c>
      <c r="B114" s="13"/>
      <c r="C114" s="13" t="s">
        <v>246</v>
      </c>
      <c r="D114" s="13" t="s">
        <v>25</v>
      </c>
      <c r="E114" s="7" t="s">
        <v>44</v>
      </c>
      <c r="F114" s="13" t="s">
        <v>247</v>
      </c>
      <c r="G114" s="11" t="b">
        <v>0</v>
      </c>
      <c r="H114" s="11" t="str">
        <f>HYPERLINK("https://portal.hubmapconsortium.org/browse/sample/3c3158470b8f6dedc828cbcf1d0c20df", "HBM665.TTZV.976")</f>
        <v>HBM665.TTZV.976</v>
      </c>
      <c r="I114" s="13" t="s">
        <v>248</v>
      </c>
      <c r="J114" s="13"/>
      <c r="K114" s="13" t="s">
        <v>47</v>
      </c>
      <c r="L114" s="13"/>
      <c r="M114" s="13"/>
      <c r="N114" s="13" t="s">
        <v>249</v>
      </c>
      <c r="O114" s="13" t="s">
        <v>28</v>
      </c>
      <c r="P114" s="13" t="s">
        <v>29</v>
      </c>
      <c r="Q114" s="13" t="s">
        <v>30</v>
      </c>
      <c r="R114" s="11" t="b">
        <v>0</v>
      </c>
      <c r="S114" s="11" t="s">
        <v>31</v>
      </c>
      <c r="T114" s="13" t="s">
        <v>49</v>
      </c>
      <c r="U114" s="13" t="s">
        <v>50</v>
      </c>
      <c r="V114" s="13" t="s">
        <v>51</v>
      </c>
      <c r="W114" s="13" t="s">
        <v>35</v>
      </c>
      <c r="X114" s="14">
        <v>45819.7782456713</v>
      </c>
      <c r="Y114" s="14">
        <v>45819.7782456713</v>
      </c>
      <c r="Z114" s="13"/>
      <c r="AA114" s="13"/>
    </row>
    <row r="115" ht="15.75" customHeight="1">
      <c r="A115" s="5" t="str">
        <f>HYPERLINK("https://portal.hubmapconsortium.org/browse/sample/df429f48328d5757f91ceba15d0d6174", "HBM665.HXJB.578")</f>
        <v>HBM665.HXJB.578</v>
      </c>
      <c r="C115" s="7" t="s">
        <v>246</v>
      </c>
      <c r="D115" s="7" t="s">
        <v>25</v>
      </c>
      <c r="E115" s="7" t="s">
        <v>44</v>
      </c>
      <c r="F115" s="7" t="s">
        <v>250</v>
      </c>
      <c r="G115" s="5" t="b">
        <v>0</v>
      </c>
      <c r="H115" s="5" t="str">
        <f t="shared" ref="H115:H130" si="17">HYPERLINK("https://portal.hubmapconsortium.org/browse/sample/647bb669b1302c49cada4274553543e1", "HBM436.JQXP.677")</f>
        <v>HBM436.JQXP.677</v>
      </c>
      <c r="I115" s="24" t="s">
        <v>251</v>
      </c>
      <c r="J115" s="24"/>
      <c r="K115" s="7">
        <v>24.0</v>
      </c>
      <c r="L115" s="7">
        <v>4.0</v>
      </c>
      <c r="M115" s="7">
        <v>5.0</v>
      </c>
      <c r="N115" s="7" t="s">
        <v>252</v>
      </c>
      <c r="O115" s="7" t="s">
        <v>28</v>
      </c>
      <c r="P115" s="7" t="s">
        <v>29</v>
      </c>
      <c r="Q115" s="7" t="s">
        <v>30</v>
      </c>
      <c r="R115" s="5" t="b">
        <v>0</v>
      </c>
      <c r="S115" s="5" t="s">
        <v>131</v>
      </c>
      <c r="T115" s="7" t="s">
        <v>49</v>
      </c>
      <c r="U115" s="7" t="s">
        <v>50</v>
      </c>
      <c r="V115" s="7" t="s">
        <v>51</v>
      </c>
      <c r="W115" s="7" t="s">
        <v>35</v>
      </c>
      <c r="X115" s="9">
        <v>45714.92371394676</v>
      </c>
      <c r="Y115" s="9">
        <v>45714.92371394676</v>
      </c>
    </row>
    <row r="116" ht="15.75" customHeight="1">
      <c r="A116" s="5" t="str">
        <f>HYPERLINK("https://portal.hubmapconsortium.org/browse/sample/80442e949d5df4cbc0e5b320e215859a", "HBM652.HRCV.999")</f>
        <v>HBM652.HRCV.999</v>
      </c>
      <c r="C116" s="7" t="s">
        <v>246</v>
      </c>
      <c r="D116" s="7" t="s">
        <v>25</v>
      </c>
      <c r="E116" s="7" t="s">
        <v>44</v>
      </c>
      <c r="F116" s="7" t="s">
        <v>250</v>
      </c>
      <c r="G116" s="5" t="b">
        <v>0</v>
      </c>
      <c r="H116" s="5" t="str">
        <f t="shared" si="17"/>
        <v>HBM436.JQXP.677</v>
      </c>
      <c r="I116" s="7" t="s">
        <v>253</v>
      </c>
      <c r="K116" s="7">
        <v>24.0</v>
      </c>
      <c r="L116" s="7">
        <v>4.0</v>
      </c>
      <c r="M116" s="7">
        <v>3.0</v>
      </c>
      <c r="N116" s="7" t="s">
        <v>254</v>
      </c>
      <c r="O116" s="7" t="s">
        <v>28</v>
      </c>
      <c r="P116" s="7" t="s">
        <v>29</v>
      </c>
      <c r="Q116" s="7" t="s">
        <v>30</v>
      </c>
      <c r="R116" s="5" t="b">
        <v>0</v>
      </c>
      <c r="S116" s="5" t="s">
        <v>31</v>
      </c>
      <c r="T116" s="7" t="s">
        <v>49</v>
      </c>
      <c r="U116" s="7" t="s">
        <v>33</v>
      </c>
      <c r="V116" s="7" t="s">
        <v>34</v>
      </c>
      <c r="W116" s="7" t="s">
        <v>35</v>
      </c>
      <c r="X116" s="9">
        <v>45852.783345625</v>
      </c>
      <c r="Y116" s="9">
        <v>45852.783345625</v>
      </c>
    </row>
    <row r="117" ht="15.75" customHeight="1">
      <c r="A117" s="5" t="str">
        <f>HYPERLINK("https://portal.hubmapconsortium.org/browse/sample/fc7cf76a2ff6bbfbb765ce2da6feaa66", "HBM299.QWHQ.472")</f>
        <v>HBM299.QWHQ.472</v>
      </c>
      <c r="C117" s="7" t="s">
        <v>246</v>
      </c>
      <c r="D117" s="7" t="s">
        <v>25</v>
      </c>
      <c r="E117" s="7" t="s">
        <v>44</v>
      </c>
      <c r="F117" s="7" t="s">
        <v>250</v>
      </c>
      <c r="G117" s="5" t="b">
        <v>0</v>
      </c>
      <c r="H117" s="5" t="str">
        <f t="shared" si="17"/>
        <v>HBM436.JQXP.677</v>
      </c>
      <c r="I117" s="7" t="s">
        <v>255</v>
      </c>
      <c r="K117" s="7">
        <v>24.0</v>
      </c>
      <c r="L117" s="7">
        <v>4.0</v>
      </c>
      <c r="M117" s="7">
        <v>4.0</v>
      </c>
      <c r="N117" s="7" t="s">
        <v>256</v>
      </c>
      <c r="O117" s="7" t="s">
        <v>28</v>
      </c>
      <c r="P117" s="7" t="s">
        <v>29</v>
      </c>
      <c r="Q117" s="7" t="s">
        <v>30</v>
      </c>
      <c r="R117" s="5" t="b">
        <v>0</v>
      </c>
      <c r="S117" s="5" t="s">
        <v>31</v>
      </c>
      <c r="T117" s="7" t="s">
        <v>49</v>
      </c>
      <c r="U117" s="7" t="s">
        <v>50</v>
      </c>
      <c r="V117" s="7" t="s">
        <v>51</v>
      </c>
      <c r="W117" s="7" t="s">
        <v>35</v>
      </c>
      <c r="X117" s="9">
        <v>45848.84190204861</v>
      </c>
      <c r="Y117" s="9">
        <v>45848.84190204861</v>
      </c>
    </row>
    <row r="118" ht="15.75" customHeight="1">
      <c r="A118" s="5" t="str">
        <f>HYPERLINK("https://portal.hubmapconsortium.org/browse/sample/c48fe2fa73216fe1056fd8c78e3c7990", "HBM897.KTHH.426")</f>
        <v>HBM897.KTHH.426</v>
      </c>
      <c r="C118" s="7" t="s">
        <v>246</v>
      </c>
      <c r="D118" s="7" t="s">
        <v>25</v>
      </c>
      <c r="E118" s="7" t="s">
        <v>44</v>
      </c>
      <c r="F118" s="7" t="s">
        <v>250</v>
      </c>
      <c r="G118" s="5" t="b">
        <v>0</v>
      </c>
      <c r="H118" s="5" t="str">
        <f t="shared" si="17"/>
        <v>HBM436.JQXP.677</v>
      </c>
      <c r="I118" s="7" t="s">
        <v>257</v>
      </c>
      <c r="K118" s="7">
        <v>24.0</v>
      </c>
      <c r="L118" s="7">
        <v>4.0</v>
      </c>
      <c r="M118" s="7">
        <v>6.0</v>
      </c>
      <c r="N118" s="7" t="s">
        <v>256</v>
      </c>
      <c r="O118" s="7" t="s">
        <v>28</v>
      </c>
      <c r="P118" s="7" t="s">
        <v>29</v>
      </c>
      <c r="Q118" s="7" t="s">
        <v>30</v>
      </c>
      <c r="R118" s="5" t="b">
        <v>0</v>
      </c>
      <c r="S118" s="5" t="s">
        <v>31</v>
      </c>
      <c r="T118" s="7" t="s">
        <v>49</v>
      </c>
      <c r="U118" s="7" t="s">
        <v>50</v>
      </c>
      <c r="V118" s="7" t="s">
        <v>51</v>
      </c>
      <c r="W118" s="7" t="s">
        <v>35</v>
      </c>
      <c r="X118" s="9">
        <v>45848.84195767361</v>
      </c>
      <c r="Y118" s="9">
        <v>45848.84195767361</v>
      </c>
    </row>
    <row r="119" ht="15.75" customHeight="1">
      <c r="A119" s="5" t="str">
        <f>HYPERLINK("https://portal.hubmapconsortium.org/browse/sample/02321c10cd0b2a2114cebcfe3fd21abb", "HBM472.CNKX.263")</f>
        <v>HBM472.CNKX.263</v>
      </c>
      <c r="C119" s="7" t="s">
        <v>246</v>
      </c>
      <c r="D119" s="7" t="s">
        <v>25</v>
      </c>
      <c r="E119" s="7" t="s">
        <v>44</v>
      </c>
      <c r="F119" s="7" t="s">
        <v>250</v>
      </c>
      <c r="G119" s="5" t="b">
        <v>0</v>
      </c>
      <c r="H119" s="5" t="str">
        <f t="shared" si="17"/>
        <v>HBM436.JQXP.677</v>
      </c>
      <c r="I119" s="7" t="s">
        <v>258</v>
      </c>
      <c r="K119" s="7">
        <v>24.0</v>
      </c>
      <c r="L119" s="7">
        <v>4.0</v>
      </c>
      <c r="M119" s="7">
        <v>3.0</v>
      </c>
      <c r="N119" s="7" t="s">
        <v>259</v>
      </c>
      <c r="O119" s="7" t="s">
        <v>28</v>
      </c>
      <c r="P119" s="7" t="s">
        <v>29</v>
      </c>
      <c r="Q119" s="7" t="s">
        <v>30</v>
      </c>
      <c r="R119" s="5" t="b">
        <v>0</v>
      </c>
      <c r="S119" s="5" t="s">
        <v>31</v>
      </c>
      <c r="T119" s="7" t="s">
        <v>49</v>
      </c>
      <c r="U119" s="7" t="s">
        <v>50</v>
      </c>
      <c r="V119" s="7" t="s">
        <v>51</v>
      </c>
      <c r="W119" s="7" t="s">
        <v>35</v>
      </c>
      <c r="X119" s="9">
        <v>45819.77830835648</v>
      </c>
      <c r="Y119" s="9">
        <v>45819.77830835648</v>
      </c>
    </row>
    <row r="120" ht="15.75" customHeight="1">
      <c r="A120" s="5" t="str">
        <f>HYPERLINK("https://portal.hubmapconsortium.org/browse/sample/9ef7a44afb46c66de70a0e6c7d5412bc", "HBM924.LKTD.778")</f>
        <v>HBM924.LKTD.778</v>
      </c>
      <c r="C120" s="7" t="s">
        <v>246</v>
      </c>
      <c r="D120" s="7" t="s">
        <v>25</v>
      </c>
      <c r="E120" s="7" t="s">
        <v>44</v>
      </c>
      <c r="F120" s="7" t="s">
        <v>250</v>
      </c>
      <c r="G120" s="5" t="b">
        <v>0</v>
      </c>
      <c r="H120" s="5" t="str">
        <f t="shared" si="17"/>
        <v>HBM436.JQXP.677</v>
      </c>
      <c r="I120" s="7" t="s">
        <v>260</v>
      </c>
      <c r="K120" s="7">
        <v>24.0</v>
      </c>
      <c r="L120" s="7">
        <v>5.0</v>
      </c>
      <c r="M120" s="7">
        <v>8.0</v>
      </c>
      <c r="N120" s="7" t="s">
        <v>256</v>
      </c>
      <c r="O120" s="7" t="s">
        <v>28</v>
      </c>
      <c r="P120" s="7" t="s">
        <v>29</v>
      </c>
      <c r="Q120" s="7" t="s">
        <v>30</v>
      </c>
      <c r="R120" s="5" t="b">
        <v>0</v>
      </c>
      <c r="S120" s="5" t="s">
        <v>31</v>
      </c>
      <c r="T120" s="7" t="s">
        <v>49</v>
      </c>
      <c r="U120" s="7" t="s">
        <v>50</v>
      </c>
      <c r="V120" s="7" t="s">
        <v>51</v>
      </c>
      <c r="W120" s="7" t="s">
        <v>35</v>
      </c>
      <c r="X120" s="9">
        <v>45848.84197170139</v>
      </c>
      <c r="Y120" s="9">
        <v>45848.84197170139</v>
      </c>
    </row>
    <row r="121" ht="15.75" customHeight="1">
      <c r="A121" s="5" t="str">
        <f>HYPERLINK("https://portal.hubmapconsortium.org/browse/sample/e6781b12194bb4fbf5c3cff824751175", "HBM965.ZLXX.544")</f>
        <v>HBM965.ZLXX.544</v>
      </c>
      <c r="C121" s="7" t="s">
        <v>246</v>
      </c>
      <c r="D121" s="7" t="s">
        <v>25</v>
      </c>
      <c r="E121" s="7" t="s">
        <v>44</v>
      </c>
      <c r="F121" s="7" t="s">
        <v>250</v>
      </c>
      <c r="G121" s="5" t="b">
        <v>0</v>
      </c>
      <c r="H121" s="5" t="str">
        <f t="shared" si="17"/>
        <v>HBM436.JQXP.677</v>
      </c>
      <c r="I121" s="7" t="s">
        <v>261</v>
      </c>
      <c r="K121" s="7">
        <v>24.0</v>
      </c>
      <c r="L121" s="7">
        <v>4.0</v>
      </c>
      <c r="M121" s="7">
        <v>5.0</v>
      </c>
      <c r="N121" s="7" t="s">
        <v>262</v>
      </c>
      <c r="O121" s="7" t="s">
        <v>28</v>
      </c>
      <c r="P121" s="7" t="s">
        <v>29</v>
      </c>
      <c r="Q121" s="7" t="s">
        <v>30</v>
      </c>
      <c r="R121" s="5" t="b">
        <v>0</v>
      </c>
      <c r="S121" s="5" t="s">
        <v>31</v>
      </c>
      <c r="T121" s="7" t="s">
        <v>32</v>
      </c>
      <c r="U121" s="7" t="s">
        <v>50</v>
      </c>
      <c r="V121" s="7" t="s">
        <v>51</v>
      </c>
      <c r="W121" s="7" t="s">
        <v>35</v>
      </c>
      <c r="X121" s="9">
        <v>45741.6229990162</v>
      </c>
      <c r="Y121" s="9">
        <v>45741.6229990162</v>
      </c>
    </row>
    <row r="122" ht="15.75" customHeight="1">
      <c r="A122" s="5" t="str">
        <f>HYPERLINK("https://portal.hubmapconsortium.org/browse/sample/24508263d68acf455b7c279e03bcedbb", "HBM296.LBCM.745")</f>
        <v>HBM296.LBCM.745</v>
      </c>
      <c r="C122" s="7" t="s">
        <v>246</v>
      </c>
      <c r="D122" s="7" t="s">
        <v>25</v>
      </c>
      <c r="E122" s="7" t="s">
        <v>44</v>
      </c>
      <c r="F122" s="7" t="s">
        <v>250</v>
      </c>
      <c r="G122" s="5" t="b">
        <v>0</v>
      </c>
      <c r="H122" s="5" t="str">
        <f t="shared" si="17"/>
        <v>HBM436.JQXP.677</v>
      </c>
      <c r="I122" s="7" t="s">
        <v>263</v>
      </c>
      <c r="K122" s="7">
        <v>24.0</v>
      </c>
      <c r="L122" s="7">
        <v>6.0</v>
      </c>
      <c r="M122" s="7">
        <v>6.0</v>
      </c>
      <c r="N122" s="7" t="s">
        <v>264</v>
      </c>
      <c r="O122" s="7" t="s">
        <v>28</v>
      </c>
      <c r="P122" s="7" t="s">
        <v>29</v>
      </c>
      <c r="Q122" s="7" t="s">
        <v>30</v>
      </c>
      <c r="R122" s="5" t="b">
        <v>0</v>
      </c>
      <c r="S122" s="5" t="s">
        <v>31</v>
      </c>
      <c r="T122" s="7" t="s">
        <v>32</v>
      </c>
      <c r="U122" s="7" t="s">
        <v>50</v>
      </c>
      <c r="V122" s="7" t="s">
        <v>51</v>
      </c>
      <c r="W122" s="7" t="s">
        <v>35</v>
      </c>
      <c r="X122" s="9">
        <v>45722.8911046875</v>
      </c>
      <c r="Y122" s="9">
        <v>45722.90410152778</v>
      </c>
    </row>
    <row r="123" ht="15.75" customHeight="1">
      <c r="A123" s="5" t="str">
        <f>HYPERLINK("https://portal.hubmapconsortium.org/browse/sample/b13245e551fa45a24b170ac11b01a264", "HBM695.BKXQ.562")</f>
        <v>HBM695.BKXQ.562</v>
      </c>
      <c r="C123" s="7" t="s">
        <v>246</v>
      </c>
      <c r="D123" s="7" t="s">
        <v>25</v>
      </c>
      <c r="E123" s="7" t="s">
        <v>44</v>
      </c>
      <c r="F123" s="7" t="s">
        <v>250</v>
      </c>
      <c r="G123" s="7" t="b">
        <v>1</v>
      </c>
      <c r="H123" s="5" t="str">
        <f t="shared" si="17"/>
        <v>HBM436.JQXP.677</v>
      </c>
      <c r="I123" s="7" t="s">
        <v>265</v>
      </c>
      <c r="N123" s="7" t="s">
        <v>266</v>
      </c>
      <c r="O123" s="7" t="s">
        <v>28</v>
      </c>
      <c r="P123" s="7" t="s">
        <v>29</v>
      </c>
      <c r="Q123" s="7" t="s">
        <v>30</v>
      </c>
      <c r="R123" s="7" t="b">
        <v>1</v>
      </c>
      <c r="S123" s="5" t="s">
        <v>118</v>
      </c>
      <c r="T123" s="7" t="s">
        <v>32</v>
      </c>
      <c r="U123" s="7" t="s">
        <v>67</v>
      </c>
      <c r="V123" s="7" t="s">
        <v>68</v>
      </c>
      <c r="W123" s="7" t="s">
        <v>69</v>
      </c>
      <c r="X123" s="9">
        <v>44704.12808844908</v>
      </c>
      <c r="Y123" s="9">
        <v>44733.14889327547</v>
      </c>
    </row>
    <row r="124" ht="15.75" customHeight="1">
      <c r="A124" s="5" t="str">
        <f>HYPERLINK("https://portal.hubmapconsortium.org/browse/sample/7ab3d70585473e79dc516dbebadd84b1", "HBM996.XSFS.465")</f>
        <v>HBM996.XSFS.465</v>
      </c>
      <c r="C124" s="7" t="s">
        <v>246</v>
      </c>
      <c r="D124" s="7" t="s">
        <v>25</v>
      </c>
      <c r="E124" s="7" t="s">
        <v>44</v>
      </c>
      <c r="F124" s="7" t="s">
        <v>250</v>
      </c>
      <c r="G124" s="7" t="b">
        <v>1</v>
      </c>
      <c r="H124" s="5" t="str">
        <f t="shared" si="17"/>
        <v>HBM436.JQXP.677</v>
      </c>
      <c r="I124" s="7" t="s">
        <v>267</v>
      </c>
      <c r="N124" s="7" t="s">
        <v>266</v>
      </c>
      <c r="O124" s="7" t="s">
        <v>28</v>
      </c>
      <c r="P124" s="7" t="s">
        <v>29</v>
      </c>
      <c r="Q124" s="7" t="s">
        <v>30</v>
      </c>
      <c r="R124" s="7" t="b">
        <v>1</v>
      </c>
      <c r="S124" s="5" t="s">
        <v>118</v>
      </c>
      <c r="T124" s="7" t="s">
        <v>32</v>
      </c>
      <c r="U124" s="7" t="s">
        <v>67</v>
      </c>
      <c r="V124" s="7" t="s">
        <v>68</v>
      </c>
      <c r="W124" s="7" t="s">
        <v>69</v>
      </c>
      <c r="X124" s="9">
        <v>44704.12808883102</v>
      </c>
      <c r="Y124" s="9">
        <v>44733.15843890046</v>
      </c>
    </row>
    <row r="125" ht="15.75" customHeight="1">
      <c r="A125" s="5" t="str">
        <f>HYPERLINK("https://portal.hubmapconsortium.org/browse/sample/6c2467c12e995a5f06596a2e142be852", "HBM469.DTGT.527")</f>
        <v>HBM469.DTGT.527</v>
      </c>
      <c r="C125" s="7" t="s">
        <v>246</v>
      </c>
      <c r="D125" s="7" t="s">
        <v>25</v>
      </c>
      <c r="E125" s="7" t="s">
        <v>44</v>
      </c>
      <c r="F125" s="7" t="s">
        <v>250</v>
      </c>
      <c r="G125" s="5" t="b">
        <v>0</v>
      </c>
      <c r="H125" s="5" t="str">
        <f t="shared" si="17"/>
        <v>HBM436.JQXP.677</v>
      </c>
      <c r="I125" s="7" t="s">
        <v>268</v>
      </c>
      <c r="K125" s="7">
        <v>17.0</v>
      </c>
      <c r="L125" s="7">
        <v>4.0</v>
      </c>
      <c r="M125" s="7">
        <v>4.0</v>
      </c>
      <c r="N125" s="7" t="s">
        <v>269</v>
      </c>
      <c r="O125" s="7" t="s">
        <v>28</v>
      </c>
      <c r="P125" s="7" t="s">
        <v>29</v>
      </c>
      <c r="Q125" s="7" t="s">
        <v>30</v>
      </c>
      <c r="R125" s="5" t="b">
        <v>0</v>
      </c>
      <c r="S125" s="5" t="s">
        <v>31</v>
      </c>
      <c r="T125" s="7" t="s">
        <v>49</v>
      </c>
      <c r="U125" s="7" t="s">
        <v>50</v>
      </c>
      <c r="V125" s="7" t="s">
        <v>51</v>
      </c>
      <c r="W125" s="7" t="s">
        <v>35</v>
      </c>
      <c r="X125" s="9">
        <v>45819.7783612037</v>
      </c>
      <c r="Y125" s="9">
        <v>45819.7783612037</v>
      </c>
    </row>
    <row r="126" ht="15.75" customHeight="1">
      <c r="A126" s="5" t="str">
        <f>HYPERLINK("https://portal.hubmapconsortium.org/browse/sample/4f787d60fcafbcf789949d7ad3edf6f5", "HBM758.JFTQ.243")</f>
        <v>HBM758.JFTQ.243</v>
      </c>
      <c r="C126" s="7" t="s">
        <v>246</v>
      </c>
      <c r="D126" s="7" t="s">
        <v>25</v>
      </c>
      <c r="E126" s="7" t="s">
        <v>44</v>
      </c>
      <c r="F126" s="7" t="s">
        <v>250</v>
      </c>
      <c r="G126" s="5" t="b">
        <v>0</v>
      </c>
      <c r="H126" s="5" t="str">
        <f t="shared" si="17"/>
        <v>HBM436.JQXP.677</v>
      </c>
      <c r="I126" s="7" t="s">
        <v>270</v>
      </c>
      <c r="K126" s="7">
        <v>17.0</v>
      </c>
      <c r="L126" s="7">
        <v>4.0</v>
      </c>
      <c r="M126" s="7">
        <v>6.0</v>
      </c>
      <c r="N126" s="7" t="s">
        <v>271</v>
      </c>
      <c r="O126" s="7" t="s">
        <v>28</v>
      </c>
      <c r="P126" s="7" t="s">
        <v>29</v>
      </c>
      <c r="Q126" s="7" t="s">
        <v>30</v>
      </c>
      <c r="R126" s="5" t="b">
        <v>0</v>
      </c>
      <c r="S126" s="5" t="s">
        <v>31</v>
      </c>
      <c r="T126" s="7" t="s">
        <v>49</v>
      </c>
      <c r="U126" s="7" t="s">
        <v>50</v>
      </c>
      <c r="V126" s="7" t="s">
        <v>51</v>
      </c>
      <c r="W126" s="7" t="s">
        <v>35</v>
      </c>
      <c r="X126" s="9">
        <v>45848.84199895833</v>
      </c>
      <c r="Y126" s="9">
        <v>45848.84199895833</v>
      </c>
    </row>
    <row r="127" ht="15.75" customHeight="1">
      <c r="A127" s="5" t="str">
        <f>HYPERLINK("https://portal.hubmapconsortium.org/browse/sample/e918d7e723b6ed9a2a5666f765db6560", "HBM466.MHPZ.936")</f>
        <v>HBM466.MHPZ.936</v>
      </c>
      <c r="C127" s="7" t="s">
        <v>246</v>
      </c>
      <c r="D127" s="7" t="s">
        <v>25</v>
      </c>
      <c r="E127" s="7" t="s">
        <v>44</v>
      </c>
      <c r="F127" s="7" t="s">
        <v>250</v>
      </c>
      <c r="G127" s="5" t="b">
        <v>0</v>
      </c>
      <c r="H127" s="5" t="str">
        <f t="shared" si="17"/>
        <v>HBM436.JQXP.677</v>
      </c>
      <c r="I127" s="7" t="s">
        <v>272</v>
      </c>
      <c r="K127" s="7">
        <v>17.0</v>
      </c>
      <c r="L127" s="7">
        <v>4.0</v>
      </c>
      <c r="M127" s="7">
        <v>6.0</v>
      </c>
      <c r="N127" s="7" t="s">
        <v>271</v>
      </c>
      <c r="O127" s="7" t="s">
        <v>28</v>
      </c>
      <c r="P127" s="7" t="s">
        <v>29</v>
      </c>
      <c r="Q127" s="7" t="s">
        <v>30</v>
      </c>
      <c r="R127" s="5" t="b">
        <v>0</v>
      </c>
      <c r="S127" s="5" t="s">
        <v>31</v>
      </c>
      <c r="T127" s="7" t="s">
        <v>49</v>
      </c>
      <c r="U127" s="7" t="s">
        <v>50</v>
      </c>
      <c r="V127" s="7" t="s">
        <v>51</v>
      </c>
      <c r="W127" s="7" t="s">
        <v>35</v>
      </c>
      <c r="X127" s="9">
        <v>45848.84205990741</v>
      </c>
      <c r="Y127" s="9">
        <v>45848.84205990741</v>
      </c>
    </row>
    <row r="128" ht="15.75" customHeight="1">
      <c r="A128" s="5" t="str">
        <f>HYPERLINK("https://portal.hubmapconsortium.org/browse/sample/6ec99a89367a84e4bb8cdcc9785c7cd8", "HBM836.CBDH.338")</f>
        <v>HBM836.CBDH.338</v>
      </c>
      <c r="C128" s="7" t="s">
        <v>246</v>
      </c>
      <c r="D128" s="7" t="s">
        <v>25</v>
      </c>
      <c r="E128" s="7" t="s">
        <v>44</v>
      </c>
      <c r="F128" s="7" t="s">
        <v>250</v>
      </c>
      <c r="G128" s="5" t="b">
        <v>0</v>
      </c>
      <c r="H128" s="5" t="str">
        <f t="shared" si="17"/>
        <v>HBM436.JQXP.677</v>
      </c>
      <c r="I128" s="7" t="s">
        <v>273</v>
      </c>
      <c r="K128" s="7">
        <v>17.0</v>
      </c>
      <c r="L128" s="7">
        <v>4.0</v>
      </c>
      <c r="M128" s="7">
        <v>4.0</v>
      </c>
      <c r="N128" s="7" t="s">
        <v>271</v>
      </c>
      <c r="O128" s="7" t="s">
        <v>28</v>
      </c>
      <c r="P128" s="7" t="s">
        <v>29</v>
      </c>
      <c r="Q128" s="7" t="s">
        <v>30</v>
      </c>
      <c r="R128" s="5" t="b">
        <v>0</v>
      </c>
      <c r="S128" s="5" t="s">
        <v>31</v>
      </c>
      <c r="T128" s="7" t="s">
        <v>49</v>
      </c>
      <c r="U128" s="7" t="s">
        <v>50</v>
      </c>
      <c r="V128" s="7" t="s">
        <v>51</v>
      </c>
      <c r="W128" s="7" t="s">
        <v>35</v>
      </c>
      <c r="X128" s="9">
        <v>45848.84214827546</v>
      </c>
      <c r="Y128" s="9">
        <v>45848.84214827546</v>
      </c>
    </row>
    <row r="129" ht="15.75" customHeight="1">
      <c r="A129" s="5" t="str">
        <f>HYPERLINK("https://portal.hubmapconsortium.org/browse/sample/7525947ef401f6d2c1f8b1708a7eb2f4", "HBM725.PZJL.434")</f>
        <v>HBM725.PZJL.434</v>
      </c>
      <c r="C129" s="7" t="s">
        <v>246</v>
      </c>
      <c r="D129" s="7" t="s">
        <v>25</v>
      </c>
      <c r="E129" s="7" t="s">
        <v>44</v>
      </c>
      <c r="F129" s="7" t="s">
        <v>250</v>
      </c>
      <c r="G129" s="7" t="b">
        <v>1</v>
      </c>
      <c r="H129" s="5" t="str">
        <f t="shared" si="17"/>
        <v>HBM436.JQXP.677</v>
      </c>
      <c r="I129" s="7" t="s">
        <v>274</v>
      </c>
      <c r="N129" s="7" t="s">
        <v>266</v>
      </c>
      <c r="O129" s="7" t="s">
        <v>28</v>
      </c>
      <c r="P129" s="7" t="s">
        <v>29</v>
      </c>
      <c r="Q129" s="7" t="s">
        <v>30</v>
      </c>
      <c r="R129" s="7" t="b">
        <v>1</v>
      </c>
      <c r="S129" s="5" t="s">
        <v>118</v>
      </c>
      <c r="T129" s="7" t="s">
        <v>32</v>
      </c>
      <c r="U129" s="7" t="s">
        <v>67</v>
      </c>
      <c r="V129" s="7" t="s">
        <v>68</v>
      </c>
      <c r="W129" s="7" t="s">
        <v>69</v>
      </c>
      <c r="X129" s="9">
        <v>44704.12808924769</v>
      </c>
      <c r="Y129" s="9">
        <v>44733.1652953125</v>
      </c>
    </row>
    <row r="130" ht="15.75" customHeight="1">
      <c r="A130" s="5" t="str">
        <f>HYPERLINK("https://portal.hubmapconsortium.org/browse/sample/2d12da4d0e33de3e1eb5a786159ca50a", "HBM848.PRTH.942")</f>
        <v>HBM848.PRTH.942</v>
      </c>
      <c r="C130" s="7" t="s">
        <v>246</v>
      </c>
      <c r="D130" s="7" t="s">
        <v>25</v>
      </c>
      <c r="E130" s="7" t="s">
        <v>44</v>
      </c>
      <c r="F130" s="7" t="s">
        <v>250</v>
      </c>
      <c r="G130" s="7" t="b">
        <v>1</v>
      </c>
      <c r="H130" s="5" t="str">
        <f t="shared" si="17"/>
        <v>HBM436.JQXP.677</v>
      </c>
      <c r="I130" s="7" t="s">
        <v>275</v>
      </c>
      <c r="N130" s="7" t="s">
        <v>266</v>
      </c>
      <c r="O130" s="7" t="s">
        <v>28</v>
      </c>
      <c r="P130" s="7" t="s">
        <v>29</v>
      </c>
      <c r="Q130" s="7" t="s">
        <v>30</v>
      </c>
      <c r="R130" s="7" t="b">
        <v>1</v>
      </c>
      <c r="S130" s="5" t="s">
        <v>118</v>
      </c>
      <c r="T130" s="7" t="s">
        <v>32</v>
      </c>
      <c r="U130" s="7" t="s">
        <v>67</v>
      </c>
      <c r="V130" s="7" t="s">
        <v>68</v>
      </c>
      <c r="W130" s="7" t="s">
        <v>69</v>
      </c>
      <c r="X130" s="9">
        <v>44704.12808949074</v>
      </c>
      <c r="Y130" s="9">
        <v>44733.1710911574</v>
      </c>
    </row>
    <row r="131" ht="15.75" customHeight="1">
      <c r="A131" s="5" t="str">
        <f>HYPERLINK("https://portal.hubmapconsortium.org/browse/sample/8348400d78c5f2f6c9bca965ab7bf35a", "HBM848.MCDW.627")</f>
        <v>HBM848.MCDW.627</v>
      </c>
      <c r="C131" s="7" t="s">
        <v>276</v>
      </c>
      <c r="D131" s="7" t="s">
        <v>37</v>
      </c>
      <c r="E131" s="7" t="s">
        <v>44</v>
      </c>
      <c r="F131" s="7" t="s">
        <v>277</v>
      </c>
      <c r="G131" s="5" t="b">
        <v>0</v>
      </c>
      <c r="H131" s="5" t="str">
        <f t="shared" ref="H131:H136" si="18">HYPERLINK("https://portal.hubmapconsortium.org/browse/sample/d8d8a01808460212f824348ccb643839", "HBM566.VHMC.724")</f>
        <v>HBM566.VHMC.724</v>
      </c>
      <c r="I131" s="7" t="s">
        <v>278</v>
      </c>
      <c r="K131" s="7">
        <v>23.0</v>
      </c>
      <c r="L131" s="7">
        <v>5.0</v>
      </c>
      <c r="M131" s="7">
        <v>6.0</v>
      </c>
      <c r="N131" s="7" t="s">
        <v>279</v>
      </c>
      <c r="O131" s="7" t="s">
        <v>28</v>
      </c>
      <c r="P131" s="7" t="s">
        <v>29</v>
      </c>
      <c r="Q131" s="7" t="s">
        <v>30</v>
      </c>
      <c r="R131" s="5" t="b">
        <v>0</v>
      </c>
      <c r="S131" s="5" t="s">
        <v>31</v>
      </c>
      <c r="T131" s="7" t="s">
        <v>32</v>
      </c>
      <c r="U131" s="7" t="s">
        <v>50</v>
      </c>
      <c r="V131" s="7" t="s">
        <v>51</v>
      </c>
      <c r="W131" s="7" t="s">
        <v>35</v>
      </c>
      <c r="X131" s="9">
        <v>45741.62301930555</v>
      </c>
      <c r="Y131" s="9">
        <v>45741.62301930555</v>
      </c>
    </row>
    <row r="132" ht="15.75" customHeight="1">
      <c r="A132" s="5" t="str">
        <f>HYPERLINK("https://portal.hubmapconsortium.org/browse/sample/9d9ba926979b14d6ef55332654f140fa", "HBM365.VQCJ.346")</f>
        <v>HBM365.VQCJ.346</v>
      </c>
      <c r="C132" s="7" t="s">
        <v>276</v>
      </c>
      <c r="D132" s="7" t="s">
        <v>37</v>
      </c>
      <c r="E132" s="7" t="s">
        <v>44</v>
      </c>
      <c r="F132" s="7" t="s">
        <v>277</v>
      </c>
      <c r="G132" s="5" t="b">
        <v>0</v>
      </c>
      <c r="H132" s="5" t="str">
        <f t="shared" si="18"/>
        <v>HBM566.VHMC.724</v>
      </c>
      <c r="I132" s="7" t="s">
        <v>280</v>
      </c>
      <c r="K132" s="7">
        <v>23.0</v>
      </c>
      <c r="L132" s="7">
        <v>5.0</v>
      </c>
      <c r="M132" s="7">
        <v>8.0</v>
      </c>
      <c r="N132" s="7" t="s">
        <v>281</v>
      </c>
      <c r="O132" s="7" t="s">
        <v>28</v>
      </c>
      <c r="P132" s="7" t="s">
        <v>29</v>
      </c>
      <c r="Q132" s="7" t="s">
        <v>30</v>
      </c>
      <c r="R132" s="5" t="b">
        <v>0</v>
      </c>
      <c r="S132" s="5" t="s">
        <v>131</v>
      </c>
      <c r="T132" s="7" t="s">
        <v>32</v>
      </c>
      <c r="U132" s="7" t="s">
        <v>33</v>
      </c>
      <c r="V132" s="7" t="s">
        <v>34</v>
      </c>
      <c r="W132" s="7" t="s">
        <v>35</v>
      </c>
      <c r="X132" s="9">
        <v>45316.63163476852</v>
      </c>
      <c r="Y132" s="9">
        <v>45316.63163476852</v>
      </c>
    </row>
    <row r="133" ht="15.75" customHeight="1">
      <c r="A133" s="5" t="str">
        <f>HYPERLINK("https://portal.hubmapconsortium.org/browse/sample/1e0932bd7d6b6aa743e28332f9727b30", "HBM434.BZFM.259")</f>
        <v>HBM434.BZFM.259</v>
      </c>
      <c r="C133" s="7" t="s">
        <v>276</v>
      </c>
      <c r="D133" s="7" t="s">
        <v>37</v>
      </c>
      <c r="E133" s="7" t="s">
        <v>44</v>
      </c>
      <c r="F133" s="7" t="s">
        <v>277</v>
      </c>
      <c r="G133" s="7" t="b">
        <v>1</v>
      </c>
      <c r="H133" s="5" t="str">
        <f t="shared" si="18"/>
        <v>HBM566.VHMC.724</v>
      </c>
      <c r="I133" s="7" t="s">
        <v>282</v>
      </c>
      <c r="N133" s="7" t="s">
        <v>283</v>
      </c>
      <c r="O133" s="7" t="s">
        <v>28</v>
      </c>
      <c r="P133" s="7" t="s">
        <v>29</v>
      </c>
      <c r="Q133" s="7" t="s">
        <v>30</v>
      </c>
      <c r="R133" s="7" t="b">
        <v>1</v>
      </c>
      <c r="S133" s="5" t="s">
        <v>118</v>
      </c>
      <c r="T133" s="7" t="s">
        <v>32</v>
      </c>
      <c r="U133" s="7" t="s">
        <v>67</v>
      </c>
      <c r="V133" s="7" t="s">
        <v>68</v>
      </c>
      <c r="W133" s="7" t="s">
        <v>69</v>
      </c>
      <c r="X133" s="9">
        <v>44704.1392152199</v>
      </c>
      <c r="Y133" s="9">
        <v>44733.18048337963</v>
      </c>
    </row>
    <row r="134" ht="15.75" customHeight="1">
      <c r="A134" s="5" t="str">
        <f>HYPERLINK("https://portal.hubmapconsortium.org/browse/sample/d70713396f2dc6660dce41530e1ba652", "HBM447.SVDJ.994")</f>
        <v>HBM447.SVDJ.994</v>
      </c>
      <c r="C134" s="7" t="s">
        <v>276</v>
      </c>
      <c r="D134" s="7" t="s">
        <v>37</v>
      </c>
      <c r="E134" s="7" t="s">
        <v>44</v>
      </c>
      <c r="F134" s="7" t="s">
        <v>277</v>
      </c>
      <c r="G134" s="7" t="b">
        <v>1</v>
      </c>
      <c r="H134" s="5" t="str">
        <f t="shared" si="18"/>
        <v>HBM566.VHMC.724</v>
      </c>
      <c r="I134" s="7" t="s">
        <v>284</v>
      </c>
      <c r="N134" s="7" t="s">
        <v>283</v>
      </c>
      <c r="O134" s="7" t="s">
        <v>28</v>
      </c>
      <c r="P134" s="7" t="s">
        <v>29</v>
      </c>
      <c r="Q134" s="7" t="s">
        <v>30</v>
      </c>
      <c r="R134" s="7" t="b">
        <v>1</v>
      </c>
      <c r="S134" s="5" t="s">
        <v>118</v>
      </c>
      <c r="T134" s="7" t="s">
        <v>32</v>
      </c>
      <c r="U134" s="7" t="s">
        <v>67</v>
      </c>
      <c r="V134" s="7" t="s">
        <v>68</v>
      </c>
      <c r="W134" s="7" t="s">
        <v>69</v>
      </c>
      <c r="X134" s="9">
        <v>44704.13921542824</v>
      </c>
      <c r="Y134" s="9">
        <v>44932.17230832176</v>
      </c>
    </row>
    <row r="135" ht="15.75" customHeight="1">
      <c r="A135" s="5" t="str">
        <f>HYPERLINK("https://portal.hubmapconsortium.org/browse/sample/5d85b297472384ebe01ccc55f9edb3a3", "HBM657.XJJJ.655")</f>
        <v>HBM657.XJJJ.655</v>
      </c>
      <c r="C135" s="7" t="s">
        <v>276</v>
      </c>
      <c r="D135" s="7" t="s">
        <v>37</v>
      </c>
      <c r="E135" s="7" t="s">
        <v>44</v>
      </c>
      <c r="F135" s="7" t="s">
        <v>277</v>
      </c>
      <c r="G135" s="7" t="b">
        <v>1</v>
      </c>
      <c r="H135" s="5" t="str">
        <f t="shared" si="18"/>
        <v>HBM566.VHMC.724</v>
      </c>
      <c r="I135" s="7" t="s">
        <v>285</v>
      </c>
      <c r="N135" s="7" t="s">
        <v>283</v>
      </c>
      <c r="O135" s="7" t="s">
        <v>28</v>
      </c>
      <c r="P135" s="7" t="s">
        <v>29</v>
      </c>
      <c r="Q135" s="7" t="s">
        <v>30</v>
      </c>
      <c r="R135" s="7" t="b">
        <v>1</v>
      </c>
      <c r="S135" s="5" t="s">
        <v>118</v>
      </c>
      <c r="T135" s="7" t="s">
        <v>32</v>
      </c>
      <c r="U135" s="7" t="s">
        <v>67</v>
      </c>
      <c r="V135" s="7" t="s">
        <v>68</v>
      </c>
      <c r="W135" s="7" t="s">
        <v>69</v>
      </c>
      <c r="X135" s="9">
        <v>44704.13921563658</v>
      </c>
      <c r="Y135" s="9">
        <v>44733.19326153935</v>
      </c>
    </row>
    <row r="136" ht="15.75" customHeight="1">
      <c r="A136" s="5" t="str">
        <f>HYPERLINK("https://portal.hubmapconsortium.org/browse/sample/9676700b170c789e5d30815f314820a2", "HBM465.JWQL.645")</f>
        <v>HBM465.JWQL.645</v>
      </c>
      <c r="C136" s="7" t="s">
        <v>276</v>
      </c>
      <c r="D136" s="7" t="s">
        <v>37</v>
      </c>
      <c r="E136" s="7" t="s">
        <v>44</v>
      </c>
      <c r="F136" s="7" t="s">
        <v>277</v>
      </c>
      <c r="G136" s="7" t="b">
        <v>1</v>
      </c>
      <c r="H136" s="5" t="str">
        <f t="shared" si="18"/>
        <v>HBM566.VHMC.724</v>
      </c>
      <c r="I136" s="7" t="s">
        <v>286</v>
      </c>
      <c r="N136" s="7" t="s">
        <v>283</v>
      </c>
      <c r="O136" s="7" t="s">
        <v>28</v>
      </c>
      <c r="P136" s="7" t="s">
        <v>29</v>
      </c>
      <c r="Q136" s="7" t="s">
        <v>30</v>
      </c>
      <c r="R136" s="7" t="b">
        <v>1</v>
      </c>
      <c r="S136" s="5" t="s">
        <v>118</v>
      </c>
      <c r="T136" s="7" t="s">
        <v>32</v>
      </c>
      <c r="U136" s="7" t="s">
        <v>67</v>
      </c>
      <c r="V136" s="7" t="s">
        <v>68</v>
      </c>
      <c r="W136" s="7" t="s">
        <v>69</v>
      </c>
      <c r="X136" s="9">
        <v>44704.13921586805</v>
      </c>
      <c r="Y136" s="9">
        <v>44733.19618807871</v>
      </c>
    </row>
    <row r="137" ht="15.75" customHeight="1">
      <c r="A137" s="11" t="str">
        <f>HYPERLINK("https://portal.hubmapconsortium.org/browse/sample/f3bf36fe68379c44b26269b8badce798", "HBM824.BLFP.695")</f>
        <v>HBM824.BLFP.695</v>
      </c>
      <c r="B137" s="13"/>
      <c r="C137" s="13" t="s">
        <v>287</v>
      </c>
      <c r="D137" s="13" t="s">
        <v>37</v>
      </c>
      <c r="E137" s="7" t="s">
        <v>44</v>
      </c>
      <c r="F137" s="13" t="s">
        <v>288</v>
      </c>
      <c r="G137" s="11" t="b">
        <v>0</v>
      </c>
      <c r="H137" s="11" t="str">
        <f t="shared" ref="H137:H145" si="19">HYPERLINK("https://portal.hubmapconsortium.org/browse/sample/74aeefbc8e5eb1ab9adba5bf2fd8be8b", "HBM652.DLTR.837")</f>
        <v>HBM652.DLTR.837</v>
      </c>
      <c r="I137" s="13" t="s">
        <v>289</v>
      </c>
      <c r="J137" s="25" t="s">
        <v>290</v>
      </c>
      <c r="K137" s="13"/>
      <c r="L137" s="13"/>
      <c r="M137" s="13"/>
      <c r="N137" s="13" t="s">
        <v>291</v>
      </c>
      <c r="O137" s="13" t="s">
        <v>28</v>
      </c>
      <c r="P137" s="13" t="s">
        <v>29</v>
      </c>
      <c r="Q137" s="13" t="s">
        <v>30</v>
      </c>
      <c r="R137" s="11" t="b">
        <v>0</v>
      </c>
      <c r="S137" s="11" t="s">
        <v>31</v>
      </c>
      <c r="T137" s="13" t="s">
        <v>49</v>
      </c>
      <c r="U137" s="13" t="s">
        <v>50</v>
      </c>
      <c r="V137" s="13" t="s">
        <v>51</v>
      </c>
      <c r="W137" s="13" t="s">
        <v>35</v>
      </c>
      <c r="X137" s="14">
        <v>45848.84224986111</v>
      </c>
      <c r="Y137" s="14">
        <v>45848.84224986111</v>
      </c>
      <c r="Z137" s="13"/>
      <c r="AA137" s="13"/>
    </row>
    <row r="138" ht="15.75" customHeight="1">
      <c r="A138" s="11" t="str">
        <f>HYPERLINK("https://portal.hubmapconsortium.org/browse/sample/12538fe0b937affb330e9da0bda255e8", "HBM724.LXMB.478")</f>
        <v>HBM724.LXMB.478</v>
      </c>
      <c r="B138" s="13"/>
      <c r="C138" s="13" t="s">
        <v>287</v>
      </c>
      <c r="D138" s="13" t="s">
        <v>37</v>
      </c>
      <c r="E138" s="7" t="s">
        <v>44</v>
      </c>
      <c r="F138" s="13" t="s">
        <v>288</v>
      </c>
      <c r="G138" s="11" t="b">
        <v>0</v>
      </c>
      <c r="H138" s="11" t="str">
        <f t="shared" si="19"/>
        <v>HBM652.DLTR.837</v>
      </c>
      <c r="I138" s="13" t="s">
        <v>292</v>
      </c>
      <c r="J138" s="13"/>
      <c r="K138" s="13"/>
      <c r="L138" s="13"/>
      <c r="M138" s="13"/>
      <c r="N138" s="13" t="s">
        <v>293</v>
      </c>
      <c r="O138" s="13" t="s">
        <v>28</v>
      </c>
      <c r="P138" s="13" t="s">
        <v>29</v>
      </c>
      <c r="Q138" s="13" t="s">
        <v>30</v>
      </c>
      <c r="R138" s="11" t="b">
        <v>0</v>
      </c>
      <c r="S138" s="11" t="s">
        <v>85</v>
      </c>
      <c r="T138" s="13" t="s">
        <v>49</v>
      </c>
      <c r="U138" s="13" t="s">
        <v>50</v>
      </c>
      <c r="V138" s="13" t="s">
        <v>51</v>
      </c>
      <c r="W138" s="13" t="s">
        <v>35</v>
      </c>
      <c r="X138" s="14">
        <v>45513.84555644676</v>
      </c>
      <c r="Y138" s="14">
        <v>45513.84555644676</v>
      </c>
      <c r="Z138" s="13"/>
      <c r="AA138" s="13"/>
    </row>
    <row r="139" ht="15.75" customHeight="1">
      <c r="A139" s="11" t="str">
        <f>HYPERLINK("https://portal.hubmapconsortium.org/browse/sample/c5081ca7115c66337a01970ac1729d7e", "HBM247.TLGL.355")</f>
        <v>HBM247.TLGL.355</v>
      </c>
      <c r="B139" s="13"/>
      <c r="C139" s="13" t="s">
        <v>287</v>
      </c>
      <c r="D139" s="13" t="s">
        <v>37</v>
      </c>
      <c r="E139" s="7" t="s">
        <v>44</v>
      </c>
      <c r="F139" s="13" t="s">
        <v>288</v>
      </c>
      <c r="G139" s="11" t="b">
        <v>0</v>
      </c>
      <c r="H139" s="11" t="str">
        <f t="shared" si="19"/>
        <v>HBM652.DLTR.837</v>
      </c>
      <c r="I139" s="13" t="s">
        <v>294</v>
      </c>
      <c r="J139" s="13"/>
      <c r="K139" s="13"/>
      <c r="L139" s="13"/>
      <c r="M139" s="13"/>
      <c r="N139" s="13" t="s">
        <v>295</v>
      </c>
      <c r="O139" s="13" t="s">
        <v>28</v>
      </c>
      <c r="P139" s="13" t="s">
        <v>29</v>
      </c>
      <c r="Q139" s="13" t="s">
        <v>30</v>
      </c>
      <c r="R139" s="11" t="b">
        <v>0</v>
      </c>
      <c r="S139" s="11" t="s">
        <v>85</v>
      </c>
      <c r="T139" s="13" t="s">
        <v>49</v>
      </c>
      <c r="U139" s="13" t="s">
        <v>50</v>
      </c>
      <c r="V139" s="13" t="s">
        <v>51</v>
      </c>
      <c r="W139" s="13" t="s">
        <v>35</v>
      </c>
      <c r="X139" s="14">
        <v>45513.84557275463</v>
      </c>
      <c r="Y139" s="14">
        <v>45513.84557275463</v>
      </c>
      <c r="Z139" s="13"/>
      <c r="AA139" s="13"/>
    </row>
    <row r="140" ht="15.75" customHeight="1">
      <c r="A140" s="11" t="str">
        <f>HYPERLINK("https://portal.hubmapconsortium.org/browse/sample/367ea6b7432f6b79c118de57492ce5d8", "HBM543.GCFT.362")</f>
        <v>HBM543.GCFT.362</v>
      </c>
      <c r="B140" s="13"/>
      <c r="C140" s="13" t="s">
        <v>287</v>
      </c>
      <c r="D140" s="13" t="s">
        <v>37</v>
      </c>
      <c r="E140" s="7" t="s">
        <v>44</v>
      </c>
      <c r="F140" s="13" t="s">
        <v>288</v>
      </c>
      <c r="G140" s="11" t="b">
        <v>0</v>
      </c>
      <c r="H140" s="11" t="str">
        <f t="shared" si="19"/>
        <v>HBM652.DLTR.837</v>
      </c>
      <c r="I140" s="13" t="s">
        <v>296</v>
      </c>
      <c r="J140" s="13"/>
      <c r="K140" s="13"/>
      <c r="L140" s="13"/>
      <c r="M140" s="13"/>
      <c r="N140" s="13" t="s">
        <v>297</v>
      </c>
      <c r="O140" s="13" t="s">
        <v>28</v>
      </c>
      <c r="P140" s="13" t="s">
        <v>29</v>
      </c>
      <c r="Q140" s="13" t="s">
        <v>30</v>
      </c>
      <c r="R140" s="11" t="b">
        <v>0</v>
      </c>
      <c r="S140" s="11" t="s">
        <v>85</v>
      </c>
      <c r="T140" s="13" t="s">
        <v>49</v>
      </c>
      <c r="U140" s="13" t="s">
        <v>50</v>
      </c>
      <c r="V140" s="13" t="s">
        <v>51</v>
      </c>
      <c r="W140" s="13" t="s">
        <v>35</v>
      </c>
      <c r="X140" s="14">
        <v>45513.84558748842</v>
      </c>
      <c r="Y140" s="14">
        <v>45513.84558748842</v>
      </c>
      <c r="Z140" s="13"/>
      <c r="AA140" s="13"/>
    </row>
    <row r="141" ht="15.75" customHeight="1">
      <c r="A141" s="11" t="str">
        <f>HYPERLINK("https://portal.hubmapconsortium.org/browse/sample/26ad781b889338e646abb34b382e4c03", "HBM337.PMNN.554")</f>
        <v>HBM337.PMNN.554</v>
      </c>
      <c r="B141" s="13"/>
      <c r="C141" s="13" t="s">
        <v>287</v>
      </c>
      <c r="D141" s="13" t="s">
        <v>37</v>
      </c>
      <c r="E141" s="7" t="s">
        <v>44</v>
      </c>
      <c r="F141" s="13" t="s">
        <v>288</v>
      </c>
      <c r="G141" s="11" t="b">
        <v>0</v>
      </c>
      <c r="H141" s="11" t="str">
        <f t="shared" si="19"/>
        <v>HBM652.DLTR.837</v>
      </c>
      <c r="I141" s="13" t="s">
        <v>298</v>
      </c>
      <c r="J141" s="13"/>
      <c r="K141" s="13"/>
      <c r="L141" s="13"/>
      <c r="M141" s="13"/>
      <c r="N141" s="13" t="s">
        <v>299</v>
      </c>
      <c r="O141" s="13" t="s">
        <v>28</v>
      </c>
      <c r="P141" s="13" t="s">
        <v>29</v>
      </c>
      <c r="Q141" s="13" t="s">
        <v>30</v>
      </c>
      <c r="R141" s="11" t="b">
        <v>0</v>
      </c>
      <c r="S141" s="11" t="s">
        <v>85</v>
      </c>
      <c r="T141" s="13" t="s">
        <v>32</v>
      </c>
      <c r="U141" s="13" t="s">
        <v>50</v>
      </c>
      <c r="V141" s="13" t="s">
        <v>51</v>
      </c>
      <c r="W141" s="13" t="s">
        <v>35</v>
      </c>
      <c r="X141" s="14">
        <v>45513.84560219907</v>
      </c>
      <c r="Y141" s="14">
        <v>45513.84560219907</v>
      </c>
      <c r="Z141" s="13"/>
      <c r="AA141" s="13"/>
    </row>
    <row r="142" ht="15.75" customHeight="1">
      <c r="A142" s="11" t="str">
        <f>HYPERLINK("https://portal.hubmapconsortium.org/browse/sample/5ce62fb96ee614514ef296dbdd946c7b", "HBM743.RBVN.888")</f>
        <v>HBM743.RBVN.888</v>
      </c>
      <c r="B142" s="13"/>
      <c r="C142" s="13" t="s">
        <v>287</v>
      </c>
      <c r="D142" s="13" t="s">
        <v>37</v>
      </c>
      <c r="E142" s="7" t="s">
        <v>44</v>
      </c>
      <c r="F142" s="13" t="s">
        <v>288</v>
      </c>
      <c r="G142" s="11" t="b">
        <v>0</v>
      </c>
      <c r="H142" s="11" t="str">
        <f t="shared" si="19"/>
        <v>HBM652.DLTR.837</v>
      </c>
      <c r="I142" s="13" t="s">
        <v>300</v>
      </c>
      <c r="J142" s="13"/>
      <c r="K142" s="13"/>
      <c r="L142" s="13"/>
      <c r="M142" s="13"/>
      <c r="N142" s="13" t="s">
        <v>293</v>
      </c>
      <c r="O142" s="13" t="s">
        <v>28</v>
      </c>
      <c r="P142" s="13" t="s">
        <v>29</v>
      </c>
      <c r="Q142" s="13" t="s">
        <v>30</v>
      </c>
      <c r="R142" s="11" t="b">
        <v>0</v>
      </c>
      <c r="S142" s="11" t="s">
        <v>85</v>
      </c>
      <c r="T142" s="13" t="s">
        <v>49</v>
      </c>
      <c r="U142" s="13" t="s">
        <v>50</v>
      </c>
      <c r="V142" s="13" t="s">
        <v>51</v>
      </c>
      <c r="W142" s="13" t="s">
        <v>35</v>
      </c>
      <c r="X142" s="14">
        <v>45513.84561751157</v>
      </c>
      <c r="Y142" s="14">
        <v>45513.84561751157</v>
      </c>
      <c r="Z142" s="13"/>
      <c r="AA142" s="13"/>
    </row>
    <row r="143" ht="15.75" customHeight="1">
      <c r="A143" s="11" t="str">
        <f>HYPERLINK("https://portal.hubmapconsortium.org/browse/sample/144c9542f3b7314d3eb8af16815f2b48", "HBM268.MRDT.978")</f>
        <v>HBM268.MRDT.978</v>
      </c>
      <c r="B143" s="13"/>
      <c r="C143" s="13" t="s">
        <v>287</v>
      </c>
      <c r="D143" s="13" t="s">
        <v>37</v>
      </c>
      <c r="E143" s="7" t="s">
        <v>44</v>
      </c>
      <c r="F143" s="13" t="s">
        <v>288</v>
      </c>
      <c r="G143" s="11" t="b">
        <v>0</v>
      </c>
      <c r="H143" s="11" t="str">
        <f t="shared" si="19"/>
        <v>HBM652.DLTR.837</v>
      </c>
      <c r="I143" s="13" t="s">
        <v>301</v>
      </c>
      <c r="J143" s="13"/>
      <c r="K143" s="13"/>
      <c r="L143" s="13"/>
      <c r="M143" s="13"/>
      <c r="N143" s="13" t="s">
        <v>295</v>
      </c>
      <c r="O143" s="13" t="s">
        <v>28</v>
      </c>
      <c r="P143" s="13" t="s">
        <v>29</v>
      </c>
      <c r="Q143" s="13" t="s">
        <v>30</v>
      </c>
      <c r="R143" s="11" t="b">
        <v>0</v>
      </c>
      <c r="S143" s="11" t="s">
        <v>85</v>
      </c>
      <c r="T143" s="13" t="s">
        <v>49</v>
      </c>
      <c r="U143" s="13" t="s">
        <v>50</v>
      </c>
      <c r="V143" s="13" t="s">
        <v>51</v>
      </c>
      <c r="W143" s="13" t="s">
        <v>35</v>
      </c>
      <c r="X143" s="14">
        <v>45513.84563216435</v>
      </c>
      <c r="Y143" s="14">
        <v>45513.84563216435</v>
      </c>
      <c r="Z143" s="13"/>
      <c r="AA143" s="13"/>
    </row>
    <row r="144" ht="15.75" customHeight="1">
      <c r="A144" s="11" t="str">
        <f>HYPERLINK("https://portal.hubmapconsortium.org/browse/sample/11ec76dbd11a0809082e4a6c8c17b0c3", "HBM598.QJCR.348")</f>
        <v>HBM598.QJCR.348</v>
      </c>
      <c r="B144" s="13"/>
      <c r="C144" s="13" t="s">
        <v>287</v>
      </c>
      <c r="D144" s="13" t="s">
        <v>37</v>
      </c>
      <c r="E144" s="7" t="s">
        <v>44</v>
      </c>
      <c r="F144" s="13" t="s">
        <v>288</v>
      </c>
      <c r="G144" s="11" t="b">
        <v>0</v>
      </c>
      <c r="H144" s="11" t="str">
        <f t="shared" si="19"/>
        <v>HBM652.DLTR.837</v>
      </c>
      <c r="I144" s="13" t="s">
        <v>302</v>
      </c>
      <c r="J144" s="13"/>
      <c r="K144" s="13"/>
      <c r="L144" s="13"/>
      <c r="M144" s="13"/>
      <c r="N144" s="13" t="s">
        <v>297</v>
      </c>
      <c r="O144" s="13" t="s">
        <v>28</v>
      </c>
      <c r="P144" s="13" t="s">
        <v>29</v>
      </c>
      <c r="Q144" s="13" t="s">
        <v>30</v>
      </c>
      <c r="R144" s="11" t="b">
        <v>0</v>
      </c>
      <c r="S144" s="11" t="s">
        <v>85</v>
      </c>
      <c r="T144" s="13" t="s">
        <v>49</v>
      </c>
      <c r="U144" s="13" t="s">
        <v>50</v>
      </c>
      <c r="V144" s="13" t="s">
        <v>51</v>
      </c>
      <c r="W144" s="13" t="s">
        <v>35</v>
      </c>
      <c r="X144" s="14">
        <v>45513.84564619213</v>
      </c>
      <c r="Y144" s="14">
        <v>45513.84564619213</v>
      </c>
      <c r="Z144" s="13"/>
      <c r="AA144" s="13"/>
    </row>
    <row r="145" ht="15.75" customHeight="1">
      <c r="A145" s="11" t="str">
        <f>HYPERLINK("https://portal.hubmapconsortium.org/browse/sample/10e8f7ed1ccc2cc2c878b364ac3048b4", "HBM236.HRDG.789")</f>
        <v>HBM236.HRDG.789</v>
      </c>
      <c r="B145" s="13"/>
      <c r="C145" s="13" t="s">
        <v>287</v>
      </c>
      <c r="D145" s="13" t="s">
        <v>37</v>
      </c>
      <c r="E145" s="7" t="s">
        <v>44</v>
      </c>
      <c r="F145" s="13" t="s">
        <v>288</v>
      </c>
      <c r="G145" s="11" t="b">
        <v>0</v>
      </c>
      <c r="H145" s="11" t="str">
        <f t="shared" si="19"/>
        <v>HBM652.DLTR.837</v>
      </c>
      <c r="I145" s="13" t="s">
        <v>303</v>
      </c>
      <c r="J145" s="13"/>
      <c r="K145" s="13"/>
      <c r="L145" s="13"/>
      <c r="M145" s="13"/>
      <c r="N145" s="13" t="s">
        <v>299</v>
      </c>
      <c r="O145" s="13" t="s">
        <v>28</v>
      </c>
      <c r="P145" s="13" t="s">
        <v>29</v>
      </c>
      <c r="Q145" s="13" t="s">
        <v>30</v>
      </c>
      <c r="R145" s="11" t="b">
        <v>0</v>
      </c>
      <c r="S145" s="11" t="s">
        <v>85</v>
      </c>
      <c r="T145" s="13" t="s">
        <v>32</v>
      </c>
      <c r="U145" s="13" t="s">
        <v>50</v>
      </c>
      <c r="V145" s="13" t="s">
        <v>51</v>
      </c>
      <c r="W145" s="13" t="s">
        <v>35</v>
      </c>
      <c r="X145" s="14">
        <v>45513.84565998842</v>
      </c>
      <c r="Y145" s="14">
        <v>45513.84565998842</v>
      </c>
      <c r="Z145" s="13"/>
      <c r="AA145" s="13"/>
    </row>
    <row r="146" ht="15.75" customHeight="1">
      <c r="A146" s="11" t="str">
        <f>HYPERLINK("https://portal.hubmapconsortium.org/browse/sample/96b89fa74e81b2c38dbe4cc93c25ad19", "HBM787.QKSJ.738")</f>
        <v>HBM787.QKSJ.738</v>
      </c>
      <c r="B146" s="13"/>
      <c r="C146" s="13" t="s">
        <v>287</v>
      </c>
      <c r="D146" s="13" t="s">
        <v>37</v>
      </c>
      <c r="E146" s="7" t="s">
        <v>44</v>
      </c>
      <c r="F146" s="13" t="s">
        <v>304</v>
      </c>
      <c r="G146" s="11" t="b">
        <v>0</v>
      </c>
      <c r="H146" s="11" t="str">
        <f t="shared" ref="H146:H209" si="20">HYPERLINK("https://portal.hubmapconsortium.org/browse/sample/6d3a61d32c777efa3bef04dc1f698e91", "HBM657.BGFJ.898")</f>
        <v>HBM657.BGFJ.898</v>
      </c>
      <c r="I146" s="13" t="s">
        <v>305</v>
      </c>
      <c r="J146" s="13"/>
      <c r="K146" s="13"/>
      <c r="L146" s="13"/>
      <c r="M146" s="13"/>
      <c r="N146" s="13" t="s">
        <v>306</v>
      </c>
      <c r="O146" s="13" t="s">
        <v>28</v>
      </c>
      <c r="P146" s="13" t="s">
        <v>29</v>
      </c>
      <c r="Q146" s="13" t="s">
        <v>30</v>
      </c>
      <c r="R146" s="11" t="b">
        <v>0</v>
      </c>
      <c r="S146" s="11" t="s">
        <v>85</v>
      </c>
      <c r="T146" s="13" t="s">
        <v>49</v>
      </c>
      <c r="U146" s="13" t="s">
        <v>50</v>
      </c>
      <c r="V146" s="13" t="s">
        <v>51</v>
      </c>
      <c r="W146" s="13" t="s">
        <v>35</v>
      </c>
      <c r="X146" s="14">
        <v>45513.84621693287</v>
      </c>
      <c r="Y146" s="14">
        <v>45513.84621693287</v>
      </c>
      <c r="Z146" s="13"/>
      <c r="AA146" s="13"/>
    </row>
    <row r="147" ht="15.75" customHeight="1">
      <c r="A147" s="11" t="str">
        <f>HYPERLINK("https://portal.hubmapconsortium.org/browse/sample/8f5af50879bc82c8cdbed97b782409d8", "HBM542.VKPQ.794")</f>
        <v>HBM542.VKPQ.794</v>
      </c>
      <c r="B147" s="13"/>
      <c r="C147" s="13" t="s">
        <v>287</v>
      </c>
      <c r="D147" s="13" t="s">
        <v>37</v>
      </c>
      <c r="E147" s="7" t="s">
        <v>44</v>
      </c>
      <c r="F147" s="13" t="s">
        <v>304</v>
      </c>
      <c r="G147" s="11" t="b">
        <v>0</v>
      </c>
      <c r="H147" s="11" t="str">
        <f t="shared" si="20"/>
        <v>HBM657.BGFJ.898</v>
      </c>
      <c r="I147" s="13" t="s">
        <v>307</v>
      </c>
      <c r="J147" s="13"/>
      <c r="K147" s="13"/>
      <c r="L147" s="13"/>
      <c r="M147" s="13"/>
      <c r="N147" s="13" t="s">
        <v>308</v>
      </c>
      <c r="O147" s="13" t="s">
        <v>28</v>
      </c>
      <c r="P147" s="13" t="s">
        <v>29</v>
      </c>
      <c r="Q147" s="13" t="s">
        <v>30</v>
      </c>
      <c r="R147" s="11" t="b">
        <v>0</v>
      </c>
      <c r="S147" s="11" t="s">
        <v>85</v>
      </c>
      <c r="T147" s="13" t="s">
        <v>49</v>
      </c>
      <c r="U147" s="13" t="s">
        <v>50</v>
      </c>
      <c r="V147" s="13" t="s">
        <v>51</v>
      </c>
      <c r="W147" s="13" t="s">
        <v>35</v>
      </c>
      <c r="X147" s="14">
        <v>45513.84623108796</v>
      </c>
      <c r="Y147" s="14">
        <v>45513.84623108796</v>
      </c>
      <c r="Z147" s="13"/>
      <c r="AA147" s="13"/>
    </row>
    <row r="148" ht="15.75" customHeight="1">
      <c r="A148" s="11" t="str">
        <f>HYPERLINK("https://portal.hubmapconsortium.org/browse/sample/582acaba214813f1dfdd8fa932b21f15", "HBM245.HKZM.836")</f>
        <v>HBM245.HKZM.836</v>
      </c>
      <c r="B148" s="13"/>
      <c r="C148" s="13" t="s">
        <v>287</v>
      </c>
      <c r="D148" s="13" t="s">
        <v>37</v>
      </c>
      <c r="E148" s="7" t="s">
        <v>44</v>
      </c>
      <c r="F148" s="13" t="s">
        <v>304</v>
      </c>
      <c r="G148" s="11" t="b">
        <v>0</v>
      </c>
      <c r="H148" s="11" t="str">
        <f t="shared" si="20"/>
        <v>HBM657.BGFJ.898</v>
      </c>
      <c r="I148" s="13" t="s">
        <v>309</v>
      </c>
      <c r="J148" s="13"/>
      <c r="K148" s="13"/>
      <c r="L148" s="13"/>
      <c r="M148" s="13"/>
      <c r="N148" s="13" t="s">
        <v>310</v>
      </c>
      <c r="O148" s="13" t="s">
        <v>28</v>
      </c>
      <c r="P148" s="13" t="s">
        <v>29</v>
      </c>
      <c r="Q148" s="13" t="s">
        <v>30</v>
      </c>
      <c r="R148" s="11" t="b">
        <v>0</v>
      </c>
      <c r="S148" s="11" t="s">
        <v>85</v>
      </c>
      <c r="T148" s="13" t="s">
        <v>49</v>
      </c>
      <c r="U148" s="13" t="s">
        <v>50</v>
      </c>
      <c r="V148" s="13" t="s">
        <v>51</v>
      </c>
      <c r="W148" s="13" t="s">
        <v>35</v>
      </c>
      <c r="X148" s="14">
        <v>45513.84624547454</v>
      </c>
      <c r="Y148" s="14">
        <v>45513.84624547454</v>
      </c>
      <c r="Z148" s="13"/>
      <c r="AA148" s="13"/>
    </row>
    <row r="149" ht="15.75" customHeight="1">
      <c r="A149" s="11" t="str">
        <f>HYPERLINK("https://portal.hubmapconsortium.org/browse/sample/88044b3c26790134b7334662308d7b77", "HBM952.VCLV.974")</f>
        <v>HBM952.VCLV.974</v>
      </c>
      <c r="B149" s="13"/>
      <c r="C149" s="13" t="s">
        <v>287</v>
      </c>
      <c r="D149" s="13" t="s">
        <v>37</v>
      </c>
      <c r="E149" s="7" t="s">
        <v>44</v>
      </c>
      <c r="F149" s="13" t="s">
        <v>304</v>
      </c>
      <c r="G149" s="11" t="b">
        <v>0</v>
      </c>
      <c r="H149" s="11" t="str">
        <f t="shared" si="20"/>
        <v>HBM657.BGFJ.898</v>
      </c>
      <c r="I149" s="13" t="s">
        <v>311</v>
      </c>
      <c r="J149" s="13"/>
      <c r="K149" s="13"/>
      <c r="L149" s="13"/>
      <c r="M149" s="13"/>
      <c r="N149" s="13" t="s">
        <v>312</v>
      </c>
      <c r="O149" s="13" t="s">
        <v>28</v>
      </c>
      <c r="P149" s="13" t="s">
        <v>29</v>
      </c>
      <c r="Q149" s="13" t="s">
        <v>30</v>
      </c>
      <c r="R149" s="11" t="b">
        <v>0</v>
      </c>
      <c r="S149" s="11" t="s">
        <v>85</v>
      </c>
      <c r="T149" s="13" t="s">
        <v>32</v>
      </c>
      <c r="U149" s="13" t="s">
        <v>50</v>
      </c>
      <c r="V149" s="13" t="s">
        <v>51</v>
      </c>
      <c r="W149" s="13" t="s">
        <v>35</v>
      </c>
      <c r="X149" s="14">
        <v>45513.84626018519</v>
      </c>
      <c r="Y149" s="14">
        <v>45513.84626018519</v>
      </c>
      <c r="Z149" s="13"/>
      <c r="AA149" s="13"/>
    </row>
    <row r="150" ht="15.75" customHeight="1">
      <c r="A150" s="11" t="str">
        <f>HYPERLINK("https://portal.hubmapconsortium.org/browse/sample/383173d49fb0fe2edeb50982d464d09b", "HBM847.HJKP.447")</f>
        <v>HBM847.HJKP.447</v>
      </c>
      <c r="B150" s="13"/>
      <c r="C150" s="13" t="s">
        <v>287</v>
      </c>
      <c r="D150" s="13" t="s">
        <v>37</v>
      </c>
      <c r="E150" s="7" t="s">
        <v>44</v>
      </c>
      <c r="F150" s="13" t="s">
        <v>304</v>
      </c>
      <c r="G150" s="11" t="b">
        <v>0</v>
      </c>
      <c r="H150" s="11" t="str">
        <f t="shared" si="20"/>
        <v>HBM657.BGFJ.898</v>
      </c>
      <c r="I150" s="13" t="s">
        <v>313</v>
      </c>
      <c r="J150" s="13"/>
      <c r="K150" s="13"/>
      <c r="L150" s="13"/>
      <c r="M150" s="13"/>
      <c r="N150" s="13" t="s">
        <v>314</v>
      </c>
      <c r="O150" s="13" t="s">
        <v>28</v>
      </c>
      <c r="P150" s="13" t="s">
        <v>29</v>
      </c>
      <c r="Q150" s="13" t="s">
        <v>30</v>
      </c>
      <c r="R150" s="11" t="b">
        <v>0</v>
      </c>
      <c r="S150" s="11" t="s">
        <v>85</v>
      </c>
      <c r="T150" s="13" t="s">
        <v>49</v>
      </c>
      <c r="U150" s="13" t="s">
        <v>50</v>
      </c>
      <c r="V150" s="13" t="s">
        <v>51</v>
      </c>
      <c r="W150" s="13" t="s">
        <v>35</v>
      </c>
      <c r="X150" s="14">
        <v>45513.84627543981</v>
      </c>
      <c r="Y150" s="14">
        <v>45513.84627543981</v>
      </c>
      <c r="Z150" s="13"/>
      <c r="AA150" s="13"/>
    </row>
    <row r="151" ht="15.75" customHeight="1">
      <c r="A151" s="11" t="str">
        <f>HYPERLINK("https://portal.hubmapconsortium.org/browse/sample/2e2f7f959256a73b08a130a771bdb9fc", "HBM365.RNDV.248")</f>
        <v>HBM365.RNDV.248</v>
      </c>
      <c r="B151" s="13"/>
      <c r="C151" s="13" t="s">
        <v>287</v>
      </c>
      <c r="D151" s="13" t="s">
        <v>37</v>
      </c>
      <c r="E151" s="7" t="s">
        <v>44</v>
      </c>
      <c r="F151" s="13" t="s">
        <v>304</v>
      </c>
      <c r="G151" s="11" t="b">
        <v>0</v>
      </c>
      <c r="H151" s="11" t="str">
        <f t="shared" si="20"/>
        <v>HBM657.BGFJ.898</v>
      </c>
      <c r="I151" s="13" t="s">
        <v>315</v>
      </c>
      <c r="J151" s="13"/>
      <c r="K151" s="13"/>
      <c r="L151" s="13"/>
      <c r="M151" s="13"/>
      <c r="N151" s="13" t="s">
        <v>316</v>
      </c>
      <c r="O151" s="13" t="s">
        <v>28</v>
      </c>
      <c r="P151" s="13" t="s">
        <v>29</v>
      </c>
      <c r="Q151" s="13" t="s">
        <v>30</v>
      </c>
      <c r="R151" s="11" t="b">
        <v>0</v>
      </c>
      <c r="S151" s="11" t="s">
        <v>85</v>
      </c>
      <c r="T151" s="13" t="s">
        <v>49</v>
      </c>
      <c r="U151" s="13" t="s">
        <v>50</v>
      </c>
      <c r="V151" s="13" t="s">
        <v>51</v>
      </c>
      <c r="W151" s="13" t="s">
        <v>35</v>
      </c>
      <c r="X151" s="14">
        <v>45513.84628982639</v>
      </c>
      <c r="Y151" s="14">
        <v>45513.84628982639</v>
      </c>
      <c r="Z151" s="13"/>
      <c r="AA151" s="13"/>
    </row>
    <row r="152" ht="15.75" customHeight="1">
      <c r="A152" s="11" t="str">
        <f>HYPERLINK("https://portal.hubmapconsortium.org/browse/sample/a8f65fa831f4a055a19b1f37eaa4a0c4", "HBM782.BRXG.984")</f>
        <v>HBM782.BRXG.984</v>
      </c>
      <c r="B152" s="13"/>
      <c r="C152" s="13" t="s">
        <v>287</v>
      </c>
      <c r="D152" s="13" t="s">
        <v>37</v>
      </c>
      <c r="E152" s="7" t="s">
        <v>44</v>
      </c>
      <c r="F152" s="13" t="s">
        <v>304</v>
      </c>
      <c r="G152" s="11" t="b">
        <v>0</v>
      </c>
      <c r="H152" s="11" t="str">
        <f t="shared" si="20"/>
        <v>HBM657.BGFJ.898</v>
      </c>
      <c r="I152" s="13" t="s">
        <v>317</v>
      </c>
      <c r="J152" s="13"/>
      <c r="K152" s="13"/>
      <c r="L152" s="13"/>
      <c r="M152" s="13"/>
      <c r="N152" s="13" t="s">
        <v>318</v>
      </c>
      <c r="O152" s="13" t="s">
        <v>28</v>
      </c>
      <c r="P152" s="13" t="s">
        <v>29</v>
      </c>
      <c r="Q152" s="13" t="s">
        <v>30</v>
      </c>
      <c r="R152" s="11" t="b">
        <v>0</v>
      </c>
      <c r="S152" s="11" t="s">
        <v>85</v>
      </c>
      <c r="T152" s="13" t="s">
        <v>49</v>
      </c>
      <c r="U152" s="13" t="s">
        <v>50</v>
      </c>
      <c r="V152" s="13" t="s">
        <v>51</v>
      </c>
      <c r="W152" s="13" t="s">
        <v>35</v>
      </c>
      <c r="X152" s="14">
        <v>45513.84630378473</v>
      </c>
      <c r="Y152" s="14">
        <v>45513.84630378473</v>
      </c>
      <c r="Z152" s="13"/>
      <c r="AA152" s="13"/>
    </row>
    <row r="153" ht="15.75" customHeight="1">
      <c r="A153" s="11" t="str">
        <f>HYPERLINK("https://portal.hubmapconsortium.org/browse/sample/a8f2a415eef022571671cb508d826371", "HBM553.WMVW.532")</f>
        <v>HBM553.WMVW.532</v>
      </c>
      <c r="B153" s="13"/>
      <c r="C153" s="13" t="s">
        <v>287</v>
      </c>
      <c r="D153" s="13" t="s">
        <v>37</v>
      </c>
      <c r="E153" s="7" t="s">
        <v>44</v>
      </c>
      <c r="F153" s="13" t="s">
        <v>304</v>
      </c>
      <c r="G153" s="11" t="b">
        <v>0</v>
      </c>
      <c r="H153" s="11" t="str">
        <f t="shared" si="20"/>
        <v>HBM657.BGFJ.898</v>
      </c>
      <c r="I153" s="13" t="s">
        <v>319</v>
      </c>
      <c r="J153" s="13"/>
      <c r="K153" s="13"/>
      <c r="L153" s="13"/>
      <c r="M153" s="13"/>
      <c r="N153" s="13" t="s">
        <v>320</v>
      </c>
      <c r="O153" s="13" t="s">
        <v>28</v>
      </c>
      <c r="P153" s="13" t="s">
        <v>29</v>
      </c>
      <c r="Q153" s="13" t="s">
        <v>30</v>
      </c>
      <c r="R153" s="11" t="b">
        <v>0</v>
      </c>
      <c r="S153" s="11" t="s">
        <v>85</v>
      </c>
      <c r="T153" s="13" t="s">
        <v>32</v>
      </c>
      <c r="U153" s="13" t="s">
        <v>50</v>
      </c>
      <c r="V153" s="13" t="s">
        <v>51</v>
      </c>
      <c r="W153" s="13" t="s">
        <v>35</v>
      </c>
      <c r="X153" s="14">
        <v>45513.84631872685</v>
      </c>
      <c r="Y153" s="14">
        <v>45513.84631872685</v>
      </c>
      <c r="Z153" s="13"/>
      <c r="AA153" s="13"/>
    </row>
    <row r="154" ht="15.75" customHeight="1">
      <c r="A154" s="11" t="str">
        <f>HYPERLINK("https://portal.hubmapconsortium.org/browse/sample/805f079c7010a2c65251d5ae8d149ace", "HBM834.TWLT.567")</f>
        <v>HBM834.TWLT.567</v>
      </c>
      <c r="B154" s="13"/>
      <c r="C154" s="13" t="s">
        <v>287</v>
      </c>
      <c r="D154" s="13" t="s">
        <v>37</v>
      </c>
      <c r="E154" s="7" t="s">
        <v>44</v>
      </c>
      <c r="F154" s="13" t="s">
        <v>304</v>
      </c>
      <c r="G154" s="11" t="b">
        <v>0</v>
      </c>
      <c r="H154" s="11" t="str">
        <f t="shared" si="20"/>
        <v>HBM657.BGFJ.898</v>
      </c>
      <c r="I154" s="13" t="s">
        <v>321</v>
      </c>
      <c r="J154" s="13"/>
      <c r="K154" s="13"/>
      <c r="L154" s="13"/>
      <c r="M154" s="13"/>
      <c r="N154" s="13" t="s">
        <v>322</v>
      </c>
      <c r="O154" s="13" t="s">
        <v>28</v>
      </c>
      <c r="P154" s="13" t="s">
        <v>29</v>
      </c>
      <c r="Q154" s="13" t="s">
        <v>30</v>
      </c>
      <c r="R154" s="11" t="b">
        <v>0</v>
      </c>
      <c r="S154" s="11" t="s">
        <v>85</v>
      </c>
      <c r="T154" s="13" t="s">
        <v>49</v>
      </c>
      <c r="U154" s="13" t="s">
        <v>50</v>
      </c>
      <c r="V154" s="13" t="s">
        <v>51</v>
      </c>
      <c r="W154" s="13" t="s">
        <v>35</v>
      </c>
      <c r="X154" s="14">
        <v>45513.84633311343</v>
      </c>
      <c r="Y154" s="14">
        <v>45513.84633311343</v>
      </c>
      <c r="Z154" s="13"/>
      <c r="AA154" s="13"/>
    </row>
    <row r="155" ht="15.75" customHeight="1">
      <c r="A155" s="11" t="str">
        <f>HYPERLINK("https://portal.hubmapconsortium.org/browse/sample/223ba3fcfc3d823b445c6c7ded3efda2", "HBM445.QFQM.779")</f>
        <v>HBM445.QFQM.779</v>
      </c>
      <c r="B155" s="13"/>
      <c r="C155" s="13" t="s">
        <v>287</v>
      </c>
      <c r="D155" s="13" t="s">
        <v>37</v>
      </c>
      <c r="E155" s="7" t="s">
        <v>44</v>
      </c>
      <c r="F155" s="13" t="s">
        <v>304</v>
      </c>
      <c r="G155" s="11" t="b">
        <v>0</v>
      </c>
      <c r="H155" s="11" t="str">
        <f t="shared" si="20"/>
        <v>HBM657.BGFJ.898</v>
      </c>
      <c r="I155" s="13" t="s">
        <v>323</v>
      </c>
      <c r="J155" s="13"/>
      <c r="K155" s="13"/>
      <c r="L155" s="13"/>
      <c r="M155" s="13"/>
      <c r="N155" s="13" t="s">
        <v>324</v>
      </c>
      <c r="O155" s="13" t="s">
        <v>28</v>
      </c>
      <c r="P155" s="13" t="s">
        <v>29</v>
      </c>
      <c r="Q155" s="13" t="s">
        <v>30</v>
      </c>
      <c r="R155" s="11" t="b">
        <v>0</v>
      </c>
      <c r="S155" s="11" t="s">
        <v>85</v>
      </c>
      <c r="T155" s="13" t="s">
        <v>49</v>
      </c>
      <c r="U155" s="13" t="s">
        <v>50</v>
      </c>
      <c r="V155" s="13" t="s">
        <v>51</v>
      </c>
      <c r="W155" s="13" t="s">
        <v>35</v>
      </c>
      <c r="X155" s="14">
        <v>45513.84634731481</v>
      </c>
      <c r="Y155" s="14">
        <v>45513.84634731481</v>
      </c>
      <c r="Z155" s="13"/>
      <c r="AA155" s="13"/>
    </row>
    <row r="156" ht="15.75" customHeight="1">
      <c r="A156" s="11" t="str">
        <f>HYPERLINK("https://portal.hubmapconsortium.org/browse/sample/92413957de301d8b74aad2e9b78fe78d", "HBM857.QWST.373")</f>
        <v>HBM857.QWST.373</v>
      </c>
      <c r="B156" s="13"/>
      <c r="C156" s="13" t="s">
        <v>287</v>
      </c>
      <c r="D156" s="13" t="s">
        <v>37</v>
      </c>
      <c r="E156" s="7" t="s">
        <v>44</v>
      </c>
      <c r="F156" s="13" t="s">
        <v>304</v>
      </c>
      <c r="G156" s="11" t="b">
        <v>0</v>
      </c>
      <c r="H156" s="11" t="str">
        <f t="shared" si="20"/>
        <v>HBM657.BGFJ.898</v>
      </c>
      <c r="I156" s="13" t="s">
        <v>325</v>
      </c>
      <c r="J156" s="13"/>
      <c r="K156" s="13"/>
      <c r="L156" s="13"/>
      <c r="M156" s="13"/>
      <c r="N156" s="13" t="s">
        <v>326</v>
      </c>
      <c r="O156" s="13" t="s">
        <v>28</v>
      </c>
      <c r="P156" s="13" t="s">
        <v>29</v>
      </c>
      <c r="Q156" s="13" t="s">
        <v>30</v>
      </c>
      <c r="R156" s="11" t="b">
        <v>0</v>
      </c>
      <c r="S156" s="11" t="s">
        <v>85</v>
      </c>
      <c r="T156" s="13" t="s">
        <v>49</v>
      </c>
      <c r="U156" s="13" t="s">
        <v>50</v>
      </c>
      <c r="V156" s="13" t="s">
        <v>51</v>
      </c>
      <c r="W156" s="13" t="s">
        <v>35</v>
      </c>
      <c r="X156" s="14">
        <v>45513.84636344908</v>
      </c>
      <c r="Y156" s="14">
        <v>45513.84636344908</v>
      </c>
      <c r="Z156" s="13"/>
      <c r="AA156" s="13"/>
    </row>
    <row r="157" ht="15.75" customHeight="1">
      <c r="A157" s="11" t="str">
        <f>HYPERLINK("https://portal.hubmapconsortium.org/browse/sample/4649e917a2bf578e129e25c30295aa6d", "HBM422.SLBD.425")</f>
        <v>HBM422.SLBD.425</v>
      </c>
      <c r="B157" s="13"/>
      <c r="C157" s="13" t="s">
        <v>287</v>
      </c>
      <c r="D157" s="13" t="s">
        <v>37</v>
      </c>
      <c r="E157" s="7" t="s">
        <v>44</v>
      </c>
      <c r="F157" s="13" t="s">
        <v>304</v>
      </c>
      <c r="G157" s="11" t="b">
        <v>0</v>
      </c>
      <c r="H157" s="11" t="str">
        <f t="shared" si="20"/>
        <v>HBM657.BGFJ.898</v>
      </c>
      <c r="I157" s="13" t="s">
        <v>327</v>
      </c>
      <c r="J157" s="13"/>
      <c r="K157" s="13"/>
      <c r="L157" s="13"/>
      <c r="M157" s="13"/>
      <c r="N157" s="13" t="s">
        <v>328</v>
      </c>
      <c r="O157" s="13" t="s">
        <v>28</v>
      </c>
      <c r="P157" s="13" t="s">
        <v>29</v>
      </c>
      <c r="Q157" s="13" t="s">
        <v>30</v>
      </c>
      <c r="R157" s="11" t="b">
        <v>0</v>
      </c>
      <c r="S157" s="11" t="s">
        <v>85</v>
      </c>
      <c r="T157" s="13" t="s">
        <v>32</v>
      </c>
      <c r="U157" s="13" t="s">
        <v>50</v>
      </c>
      <c r="V157" s="13" t="s">
        <v>51</v>
      </c>
      <c r="W157" s="13" t="s">
        <v>35</v>
      </c>
      <c r="X157" s="14">
        <v>45513.84637787037</v>
      </c>
      <c r="Y157" s="14">
        <v>45513.84637787037</v>
      </c>
      <c r="Z157" s="13"/>
      <c r="AA157" s="13"/>
    </row>
    <row r="158" ht="15.75" customHeight="1">
      <c r="A158" s="11" t="str">
        <f>HYPERLINK("https://portal.hubmapconsortium.org/browse/sample/383e0e20762acde9b21601a897d1a826", "HBM457.XVMG.386")</f>
        <v>HBM457.XVMG.386</v>
      </c>
      <c r="B158" s="13"/>
      <c r="C158" s="13" t="s">
        <v>287</v>
      </c>
      <c r="D158" s="13" t="s">
        <v>37</v>
      </c>
      <c r="E158" s="7" t="s">
        <v>44</v>
      </c>
      <c r="F158" s="13" t="s">
        <v>304</v>
      </c>
      <c r="G158" s="11" t="b">
        <v>0</v>
      </c>
      <c r="H158" s="11" t="str">
        <f t="shared" si="20"/>
        <v>HBM657.BGFJ.898</v>
      </c>
      <c r="I158" s="13" t="s">
        <v>329</v>
      </c>
      <c r="J158" s="13"/>
      <c r="K158" s="13"/>
      <c r="L158" s="13"/>
      <c r="M158" s="13"/>
      <c r="N158" s="13" t="s">
        <v>330</v>
      </c>
      <c r="O158" s="13" t="s">
        <v>28</v>
      </c>
      <c r="P158" s="13" t="s">
        <v>29</v>
      </c>
      <c r="Q158" s="13" t="s">
        <v>30</v>
      </c>
      <c r="R158" s="11" t="b">
        <v>0</v>
      </c>
      <c r="S158" s="11" t="s">
        <v>85</v>
      </c>
      <c r="T158" s="13" t="s">
        <v>49</v>
      </c>
      <c r="U158" s="13" t="s">
        <v>50</v>
      </c>
      <c r="V158" s="13" t="s">
        <v>51</v>
      </c>
      <c r="W158" s="13" t="s">
        <v>35</v>
      </c>
      <c r="X158" s="14">
        <v>45513.84639337963</v>
      </c>
      <c r="Y158" s="14">
        <v>45513.84639337963</v>
      </c>
      <c r="Z158" s="13"/>
      <c r="AA158" s="13"/>
    </row>
    <row r="159" ht="15.75" customHeight="1">
      <c r="A159" s="11" t="str">
        <f>HYPERLINK("https://portal.hubmapconsortium.org/browse/sample/d4e60712c52914725ccc046766d59daf", "HBM379.RLSZ.656")</f>
        <v>HBM379.RLSZ.656</v>
      </c>
      <c r="B159" s="13"/>
      <c r="C159" s="13" t="s">
        <v>287</v>
      </c>
      <c r="D159" s="13" t="s">
        <v>37</v>
      </c>
      <c r="E159" s="7" t="s">
        <v>44</v>
      </c>
      <c r="F159" s="13" t="s">
        <v>304</v>
      </c>
      <c r="G159" s="11" t="b">
        <v>0</v>
      </c>
      <c r="H159" s="11" t="str">
        <f t="shared" si="20"/>
        <v>HBM657.BGFJ.898</v>
      </c>
      <c r="I159" s="13" t="s">
        <v>331</v>
      </c>
      <c r="J159" s="13"/>
      <c r="K159" s="13"/>
      <c r="L159" s="13"/>
      <c r="M159" s="13"/>
      <c r="N159" s="13" t="s">
        <v>332</v>
      </c>
      <c r="O159" s="13" t="s">
        <v>28</v>
      </c>
      <c r="P159" s="13" t="s">
        <v>29</v>
      </c>
      <c r="Q159" s="13" t="s">
        <v>30</v>
      </c>
      <c r="R159" s="11" t="b">
        <v>0</v>
      </c>
      <c r="S159" s="11" t="s">
        <v>85</v>
      </c>
      <c r="T159" s="13" t="s">
        <v>49</v>
      </c>
      <c r="U159" s="13" t="s">
        <v>50</v>
      </c>
      <c r="V159" s="13" t="s">
        <v>51</v>
      </c>
      <c r="W159" s="13" t="s">
        <v>35</v>
      </c>
      <c r="X159" s="14">
        <v>45513.84640827547</v>
      </c>
      <c r="Y159" s="14">
        <v>45513.84640827547</v>
      </c>
      <c r="Z159" s="13"/>
      <c r="AA159" s="13"/>
    </row>
    <row r="160" ht="15.75" customHeight="1">
      <c r="A160" s="11" t="str">
        <f>HYPERLINK("https://portal.hubmapconsortium.org/browse/sample/c2f9c093632889711e91dea17a31d379", "HBM857.BSZM.395")</f>
        <v>HBM857.BSZM.395</v>
      </c>
      <c r="B160" s="13"/>
      <c r="C160" s="13" t="s">
        <v>287</v>
      </c>
      <c r="D160" s="13" t="s">
        <v>37</v>
      </c>
      <c r="E160" s="7" t="s">
        <v>44</v>
      </c>
      <c r="F160" s="13" t="s">
        <v>304</v>
      </c>
      <c r="G160" s="11" t="b">
        <v>0</v>
      </c>
      <c r="H160" s="11" t="str">
        <f t="shared" si="20"/>
        <v>HBM657.BGFJ.898</v>
      </c>
      <c r="I160" s="13" t="s">
        <v>333</v>
      </c>
      <c r="J160" s="13"/>
      <c r="K160" s="13"/>
      <c r="L160" s="13"/>
      <c r="M160" s="13"/>
      <c r="N160" s="13" t="s">
        <v>334</v>
      </c>
      <c r="O160" s="13" t="s">
        <v>28</v>
      </c>
      <c r="P160" s="13" t="s">
        <v>29</v>
      </c>
      <c r="Q160" s="13" t="s">
        <v>30</v>
      </c>
      <c r="R160" s="11" t="b">
        <v>0</v>
      </c>
      <c r="S160" s="11" t="s">
        <v>85</v>
      </c>
      <c r="T160" s="13" t="s">
        <v>49</v>
      </c>
      <c r="U160" s="13" t="s">
        <v>50</v>
      </c>
      <c r="V160" s="13" t="s">
        <v>51</v>
      </c>
      <c r="W160" s="13" t="s">
        <v>35</v>
      </c>
      <c r="X160" s="14">
        <v>45513.84642368055</v>
      </c>
      <c r="Y160" s="14">
        <v>45513.84642368055</v>
      </c>
      <c r="Z160" s="13"/>
      <c r="AA160" s="13"/>
    </row>
    <row r="161" ht="15.75" customHeight="1">
      <c r="A161" s="11" t="str">
        <f>HYPERLINK("https://portal.hubmapconsortium.org/browse/sample/609894646e9ad6b880409478dbed3c15", "HBM285.QRGK.979")</f>
        <v>HBM285.QRGK.979</v>
      </c>
      <c r="B161" s="13"/>
      <c r="C161" s="13" t="s">
        <v>287</v>
      </c>
      <c r="D161" s="13" t="s">
        <v>37</v>
      </c>
      <c r="E161" s="7" t="s">
        <v>44</v>
      </c>
      <c r="F161" s="13" t="s">
        <v>304</v>
      </c>
      <c r="G161" s="11" t="b">
        <v>0</v>
      </c>
      <c r="H161" s="11" t="str">
        <f t="shared" si="20"/>
        <v>HBM657.BGFJ.898</v>
      </c>
      <c r="I161" s="13" t="s">
        <v>335</v>
      </c>
      <c r="J161" s="13"/>
      <c r="K161" s="13"/>
      <c r="L161" s="13"/>
      <c r="M161" s="13"/>
      <c r="N161" s="13" t="s">
        <v>336</v>
      </c>
      <c r="O161" s="13" t="s">
        <v>28</v>
      </c>
      <c r="P161" s="13" t="s">
        <v>29</v>
      </c>
      <c r="Q161" s="13" t="s">
        <v>30</v>
      </c>
      <c r="R161" s="11" t="b">
        <v>0</v>
      </c>
      <c r="S161" s="11" t="s">
        <v>85</v>
      </c>
      <c r="T161" s="13" t="s">
        <v>32</v>
      </c>
      <c r="U161" s="13" t="s">
        <v>50</v>
      </c>
      <c r="V161" s="13" t="s">
        <v>51</v>
      </c>
      <c r="W161" s="13" t="s">
        <v>35</v>
      </c>
      <c r="X161" s="14">
        <v>45513.84643932871</v>
      </c>
      <c r="Y161" s="14">
        <v>45513.84643932871</v>
      </c>
      <c r="Z161" s="13"/>
      <c r="AA161" s="13"/>
    </row>
    <row r="162" ht="15.75" customHeight="1">
      <c r="A162" s="11" t="str">
        <f>HYPERLINK("https://portal.hubmapconsortium.org/browse/sample/d0962f978e5403dda48e254a85aa7f5e", "HBM959.CLLS.628")</f>
        <v>HBM959.CLLS.628</v>
      </c>
      <c r="B162" s="13"/>
      <c r="C162" s="13" t="s">
        <v>287</v>
      </c>
      <c r="D162" s="13" t="s">
        <v>37</v>
      </c>
      <c r="E162" s="7" t="s">
        <v>44</v>
      </c>
      <c r="F162" s="13" t="s">
        <v>304</v>
      </c>
      <c r="G162" s="11" t="b">
        <v>0</v>
      </c>
      <c r="H162" s="11" t="str">
        <f t="shared" si="20"/>
        <v>HBM657.BGFJ.898</v>
      </c>
      <c r="I162" s="13" t="s">
        <v>337</v>
      </c>
      <c r="J162" s="13"/>
      <c r="K162" s="13"/>
      <c r="L162" s="13"/>
      <c r="M162" s="13"/>
      <c r="N162" s="13" t="s">
        <v>306</v>
      </c>
      <c r="O162" s="13" t="s">
        <v>28</v>
      </c>
      <c r="P162" s="13" t="s">
        <v>29</v>
      </c>
      <c r="Q162" s="13" t="s">
        <v>30</v>
      </c>
      <c r="R162" s="11" t="b">
        <v>0</v>
      </c>
      <c r="S162" s="11" t="s">
        <v>85</v>
      </c>
      <c r="T162" s="13" t="s">
        <v>49</v>
      </c>
      <c r="U162" s="13" t="s">
        <v>50</v>
      </c>
      <c r="V162" s="13" t="s">
        <v>51</v>
      </c>
      <c r="W162" s="13" t="s">
        <v>35</v>
      </c>
      <c r="X162" s="14">
        <v>45513.84645436343</v>
      </c>
      <c r="Y162" s="14">
        <v>45513.84645436343</v>
      </c>
      <c r="Z162" s="13"/>
      <c r="AA162" s="13"/>
    </row>
    <row r="163" ht="15.75" customHeight="1">
      <c r="A163" s="11" t="str">
        <f>HYPERLINK("https://portal.hubmapconsortium.org/browse/sample/7c30ca90ac6de576b0e147ab9dc0a359", "HBM963.RBMV.922")</f>
        <v>HBM963.RBMV.922</v>
      </c>
      <c r="B163" s="13"/>
      <c r="C163" s="13" t="s">
        <v>287</v>
      </c>
      <c r="D163" s="13" t="s">
        <v>37</v>
      </c>
      <c r="E163" s="7" t="s">
        <v>44</v>
      </c>
      <c r="F163" s="13" t="s">
        <v>304</v>
      </c>
      <c r="G163" s="11" t="b">
        <v>0</v>
      </c>
      <c r="H163" s="11" t="str">
        <f t="shared" si="20"/>
        <v>HBM657.BGFJ.898</v>
      </c>
      <c r="I163" s="13" t="s">
        <v>338</v>
      </c>
      <c r="J163" s="13"/>
      <c r="K163" s="13"/>
      <c r="L163" s="13"/>
      <c r="M163" s="13"/>
      <c r="N163" s="13" t="s">
        <v>308</v>
      </c>
      <c r="O163" s="13" t="s">
        <v>28</v>
      </c>
      <c r="P163" s="13" t="s">
        <v>29</v>
      </c>
      <c r="Q163" s="13" t="s">
        <v>30</v>
      </c>
      <c r="R163" s="11" t="b">
        <v>0</v>
      </c>
      <c r="S163" s="11" t="s">
        <v>85</v>
      </c>
      <c r="T163" s="13" t="s">
        <v>49</v>
      </c>
      <c r="U163" s="13" t="s">
        <v>50</v>
      </c>
      <c r="V163" s="13" t="s">
        <v>51</v>
      </c>
      <c r="W163" s="13" t="s">
        <v>35</v>
      </c>
      <c r="X163" s="14">
        <v>45513.84647021991</v>
      </c>
      <c r="Y163" s="14">
        <v>45513.84647021991</v>
      </c>
      <c r="Z163" s="13"/>
      <c r="AA163" s="13"/>
    </row>
    <row r="164" ht="15.75" customHeight="1">
      <c r="A164" s="11" t="str">
        <f>HYPERLINK("https://portal.hubmapconsortium.org/browse/sample/711b64d4b6cd82f397d11ba2501bd818", "HBM568.SRJH.998")</f>
        <v>HBM568.SRJH.998</v>
      </c>
      <c r="B164" s="13"/>
      <c r="C164" s="13" t="s">
        <v>287</v>
      </c>
      <c r="D164" s="13" t="s">
        <v>37</v>
      </c>
      <c r="E164" s="7" t="s">
        <v>44</v>
      </c>
      <c r="F164" s="13" t="s">
        <v>304</v>
      </c>
      <c r="G164" s="11" t="b">
        <v>0</v>
      </c>
      <c r="H164" s="11" t="str">
        <f t="shared" si="20"/>
        <v>HBM657.BGFJ.898</v>
      </c>
      <c r="I164" s="13" t="s">
        <v>339</v>
      </c>
      <c r="J164" s="13"/>
      <c r="K164" s="13"/>
      <c r="L164" s="13"/>
      <c r="M164" s="13"/>
      <c r="N164" s="13" t="s">
        <v>310</v>
      </c>
      <c r="O164" s="13" t="s">
        <v>28</v>
      </c>
      <c r="P164" s="13" t="s">
        <v>29</v>
      </c>
      <c r="Q164" s="13" t="s">
        <v>30</v>
      </c>
      <c r="R164" s="11" t="b">
        <v>0</v>
      </c>
      <c r="S164" s="11" t="s">
        <v>85</v>
      </c>
      <c r="T164" s="13" t="s">
        <v>49</v>
      </c>
      <c r="U164" s="13" t="s">
        <v>50</v>
      </c>
      <c r="V164" s="13" t="s">
        <v>51</v>
      </c>
      <c r="W164" s="13" t="s">
        <v>35</v>
      </c>
      <c r="X164" s="14">
        <v>45513.84648527778</v>
      </c>
      <c r="Y164" s="14">
        <v>45513.84648527778</v>
      </c>
      <c r="Z164" s="13"/>
      <c r="AA164" s="13"/>
    </row>
    <row r="165" ht="15.75" customHeight="1">
      <c r="A165" s="11" t="str">
        <f>HYPERLINK("https://portal.hubmapconsortium.org/browse/sample/f3db3d9d35e77a5ee6c7137a1307240f", "HBM237.CVQN.634")</f>
        <v>HBM237.CVQN.634</v>
      </c>
      <c r="B165" s="13"/>
      <c r="C165" s="13" t="s">
        <v>287</v>
      </c>
      <c r="D165" s="13" t="s">
        <v>37</v>
      </c>
      <c r="E165" s="7" t="s">
        <v>44</v>
      </c>
      <c r="F165" s="13" t="s">
        <v>304</v>
      </c>
      <c r="G165" s="11" t="b">
        <v>0</v>
      </c>
      <c r="H165" s="11" t="str">
        <f t="shared" si="20"/>
        <v>HBM657.BGFJ.898</v>
      </c>
      <c r="I165" s="13" t="s">
        <v>340</v>
      </c>
      <c r="J165" s="13"/>
      <c r="K165" s="13"/>
      <c r="L165" s="13"/>
      <c r="M165" s="13"/>
      <c r="N165" s="13" t="s">
        <v>312</v>
      </c>
      <c r="O165" s="13" t="s">
        <v>28</v>
      </c>
      <c r="P165" s="13" t="s">
        <v>29</v>
      </c>
      <c r="Q165" s="13" t="s">
        <v>30</v>
      </c>
      <c r="R165" s="11" t="b">
        <v>0</v>
      </c>
      <c r="S165" s="11" t="s">
        <v>85</v>
      </c>
      <c r="T165" s="13" t="s">
        <v>32</v>
      </c>
      <c r="U165" s="13" t="s">
        <v>50</v>
      </c>
      <c r="V165" s="13" t="s">
        <v>51</v>
      </c>
      <c r="W165" s="13" t="s">
        <v>35</v>
      </c>
      <c r="X165" s="14">
        <v>45513.8465008912</v>
      </c>
      <c r="Y165" s="14">
        <v>45513.8465008912</v>
      </c>
      <c r="Z165" s="13"/>
      <c r="AA165" s="13"/>
    </row>
    <row r="166" ht="15.75" customHeight="1">
      <c r="A166" s="11" t="str">
        <f>HYPERLINK("https://portal.hubmapconsortium.org/browse/sample/92651fccdd142c1eba18032b0a492db8", "HBM335.XNDG.798")</f>
        <v>HBM335.XNDG.798</v>
      </c>
      <c r="B166" s="13"/>
      <c r="C166" s="13" t="s">
        <v>287</v>
      </c>
      <c r="D166" s="13" t="s">
        <v>37</v>
      </c>
      <c r="E166" s="7" t="s">
        <v>44</v>
      </c>
      <c r="F166" s="13" t="s">
        <v>304</v>
      </c>
      <c r="G166" s="11" t="b">
        <v>0</v>
      </c>
      <c r="H166" s="11" t="str">
        <f t="shared" si="20"/>
        <v>HBM657.BGFJ.898</v>
      </c>
      <c r="I166" s="13" t="s">
        <v>341</v>
      </c>
      <c r="J166" s="13"/>
      <c r="K166" s="13"/>
      <c r="L166" s="13"/>
      <c r="M166" s="13"/>
      <c r="N166" s="13" t="s">
        <v>314</v>
      </c>
      <c r="O166" s="13" t="s">
        <v>28</v>
      </c>
      <c r="P166" s="13" t="s">
        <v>29</v>
      </c>
      <c r="Q166" s="13" t="s">
        <v>30</v>
      </c>
      <c r="R166" s="11" t="b">
        <v>0</v>
      </c>
      <c r="S166" s="11" t="s">
        <v>85</v>
      </c>
      <c r="T166" s="13" t="s">
        <v>49</v>
      </c>
      <c r="U166" s="13" t="s">
        <v>50</v>
      </c>
      <c r="V166" s="13" t="s">
        <v>51</v>
      </c>
      <c r="W166" s="13" t="s">
        <v>35</v>
      </c>
      <c r="X166" s="14">
        <v>45513.84651517361</v>
      </c>
      <c r="Y166" s="14">
        <v>45513.84651517361</v>
      </c>
      <c r="Z166" s="13"/>
      <c r="AA166" s="13"/>
    </row>
    <row r="167" ht="15.75" customHeight="1">
      <c r="A167" s="11" t="str">
        <f>HYPERLINK("https://portal.hubmapconsortium.org/browse/sample/2732ee7d023853957e71946d95e8ca34", "HBM522.SLTF.265")</f>
        <v>HBM522.SLTF.265</v>
      </c>
      <c r="B167" s="13"/>
      <c r="C167" s="13" t="s">
        <v>287</v>
      </c>
      <c r="D167" s="13" t="s">
        <v>37</v>
      </c>
      <c r="E167" s="7" t="s">
        <v>44</v>
      </c>
      <c r="F167" s="13" t="s">
        <v>304</v>
      </c>
      <c r="G167" s="11" t="b">
        <v>0</v>
      </c>
      <c r="H167" s="11" t="str">
        <f t="shared" si="20"/>
        <v>HBM657.BGFJ.898</v>
      </c>
      <c r="I167" s="13" t="s">
        <v>342</v>
      </c>
      <c r="J167" s="13"/>
      <c r="K167" s="13"/>
      <c r="L167" s="13"/>
      <c r="M167" s="13"/>
      <c r="N167" s="13" t="s">
        <v>316</v>
      </c>
      <c r="O167" s="13" t="s">
        <v>28</v>
      </c>
      <c r="P167" s="13" t="s">
        <v>29</v>
      </c>
      <c r="Q167" s="13" t="s">
        <v>30</v>
      </c>
      <c r="R167" s="11" t="b">
        <v>0</v>
      </c>
      <c r="S167" s="11" t="s">
        <v>85</v>
      </c>
      <c r="T167" s="13" t="s">
        <v>49</v>
      </c>
      <c r="U167" s="13" t="s">
        <v>50</v>
      </c>
      <c r="V167" s="13" t="s">
        <v>51</v>
      </c>
      <c r="W167" s="13" t="s">
        <v>35</v>
      </c>
      <c r="X167" s="14">
        <v>45513.84653033565</v>
      </c>
      <c r="Y167" s="14">
        <v>45513.84653033565</v>
      </c>
      <c r="Z167" s="13"/>
      <c r="AA167" s="13"/>
    </row>
    <row r="168" ht="15.75" customHeight="1">
      <c r="A168" s="11" t="str">
        <f>HYPERLINK("https://portal.hubmapconsortium.org/browse/sample/3e1916c4ccc34296a0fb04c65b37f474", "HBM527.JMGR.583")</f>
        <v>HBM527.JMGR.583</v>
      </c>
      <c r="B168" s="13"/>
      <c r="C168" s="13" t="s">
        <v>287</v>
      </c>
      <c r="D168" s="13" t="s">
        <v>37</v>
      </c>
      <c r="E168" s="7" t="s">
        <v>44</v>
      </c>
      <c r="F168" s="13" t="s">
        <v>304</v>
      </c>
      <c r="G168" s="11" t="b">
        <v>0</v>
      </c>
      <c r="H168" s="11" t="str">
        <f t="shared" si="20"/>
        <v>HBM657.BGFJ.898</v>
      </c>
      <c r="I168" s="13" t="s">
        <v>343</v>
      </c>
      <c r="J168" s="13"/>
      <c r="K168" s="13"/>
      <c r="L168" s="13"/>
      <c r="M168" s="13"/>
      <c r="N168" s="13" t="s">
        <v>318</v>
      </c>
      <c r="O168" s="13" t="s">
        <v>28</v>
      </c>
      <c r="P168" s="13" t="s">
        <v>29</v>
      </c>
      <c r="Q168" s="13" t="s">
        <v>30</v>
      </c>
      <c r="R168" s="11" t="b">
        <v>0</v>
      </c>
      <c r="S168" s="11" t="s">
        <v>85</v>
      </c>
      <c r="T168" s="13" t="s">
        <v>49</v>
      </c>
      <c r="U168" s="13" t="s">
        <v>50</v>
      </c>
      <c r="V168" s="13" t="s">
        <v>51</v>
      </c>
      <c r="W168" s="13" t="s">
        <v>35</v>
      </c>
      <c r="X168" s="14">
        <v>45513.84654574074</v>
      </c>
      <c r="Y168" s="14">
        <v>45513.84654574074</v>
      </c>
      <c r="Z168" s="13"/>
      <c r="AA168" s="13"/>
    </row>
    <row r="169" ht="15.75" customHeight="1">
      <c r="A169" s="11" t="str">
        <f>HYPERLINK("https://portal.hubmapconsortium.org/browse/sample/1393a82c63d1c8b20f08e098bc978c2f", "HBM462.XMMT.445")</f>
        <v>HBM462.XMMT.445</v>
      </c>
      <c r="B169" s="13"/>
      <c r="C169" s="13" t="s">
        <v>287</v>
      </c>
      <c r="D169" s="13" t="s">
        <v>37</v>
      </c>
      <c r="E169" s="7" t="s">
        <v>44</v>
      </c>
      <c r="F169" s="13" t="s">
        <v>304</v>
      </c>
      <c r="G169" s="11" t="b">
        <v>0</v>
      </c>
      <c r="H169" s="11" t="str">
        <f t="shared" si="20"/>
        <v>HBM657.BGFJ.898</v>
      </c>
      <c r="I169" s="13" t="s">
        <v>344</v>
      </c>
      <c r="J169" s="13"/>
      <c r="K169" s="13"/>
      <c r="L169" s="13"/>
      <c r="M169" s="13"/>
      <c r="N169" s="13" t="s">
        <v>320</v>
      </c>
      <c r="O169" s="13" t="s">
        <v>28</v>
      </c>
      <c r="P169" s="13" t="s">
        <v>29</v>
      </c>
      <c r="Q169" s="13" t="s">
        <v>30</v>
      </c>
      <c r="R169" s="11" t="b">
        <v>0</v>
      </c>
      <c r="S169" s="11" t="s">
        <v>85</v>
      </c>
      <c r="T169" s="13" t="s">
        <v>32</v>
      </c>
      <c r="U169" s="13" t="s">
        <v>50</v>
      </c>
      <c r="V169" s="13" t="s">
        <v>51</v>
      </c>
      <c r="W169" s="13" t="s">
        <v>35</v>
      </c>
      <c r="X169" s="14">
        <v>45513.84656078704</v>
      </c>
      <c r="Y169" s="14">
        <v>45513.84656078704</v>
      </c>
      <c r="Z169" s="13"/>
      <c r="AA169" s="13"/>
    </row>
    <row r="170" ht="15.75" customHeight="1">
      <c r="A170" s="11" t="str">
        <f>HYPERLINK("https://portal.hubmapconsortium.org/browse/sample/588c99cee9327d5044befce725d810f1", "HBM684.TJHV.775")</f>
        <v>HBM684.TJHV.775</v>
      </c>
      <c r="B170" s="13"/>
      <c r="C170" s="13" t="s">
        <v>287</v>
      </c>
      <c r="D170" s="13" t="s">
        <v>37</v>
      </c>
      <c r="E170" s="7" t="s">
        <v>44</v>
      </c>
      <c r="F170" s="13" t="s">
        <v>304</v>
      </c>
      <c r="G170" s="11" t="b">
        <v>0</v>
      </c>
      <c r="H170" s="11" t="str">
        <f t="shared" si="20"/>
        <v>HBM657.BGFJ.898</v>
      </c>
      <c r="I170" s="13" t="s">
        <v>345</v>
      </c>
      <c r="J170" s="13"/>
      <c r="K170" s="13"/>
      <c r="L170" s="13"/>
      <c r="M170" s="13"/>
      <c r="N170" s="13" t="s">
        <v>322</v>
      </c>
      <c r="O170" s="13" t="s">
        <v>28</v>
      </c>
      <c r="P170" s="13" t="s">
        <v>29</v>
      </c>
      <c r="Q170" s="13" t="s">
        <v>30</v>
      </c>
      <c r="R170" s="11" t="b">
        <v>0</v>
      </c>
      <c r="S170" s="11" t="s">
        <v>85</v>
      </c>
      <c r="T170" s="13" t="s">
        <v>49</v>
      </c>
      <c r="U170" s="13" t="s">
        <v>50</v>
      </c>
      <c r="V170" s="13" t="s">
        <v>51</v>
      </c>
      <c r="W170" s="13" t="s">
        <v>35</v>
      </c>
      <c r="X170" s="14">
        <v>45513.84657609954</v>
      </c>
      <c r="Y170" s="14">
        <v>45513.84657609954</v>
      </c>
      <c r="Z170" s="13"/>
      <c r="AA170" s="13"/>
    </row>
    <row r="171" ht="15.75" customHeight="1">
      <c r="A171" s="11" t="str">
        <f>HYPERLINK("https://portal.hubmapconsortium.org/browse/sample/78b92f5d0d69df25a4384cf7abf2439c", "HBM826.SVSN.356")</f>
        <v>HBM826.SVSN.356</v>
      </c>
      <c r="B171" s="13"/>
      <c r="C171" s="13" t="s">
        <v>287</v>
      </c>
      <c r="D171" s="13" t="s">
        <v>37</v>
      </c>
      <c r="E171" s="7" t="s">
        <v>44</v>
      </c>
      <c r="F171" s="13" t="s">
        <v>304</v>
      </c>
      <c r="G171" s="11" t="b">
        <v>0</v>
      </c>
      <c r="H171" s="11" t="str">
        <f t="shared" si="20"/>
        <v>HBM657.BGFJ.898</v>
      </c>
      <c r="I171" s="13" t="s">
        <v>346</v>
      </c>
      <c r="J171" s="13"/>
      <c r="K171" s="13"/>
      <c r="L171" s="13"/>
      <c r="M171" s="13"/>
      <c r="N171" s="13" t="s">
        <v>324</v>
      </c>
      <c r="O171" s="13" t="s">
        <v>28</v>
      </c>
      <c r="P171" s="13" t="s">
        <v>29</v>
      </c>
      <c r="Q171" s="13" t="s">
        <v>30</v>
      </c>
      <c r="R171" s="11" t="b">
        <v>0</v>
      </c>
      <c r="S171" s="11" t="s">
        <v>85</v>
      </c>
      <c r="T171" s="13" t="s">
        <v>49</v>
      </c>
      <c r="U171" s="13" t="s">
        <v>50</v>
      </c>
      <c r="V171" s="13" t="s">
        <v>51</v>
      </c>
      <c r="W171" s="13" t="s">
        <v>35</v>
      </c>
      <c r="X171" s="14">
        <v>45513.84659083333</v>
      </c>
      <c r="Y171" s="14">
        <v>45513.84659083333</v>
      </c>
      <c r="Z171" s="13"/>
      <c r="AA171" s="13"/>
    </row>
    <row r="172" ht="15.75" customHeight="1">
      <c r="A172" s="11" t="str">
        <f>HYPERLINK("https://portal.hubmapconsortium.org/browse/sample/c0ca6c5e72c124051bd710aa513d7528", "HBM967.TTZH.632")</f>
        <v>HBM967.TTZH.632</v>
      </c>
      <c r="B172" s="13"/>
      <c r="C172" s="13" t="s">
        <v>287</v>
      </c>
      <c r="D172" s="13" t="s">
        <v>37</v>
      </c>
      <c r="E172" s="7" t="s">
        <v>44</v>
      </c>
      <c r="F172" s="13" t="s">
        <v>304</v>
      </c>
      <c r="G172" s="11" t="b">
        <v>0</v>
      </c>
      <c r="H172" s="11" t="str">
        <f t="shared" si="20"/>
        <v>HBM657.BGFJ.898</v>
      </c>
      <c r="I172" s="13" t="s">
        <v>347</v>
      </c>
      <c r="J172" s="13"/>
      <c r="K172" s="13"/>
      <c r="L172" s="13"/>
      <c r="M172" s="13"/>
      <c r="N172" s="13" t="s">
        <v>326</v>
      </c>
      <c r="O172" s="13" t="s">
        <v>28</v>
      </c>
      <c r="P172" s="13" t="s">
        <v>29</v>
      </c>
      <c r="Q172" s="13" t="s">
        <v>30</v>
      </c>
      <c r="R172" s="11" t="b">
        <v>0</v>
      </c>
      <c r="S172" s="11" t="s">
        <v>85</v>
      </c>
      <c r="T172" s="13" t="s">
        <v>49</v>
      </c>
      <c r="U172" s="13" t="s">
        <v>50</v>
      </c>
      <c r="V172" s="13" t="s">
        <v>51</v>
      </c>
      <c r="W172" s="13" t="s">
        <v>35</v>
      </c>
      <c r="X172" s="14">
        <v>45513.846606875</v>
      </c>
      <c r="Y172" s="14">
        <v>45513.846606875</v>
      </c>
      <c r="Z172" s="13"/>
      <c r="AA172" s="13"/>
    </row>
    <row r="173" ht="15.75" customHeight="1">
      <c r="A173" s="11" t="str">
        <f>HYPERLINK("https://portal.hubmapconsortium.org/browse/sample/0f2dbd0a98c70585fe618b4303ddf84b", "HBM286.FHCL.374")</f>
        <v>HBM286.FHCL.374</v>
      </c>
      <c r="B173" s="13"/>
      <c r="C173" s="13" t="s">
        <v>287</v>
      </c>
      <c r="D173" s="13" t="s">
        <v>37</v>
      </c>
      <c r="E173" s="7" t="s">
        <v>44</v>
      </c>
      <c r="F173" s="13" t="s">
        <v>304</v>
      </c>
      <c r="G173" s="11" t="b">
        <v>0</v>
      </c>
      <c r="H173" s="11" t="str">
        <f t="shared" si="20"/>
        <v>HBM657.BGFJ.898</v>
      </c>
      <c r="I173" s="13" t="s">
        <v>348</v>
      </c>
      <c r="J173" s="13"/>
      <c r="K173" s="13"/>
      <c r="L173" s="13"/>
      <c r="M173" s="13"/>
      <c r="N173" s="13" t="s">
        <v>328</v>
      </c>
      <c r="O173" s="13" t="s">
        <v>28</v>
      </c>
      <c r="P173" s="13" t="s">
        <v>29</v>
      </c>
      <c r="Q173" s="13" t="s">
        <v>30</v>
      </c>
      <c r="R173" s="11" t="b">
        <v>0</v>
      </c>
      <c r="S173" s="11" t="s">
        <v>85</v>
      </c>
      <c r="T173" s="13" t="s">
        <v>32</v>
      </c>
      <c r="U173" s="13" t="s">
        <v>50</v>
      </c>
      <c r="V173" s="13" t="s">
        <v>51</v>
      </c>
      <c r="W173" s="13" t="s">
        <v>35</v>
      </c>
      <c r="X173" s="14">
        <v>45513.84662229167</v>
      </c>
      <c r="Y173" s="14">
        <v>45513.84662229167</v>
      </c>
      <c r="Z173" s="13"/>
      <c r="AA173" s="13"/>
    </row>
    <row r="174" ht="15.75" customHeight="1">
      <c r="A174" s="11" t="str">
        <f>HYPERLINK("https://portal.hubmapconsortium.org/browse/sample/a7ade5a562d02adfb1f98f1bc8ea6acb", "HBM739.GCMQ.896")</f>
        <v>HBM739.GCMQ.896</v>
      </c>
      <c r="B174" s="13"/>
      <c r="C174" s="13" t="s">
        <v>287</v>
      </c>
      <c r="D174" s="13" t="s">
        <v>37</v>
      </c>
      <c r="E174" s="7" t="s">
        <v>44</v>
      </c>
      <c r="F174" s="13" t="s">
        <v>304</v>
      </c>
      <c r="G174" s="11" t="b">
        <v>0</v>
      </c>
      <c r="H174" s="11" t="str">
        <f t="shared" si="20"/>
        <v>HBM657.BGFJ.898</v>
      </c>
      <c r="I174" s="13" t="s">
        <v>349</v>
      </c>
      <c r="J174" s="13"/>
      <c r="K174" s="13"/>
      <c r="L174" s="13"/>
      <c r="M174" s="13"/>
      <c r="N174" s="13" t="s">
        <v>330</v>
      </c>
      <c r="O174" s="13" t="s">
        <v>28</v>
      </c>
      <c r="P174" s="13" t="s">
        <v>29</v>
      </c>
      <c r="Q174" s="13" t="s">
        <v>30</v>
      </c>
      <c r="R174" s="11" t="b">
        <v>0</v>
      </c>
      <c r="S174" s="11" t="s">
        <v>85</v>
      </c>
      <c r="T174" s="13" t="s">
        <v>49</v>
      </c>
      <c r="U174" s="13" t="s">
        <v>50</v>
      </c>
      <c r="V174" s="13" t="s">
        <v>51</v>
      </c>
      <c r="W174" s="13" t="s">
        <v>35</v>
      </c>
      <c r="X174" s="14">
        <v>45513.84663752315</v>
      </c>
      <c r="Y174" s="14">
        <v>45513.84663752315</v>
      </c>
      <c r="Z174" s="13"/>
      <c r="AA174" s="13"/>
    </row>
    <row r="175" ht="15.75" customHeight="1">
      <c r="A175" s="11" t="str">
        <f>HYPERLINK("https://portal.hubmapconsortium.org/browse/sample/09ad36e7bf68ebeb97d6d4dcd4c69152", "HBM565.GPDR.678")</f>
        <v>HBM565.GPDR.678</v>
      </c>
      <c r="B175" s="13"/>
      <c r="C175" s="13" t="s">
        <v>287</v>
      </c>
      <c r="D175" s="13" t="s">
        <v>37</v>
      </c>
      <c r="E175" s="7" t="s">
        <v>44</v>
      </c>
      <c r="F175" s="13" t="s">
        <v>304</v>
      </c>
      <c r="G175" s="11" t="b">
        <v>0</v>
      </c>
      <c r="H175" s="11" t="str">
        <f t="shared" si="20"/>
        <v>HBM657.BGFJ.898</v>
      </c>
      <c r="I175" s="13" t="s">
        <v>350</v>
      </c>
      <c r="J175" s="13"/>
      <c r="K175" s="13"/>
      <c r="L175" s="13"/>
      <c r="M175" s="13"/>
      <c r="N175" s="13" t="s">
        <v>332</v>
      </c>
      <c r="O175" s="13" t="s">
        <v>28</v>
      </c>
      <c r="P175" s="13" t="s">
        <v>29</v>
      </c>
      <c r="Q175" s="13" t="s">
        <v>30</v>
      </c>
      <c r="R175" s="11" t="b">
        <v>0</v>
      </c>
      <c r="S175" s="11" t="s">
        <v>85</v>
      </c>
      <c r="T175" s="13" t="s">
        <v>49</v>
      </c>
      <c r="U175" s="13" t="s">
        <v>50</v>
      </c>
      <c r="V175" s="13" t="s">
        <v>51</v>
      </c>
      <c r="W175" s="13" t="s">
        <v>35</v>
      </c>
      <c r="X175" s="14">
        <v>45513.84665328704</v>
      </c>
      <c r="Y175" s="14">
        <v>45513.84665328704</v>
      </c>
      <c r="Z175" s="13"/>
      <c r="AA175" s="13"/>
    </row>
    <row r="176" ht="15.75" customHeight="1">
      <c r="A176" s="11" t="str">
        <f>HYPERLINK("https://portal.hubmapconsortium.org/browse/sample/6b173a888f822d0dad6e2ef2b86f4bf5", "HBM582.LKSJ.442")</f>
        <v>HBM582.LKSJ.442</v>
      </c>
      <c r="B176" s="13"/>
      <c r="C176" s="13" t="s">
        <v>287</v>
      </c>
      <c r="D176" s="13" t="s">
        <v>37</v>
      </c>
      <c r="E176" s="7" t="s">
        <v>44</v>
      </c>
      <c r="F176" s="13" t="s">
        <v>304</v>
      </c>
      <c r="G176" s="11" t="b">
        <v>0</v>
      </c>
      <c r="H176" s="11" t="str">
        <f t="shared" si="20"/>
        <v>HBM657.BGFJ.898</v>
      </c>
      <c r="I176" s="13" t="s">
        <v>351</v>
      </c>
      <c r="J176" s="13"/>
      <c r="K176" s="13"/>
      <c r="L176" s="13"/>
      <c r="M176" s="13"/>
      <c r="N176" s="13" t="s">
        <v>334</v>
      </c>
      <c r="O176" s="13" t="s">
        <v>28</v>
      </c>
      <c r="P176" s="13" t="s">
        <v>29</v>
      </c>
      <c r="Q176" s="13" t="s">
        <v>30</v>
      </c>
      <c r="R176" s="11" t="b">
        <v>0</v>
      </c>
      <c r="S176" s="11" t="s">
        <v>85</v>
      </c>
      <c r="T176" s="13" t="s">
        <v>49</v>
      </c>
      <c r="U176" s="13" t="s">
        <v>50</v>
      </c>
      <c r="V176" s="13" t="s">
        <v>51</v>
      </c>
      <c r="W176" s="13" t="s">
        <v>35</v>
      </c>
      <c r="X176" s="14">
        <v>45513.84666930555</v>
      </c>
      <c r="Y176" s="14">
        <v>45513.84666930555</v>
      </c>
      <c r="Z176" s="13"/>
      <c r="AA176" s="13"/>
    </row>
    <row r="177" ht="15.75" customHeight="1">
      <c r="A177" s="11" t="str">
        <f>HYPERLINK("https://portal.hubmapconsortium.org/browse/sample/da17b40ba97eabfacb4d4a88fbd63d7e", "HBM297.JWDV.999")</f>
        <v>HBM297.JWDV.999</v>
      </c>
      <c r="B177" s="13"/>
      <c r="C177" s="13" t="s">
        <v>287</v>
      </c>
      <c r="D177" s="13" t="s">
        <v>37</v>
      </c>
      <c r="E177" s="7" t="s">
        <v>44</v>
      </c>
      <c r="F177" s="13" t="s">
        <v>304</v>
      </c>
      <c r="G177" s="11" t="b">
        <v>0</v>
      </c>
      <c r="H177" s="11" t="str">
        <f t="shared" si="20"/>
        <v>HBM657.BGFJ.898</v>
      </c>
      <c r="I177" s="13" t="s">
        <v>352</v>
      </c>
      <c r="J177" s="13"/>
      <c r="K177" s="13"/>
      <c r="L177" s="13"/>
      <c r="M177" s="13"/>
      <c r="N177" s="13" t="s">
        <v>336</v>
      </c>
      <c r="O177" s="13" t="s">
        <v>28</v>
      </c>
      <c r="P177" s="13" t="s">
        <v>29</v>
      </c>
      <c r="Q177" s="13" t="s">
        <v>30</v>
      </c>
      <c r="R177" s="11" t="b">
        <v>0</v>
      </c>
      <c r="S177" s="11" t="s">
        <v>85</v>
      </c>
      <c r="T177" s="13" t="s">
        <v>32</v>
      </c>
      <c r="U177" s="13" t="s">
        <v>50</v>
      </c>
      <c r="V177" s="13" t="s">
        <v>51</v>
      </c>
      <c r="W177" s="13" t="s">
        <v>35</v>
      </c>
      <c r="X177" s="14">
        <v>45513.84668409723</v>
      </c>
      <c r="Y177" s="14">
        <v>45513.84668409723</v>
      </c>
      <c r="Z177" s="13"/>
      <c r="AA177" s="13"/>
    </row>
    <row r="178" ht="15.75" customHeight="1">
      <c r="A178" s="11" t="str">
        <f>HYPERLINK("https://portal.hubmapconsortium.org/browse/sample/c4153a2e139c3087ed83be0ca612d93a", "HBM569.NFDB.445")</f>
        <v>HBM569.NFDB.445</v>
      </c>
      <c r="B178" s="13"/>
      <c r="C178" s="13" t="s">
        <v>287</v>
      </c>
      <c r="D178" s="13" t="s">
        <v>37</v>
      </c>
      <c r="E178" s="7" t="s">
        <v>44</v>
      </c>
      <c r="F178" s="13" t="s">
        <v>304</v>
      </c>
      <c r="G178" s="11" t="b">
        <v>0</v>
      </c>
      <c r="H178" s="11" t="str">
        <f t="shared" si="20"/>
        <v>HBM657.BGFJ.898</v>
      </c>
      <c r="I178" s="13" t="s">
        <v>353</v>
      </c>
      <c r="J178" s="13"/>
      <c r="K178" s="13"/>
      <c r="L178" s="13"/>
      <c r="M178" s="13"/>
      <c r="N178" s="13" t="s">
        <v>354</v>
      </c>
      <c r="O178" s="13" t="s">
        <v>28</v>
      </c>
      <c r="P178" s="13" t="s">
        <v>29</v>
      </c>
      <c r="Q178" s="13" t="s">
        <v>30</v>
      </c>
      <c r="R178" s="11" t="b">
        <v>0</v>
      </c>
      <c r="S178" s="11" t="s">
        <v>85</v>
      </c>
      <c r="T178" s="13" t="s">
        <v>49</v>
      </c>
      <c r="U178" s="13" t="s">
        <v>50</v>
      </c>
      <c r="V178" s="13" t="s">
        <v>51</v>
      </c>
      <c r="W178" s="13" t="s">
        <v>35</v>
      </c>
      <c r="X178" s="14">
        <v>45513.84761221065</v>
      </c>
      <c r="Y178" s="14">
        <v>45513.84761221065</v>
      </c>
      <c r="Z178" s="13"/>
      <c r="AA178" s="13"/>
    </row>
    <row r="179" ht="15.75" customHeight="1">
      <c r="A179" s="11" t="str">
        <f>HYPERLINK("https://portal.hubmapconsortium.org/browse/sample/2aea6e69f20750048b1df497b0a888c2", "HBM455.JSLS.453")</f>
        <v>HBM455.JSLS.453</v>
      </c>
      <c r="B179" s="13"/>
      <c r="C179" s="13" t="s">
        <v>287</v>
      </c>
      <c r="D179" s="13" t="s">
        <v>37</v>
      </c>
      <c r="E179" s="7" t="s">
        <v>44</v>
      </c>
      <c r="F179" s="13" t="s">
        <v>304</v>
      </c>
      <c r="G179" s="11" t="b">
        <v>0</v>
      </c>
      <c r="H179" s="11" t="str">
        <f t="shared" si="20"/>
        <v>HBM657.BGFJ.898</v>
      </c>
      <c r="I179" s="13" t="s">
        <v>355</v>
      </c>
      <c r="J179" s="13"/>
      <c r="K179" s="13"/>
      <c r="L179" s="13"/>
      <c r="M179" s="13"/>
      <c r="N179" s="13" t="s">
        <v>356</v>
      </c>
      <c r="O179" s="13" t="s">
        <v>28</v>
      </c>
      <c r="P179" s="13" t="s">
        <v>29</v>
      </c>
      <c r="Q179" s="13" t="s">
        <v>30</v>
      </c>
      <c r="R179" s="11" t="b">
        <v>0</v>
      </c>
      <c r="S179" s="11" t="s">
        <v>85</v>
      </c>
      <c r="T179" s="13" t="s">
        <v>49</v>
      </c>
      <c r="U179" s="13" t="s">
        <v>50</v>
      </c>
      <c r="V179" s="13" t="s">
        <v>51</v>
      </c>
      <c r="W179" s="13" t="s">
        <v>35</v>
      </c>
      <c r="X179" s="14">
        <v>45513.84762608796</v>
      </c>
      <c r="Y179" s="14">
        <v>45513.84762608796</v>
      </c>
      <c r="Z179" s="13"/>
      <c r="AA179" s="13"/>
    </row>
    <row r="180" ht="15.75" customHeight="1">
      <c r="A180" s="11" t="str">
        <f>HYPERLINK("https://portal.hubmapconsortium.org/browse/sample/928c801b4418e926671357abd3706559", "HBM525.TRFD.676")</f>
        <v>HBM525.TRFD.676</v>
      </c>
      <c r="B180" s="13"/>
      <c r="C180" s="13" t="s">
        <v>287</v>
      </c>
      <c r="D180" s="13" t="s">
        <v>37</v>
      </c>
      <c r="E180" s="7" t="s">
        <v>44</v>
      </c>
      <c r="F180" s="13" t="s">
        <v>304</v>
      </c>
      <c r="G180" s="11" t="b">
        <v>0</v>
      </c>
      <c r="H180" s="11" t="str">
        <f t="shared" si="20"/>
        <v>HBM657.BGFJ.898</v>
      </c>
      <c r="I180" s="13" t="s">
        <v>357</v>
      </c>
      <c r="J180" s="13"/>
      <c r="K180" s="13"/>
      <c r="L180" s="13"/>
      <c r="M180" s="13"/>
      <c r="N180" s="13" t="s">
        <v>358</v>
      </c>
      <c r="O180" s="13" t="s">
        <v>28</v>
      </c>
      <c r="P180" s="13" t="s">
        <v>29</v>
      </c>
      <c r="Q180" s="13" t="s">
        <v>30</v>
      </c>
      <c r="R180" s="11" t="b">
        <v>0</v>
      </c>
      <c r="S180" s="11" t="s">
        <v>85</v>
      </c>
      <c r="T180" s="13" t="s">
        <v>49</v>
      </c>
      <c r="U180" s="13" t="s">
        <v>50</v>
      </c>
      <c r="V180" s="13" t="s">
        <v>51</v>
      </c>
      <c r="W180" s="13" t="s">
        <v>35</v>
      </c>
      <c r="X180" s="14">
        <v>45513.84764061343</v>
      </c>
      <c r="Y180" s="14">
        <v>45513.84764061343</v>
      </c>
      <c r="Z180" s="13"/>
      <c r="AA180" s="13"/>
    </row>
    <row r="181" ht="15.75" customHeight="1">
      <c r="A181" s="11" t="str">
        <f>HYPERLINK("https://portal.hubmapconsortium.org/browse/sample/7ee7a34b152809d7277ce4e09ea9645d", "HBM569.DVLL.486")</f>
        <v>HBM569.DVLL.486</v>
      </c>
      <c r="B181" s="13"/>
      <c r="C181" s="13" t="s">
        <v>287</v>
      </c>
      <c r="D181" s="13" t="s">
        <v>37</v>
      </c>
      <c r="E181" s="7" t="s">
        <v>44</v>
      </c>
      <c r="F181" s="13" t="s">
        <v>304</v>
      </c>
      <c r="G181" s="11" t="b">
        <v>0</v>
      </c>
      <c r="H181" s="11" t="str">
        <f t="shared" si="20"/>
        <v>HBM657.BGFJ.898</v>
      </c>
      <c r="I181" s="13" t="s">
        <v>359</v>
      </c>
      <c r="J181" s="13"/>
      <c r="K181" s="13"/>
      <c r="L181" s="13"/>
      <c r="M181" s="13"/>
      <c r="N181" s="13" t="s">
        <v>360</v>
      </c>
      <c r="O181" s="13" t="s">
        <v>28</v>
      </c>
      <c r="P181" s="13" t="s">
        <v>29</v>
      </c>
      <c r="Q181" s="13" t="s">
        <v>30</v>
      </c>
      <c r="R181" s="11" t="b">
        <v>0</v>
      </c>
      <c r="S181" s="11" t="s">
        <v>85</v>
      </c>
      <c r="T181" s="13" t="s">
        <v>32</v>
      </c>
      <c r="U181" s="13" t="s">
        <v>50</v>
      </c>
      <c r="V181" s="13" t="s">
        <v>51</v>
      </c>
      <c r="W181" s="13" t="s">
        <v>35</v>
      </c>
      <c r="X181" s="14">
        <v>45513.84765504629</v>
      </c>
      <c r="Y181" s="14">
        <v>45513.84765504629</v>
      </c>
      <c r="Z181" s="13"/>
      <c r="AA181" s="13"/>
    </row>
    <row r="182" ht="15.75" customHeight="1">
      <c r="A182" s="11" t="str">
        <f>HYPERLINK("https://portal.hubmapconsortium.org/browse/sample/ba9f56dad442d25e83c3f92ee2a17590", "HBM265.BBSQ.477")</f>
        <v>HBM265.BBSQ.477</v>
      </c>
      <c r="B182" s="13"/>
      <c r="C182" s="13" t="s">
        <v>287</v>
      </c>
      <c r="D182" s="13" t="s">
        <v>37</v>
      </c>
      <c r="E182" s="7" t="s">
        <v>44</v>
      </c>
      <c r="F182" s="13" t="s">
        <v>304</v>
      </c>
      <c r="G182" s="11" t="b">
        <v>0</v>
      </c>
      <c r="H182" s="11" t="str">
        <f t="shared" si="20"/>
        <v>HBM657.BGFJ.898</v>
      </c>
      <c r="I182" s="13" t="s">
        <v>361</v>
      </c>
      <c r="J182" s="13"/>
      <c r="K182" s="13"/>
      <c r="L182" s="13"/>
      <c r="M182" s="13"/>
      <c r="N182" s="13" t="s">
        <v>362</v>
      </c>
      <c r="O182" s="13" t="s">
        <v>28</v>
      </c>
      <c r="P182" s="13" t="s">
        <v>29</v>
      </c>
      <c r="Q182" s="13" t="s">
        <v>30</v>
      </c>
      <c r="R182" s="11" t="b">
        <v>0</v>
      </c>
      <c r="S182" s="11" t="s">
        <v>85</v>
      </c>
      <c r="T182" s="13" t="s">
        <v>49</v>
      </c>
      <c r="U182" s="13" t="s">
        <v>50</v>
      </c>
      <c r="V182" s="13" t="s">
        <v>51</v>
      </c>
      <c r="W182" s="13" t="s">
        <v>35</v>
      </c>
      <c r="X182" s="14">
        <v>45513.84767148148</v>
      </c>
      <c r="Y182" s="14">
        <v>45513.84767148148</v>
      </c>
      <c r="Z182" s="13"/>
      <c r="AA182" s="13"/>
    </row>
    <row r="183" ht="15.75" customHeight="1">
      <c r="A183" s="11" t="str">
        <f>HYPERLINK("https://portal.hubmapconsortium.org/browse/sample/4481b46b67556fc71141202955b9ef71", "HBM736.QNHQ.585")</f>
        <v>HBM736.QNHQ.585</v>
      </c>
      <c r="B183" s="13"/>
      <c r="C183" s="13" t="s">
        <v>287</v>
      </c>
      <c r="D183" s="13" t="s">
        <v>37</v>
      </c>
      <c r="E183" s="7" t="s">
        <v>44</v>
      </c>
      <c r="F183" s="13" t="s">
        <v>304</v>
      </c>
      <c r="G183" s="11" t="b">
        <v>0</v>
      </c>
      <c r="H183" s="11" t="str">
        <f t="shared" si="20"/>
        <v>HBM657.BGFJ.898</v>
      </c>
      <c r="I183" s="13" t="s">
        <v>363</v>
      </c>
      <c r="J183" s="13"/>
      <c r="K183" s="13"/>
      <c r="L183" s="13"/>
      <c r="M183" s="13"/>
      <c r="N183" s="13" t="s">
        <v>364</v>
      </c>
      <c r="O183" s="13" t="s">
        <v>28</v>
      </c>
      <c r="P183" s="13" t="s">
        <v>29</v>
      </c>
      <c r="Q183" s="13" t="s">
        <v>30</v>
      </c>
      <c r="R183" s="11" t="b">
        <v>0</v>
      </c>
      <c r="S183" s="11" t="s">
        <v>85</v>
      </c>
      <c r="T183" s="13" t="s">
        <v>49</v>
      </c>
      <c r="U183" s="13" t="s">
        <v>50</v>
      </c>
      <c r="V183" s="13" t="s">
        <v>51</v>
      </c>
      <c r="W183" s="13" t="s">
        <v>35</v>
      </c>
      <c r="X183" s="14">
        <v>45513.8476858912</v>
      </c>
      <c r="Y183" s="14">
        <v>45513.8476858912</v>
      </c>
      <c r="Z183" s="13"/>
      <c r="AA183" s="13"/>
    </row>
    <row r="184" ht="15.75" customHeight="1">
      <c r="A184" s="11" t="str">
        <f>HYPERLINK("https://portal.hubmapconsortium.org/browse/sample/9f8991d33e943826ab1aab77d933b2f0", "HBM476.NNJN.932")</f>
        <v>HBM476.NNJN.932</v>
      </c>
      <c r="B184" s="13"/>
      <c r="C184" s="13" t="s">
        <v>287</v>
      </c>
      <c r="D184" s="13" t="s">
        <v>37</v>
      </c>
      <c r="E184" s="7" t="s">
        <v>44</v>
      </c>
      <c r="F184" s="13" t="s">
        <v>304</v>
      </c>
      <c r="G184" s="11" t="b">
        <v>0</v>
      </c>
      <c r="H184" s="11" t="str">
        <f t="shared" si="20"/>
        <v>HBM657.BGFJ.898</v>
      </c>
      <c r="I184" s="13" t="s">
        <v>365</v>
      </c>
      <c r="J184" s="13"/>
      <c r="K184" s="13"/>
      <c r="L184" s="13"/>
      <c r="M184" s="13"/>
      <c r="N184" s="13" t="s">
        <v>366</v>
      </c>
      <c r="O184" s="13" t="s">
        <v>28</v>
      </c>
      <c r="P184" s="13" t="s">
        <v>29</v>
      </c>
      <c r="Q184" s="13" t="s">
        <v>30</v>
      </c>
      <c r="R184" s="11" t="b">
        <v>0</v>
      </c>
      <c r="S184" s="11" t="s">
        <v>85</v>
      </c>
      <c r="T184" s="13" t="s">
        <v>49</v>
      </c>
      <c r="U184" s="13" t="s">
        <v>50</v>
      </c>
      <c r="V184" s="13" t="s">
        <v>51</v>
      </c>
      <c r="W184" s="13" t="s">
        <v>35</v>
      </c>
      <c r="X184" s="14">
        <v>45513.84770158565</v>
      </c>
      <c r="Y184" s="14">
        <v>45513.84770158565</v>
      </c>
      <c r="Z184" s="13"/>
      <c r="AA184" s="13"/>
    </row>
    <row r="185" ht="15.75" customHeight="1">
      <c r="A185" s="11" t="str">
        <f>HYPERLINK("https://portal.hubmapconsortium.org/browse/sample/edcfbcb4ea97b6140b335d2a321537a6", "HBM226.XZPR.569")</f>
        <v>HBM226.XZPR.569</v>
      </c>
      <c r="B185" s="13"/>
      <c r="C185" s="13" t="s">
        <v>287</v>
      </c>
      <c r="D185" s="13" t="s">
        <v>37</v>
      </c>
      <c r="E185" s="7" t="s">
        <v>44</v>
      </c>
      <c r="F185" s="13" t="s">
        <v>304</v>
      </c>
      <c r="G185" s="11" t="b">
        <v>0</v>
      </c>
      <c r="H185" s="11" t="str">
        <f t="shared" si="20"/>
        <v>HBM657.BGFJ.898</v>
      </c>
      <c r="I185" s="13" t="s">
        <v>367</v>
      </c>
      <c r="J185" s="13"/>
      <c r="K185" s="13"/>
      <c r="L185" s="13"/>
      <c r="M185" s="13"/>
      <c r="N185" s="13" t="s">
        <v>368</v>
      </c>
      <c r="O185" s="13" t="s">
        <v>28</v>
      </c>
      <c r="P185" s="13" t="s">
        <v>29</v>
      </c>
      <c r="Q185" s="13" t="s">
        <v>30</v>
      </c>
      <c r="R185" s="11" t="b">
        <v>0</v>
      </c>
      <c r="S185" s="11" t="s">
        <v>85</v>
      </c>
      <c r="T185" s="13" t="s">
        <v>32</v>
      </c>
      <c r="U185" s="13" t="s">
        <v>50</v>
      </c>
      <c r="V185" s="13" t="s">
        <v>51</v>
      </c>
      <c r="W185" s="13" t="s">
        <v>35</v>
      </c>
      <c r="X185" s="14">
        <v>45513.84771598379</v>
      </c>
      <c r="Y185" s="14">
        <v>45513.84771598379</v>
      </c>
      <c r="Z185" s="13"/>
      <c r="AA185" s="13"/>
    </row>
    <row r="186" ht="15.75" customHeight="1">
      <c r="A186" s="11" t="str">
        <f>HYPERLINK("https://portal.hubmapconsortium.org/browse/sample/06da6c4888878d686fa48f3b2f45cb4a", "HBM842.XHRW.267")</f>
        <v>HBM842.XHRW.267</v>
      </c>
      <c r="B186" s="13"/>
      <c r="C186" s="13" t="s">
        <v>287</v>
      </c>
      <c r="D186" s="13" t="s">
        <v>37</v>
      </c>
      <c r="E186" s="7" t="s">
        <v>44</v>
      </c>
      <c r="F186" s="13" t="s">
        <v>304</v>
      </c>
      <c r="G186" s="11" t="b">
        <v>0</v>
      </c>
      <c r="H186" s="11" t="str">
        <f t="shared" si="20"/>
        <v>HBM657.BGFJ.898</v>
      </c>
      <c r="I186" s="13" t="s">
        <v>369</v>
      </c>
      <c r="J186" s="13"/>
      <c r="K186" s="13"/>
      <c r="L186" s="13"/>
      <c r="M186" s="13"/>
      <c r="N186" s="13" t="s">
        <v>370</v>
      </c>
      <c r="O186" s="13" t="s">
        <v>28</v>
      </c>
      <c r="P186" s="13" t="s">
        <v>29</v>
      </c>
      <c r="Q186" s="13" t="s">
        <v>30</v>
      </c>
      <c r="R186" s="11" t="b">
        <v>0</v>
      </c>
      <c r="S186" s="11" t="s">
        <v>85</v>
      </c>
      <c r="T186" s="13" t="s">
        <v>49</v>
      </c>
      <c r="U186" s="13" t="s">
        <v>50</v>
      </c>
      <c r="V186" s="13" t="s">
        <v>51</v>
      </c>
      <c r="W186" s="13" t="s">
        <v>35</v>
      </c>
      <c r="X186" s="14">
        <v>45513.8477310301</v>
      </c>
      <c r="Y186" s="14">
        <v>45513.8477310301</v>
      </c>
      <c r="Z186" s="13"/>
      <c r="AA186" s="13"/>
    </row>
    <row r="187" ht="15.75" customHeight="1">
      <c r="A187" s="11" t="str">
        <f>HYPERLINK("https://portal.hubmapconsortium.org/browse/sample/d93a761163eb62ae6a806cf7068c6a19", "HBM859.MVRW.435")</f>
        <v>HBM859.MVRW.435</v>
      </c>
      <c r="B187" s="13"/>
      <c r="C187" s="13" t="s">
        <v>287</v>
      </c>
      <c r="D187" s="13" t="s">
        <v>37</v>
      </c>
      <c r="E187" s="7" t="s">
        <v>44</v>
      </c>
      <c r="F187" s="13" t="s">
        <v>304</v>
      </c>
      <c r="G187" s="11" t="b">
        <v>0</v>
      </c>
      <c r="H187" s="11" t="str">
        <f t="shared" si="20"/>
        <v>HBM657.BGFJ.898</v>
      </c>
      <c r="I187" s="13" t="s">
        <v>371</v>
      </c>
      <c r="J187" s="13"/>
      <c r="K187" s="13"/>
      <c r="L187" s="13"/>
      <c r="M187" s="13"/>
      <c r="N187" s="13" t="s">
        <v>372</v>
      </c>
      <c r="O187" s="13" t="s">
        <v>28</v>
      </c>
      <c r="P187" s="13" t="s">
        <v>29</v>
      </c>
      <c r="Q187" s="13" t="s">
        <v>30</v>
      </c>
      <c r="R187" s="11" t="b">
        <v>0</v>
      </c>
      <c r="S187" s="11" t="s">
        <v>85</v>
      </c>
      <c r="T187" s="13" t="s">
        <v>49</v>
      </c>
      <c r="U187" s="13" t="s">
        <v>50</v>
      </c>
      <c r="V187" s="13" t="s">
        <v>51</v>
      </c>
      <c r="W187" s="13" t="s">
        <v>35</v>
      </c>
      <c r="X187" s="14">
        <v>45513.8477478125</v>
      </c>
      <c r="Y187" s="14">
        <v>45513.8477478125</v>
      </c>
      <c r="Z187" s="13"/>
      <c r="AA187" s="13"/>
    </row>
    <row r="188" ht="15.75" customHeight="1">
      <c r="A188" s="11" t="str">
        <f>HYPERLINK("https://portal.hubmapconsortium.org/browse/sample/fe88fa0b25ee296056a12b4c0e98590a", "HBM338.LGHZ.423")</f>
        <v>HBM338.LGHZ.423</v>
      </c>
      <c r="B188" s="13"/>
      <c r="C188" s="13" t="s">
        <v>287</v>
      </c>
      <c r="D188" s="13" t="s">
        <v>37</v>
      </c>
      <c r="E188" s="7" t="s">
        <v>44</v>
      </c>
      <c r="F188" s="13" t="s">
        <v>304</v>
      </c>
      <c r="G188" s="11" t="b">
        <v>0</v>
      </c>
      <c r="H188" s="11" t="str">
        <f t="shared" si="20"/>
        <v>HBM657.BGFJ.898</v>
      </c>
      <c r="I188" s="13" t="s">
        <v>373</v>
      </c>
      <c r="J188" s="13"/>
      <c r="K188" s="13"/>
      <c r="L188" s="13"/>
      <c r="M188" s="13"/>
      <c r="N188" s="13" t="s">
        <v>374</v>
      </c>
      <c r="O188" s="13" t="s">
        <v>28</v>
      </c>
      <c r="P188" s="13" t="s">
        <v>29</v>
      </c>
      <c r="Q188" s="13" t="s">
        <v>30</v>
      </c>
      <c r="R188" s="11" t="b">
        <v>0</v>
      </c>
      <c r="S188" s="11" t="s">
        <v>85</v>
      </c>
      <c r="T188" s="13" t="s">
        <v>49</v>
      </c>
      <c r="U188" s="13" t="s">
        <v>50</v>
      </c>
      <c r="V188" s="13" t="s">
        <v>51</v>
      </c>
      <c r="W188" s="13" t="s">
        <v>35</v>
      </c>
      <c r="X188" s="14">
        <v>45513.84776292824</v>
      </c>
      <c r="Y188" s="14">
        <v>45513.84776292824</v>
      </c>
      <c r="Z188" s="13"/>
      <c r="AA188" s="13"/>
    </row>
    <row r="189" ht="15.75" customHeight="1">
      <c r="A189" s="11" t="str">
        <f>HYPERLINK("https://portal.hubmapconsortium.org/browse/sample/b9b6c94a938a4f41d9b0b4ac37741bde", "HBM895.XSDG.472")</f>
        <v>HBM895.XSDG.472</v>
      </c>
      <c r="B189" s="13"/>
      <c r="C189" s="13" t="s">
        <v>287</v>
      </c>
      <c r="D189" s="13" t="s">
        <v>37</v>
      </c>
      <c r="E189" s="7" t="s">
        <v>44</v>
      </c>
      <c r="F189" s="13" t="s">
        <v>304</v>
      </c>
      <c r="G189" s="11" t="b">
        <v>0</v>
      </c>
      <c r="H189" s="11" t="str">
        <f t="shared" si="20"/>
        <v>HBM657.BGFJ.898</v>
      </c>
      <c r="I189" s="13" t="s">
        <v>375</v>
      </c>
      <c r="J189" s="13"/>
      <c r="K189" s="13"/>
      <c r="L189" s="13"/>
      <c r="M189" s="13"/>
      <c r="N189" s="13" t="s">
        <v>376</v>
      </c>
      <c r="O189" s="13" t="s">
        <v>28</v>
      </c>
      <c r="P189" s="13" t="s">
        <v>29</v>
      </c>
      <c r="Q189" s="13" t="s">
        <v>30</v>
      </c>
      <c r="R189" s="11" t="b">
        <v>0</v>
      </c>
      <c r="S189" s="11" t="s">
        <v>85</v>
      </c>
      <c r="T189" s="13" t="s">
        <v>32</v>
      </c>
      <c r="U189" s="13" t="s">
        <v>50</v>
      </c>
      <c r="V189" s="13" t="s">
        <v>51</v>
      </c>
      <c r="W189" s="13" t="s">
        <v>35</v>
      </c>
      <c r="X189" s="14">
        <v>45513.84777728009</v>
      </c>
      <c r="Y189" s="14">
        <v>45513.84777728009</v>
      </c>
      <c r="Z189" s="13"/>
      <c r="AA189" s="13"/>
    </row>
    <row r="190" ht="15.75" customHeight="1">
      <c r="A190" s="11" t="str">
        <f>HYPERLINK("https://portal.hubmapconsortium.org/browse/sample/ef2b9c88dca28caa3d35febbe08e9610", "HBM385.PXPB.969")</f>
        <v>HBM385.PXPB.969</v>
      </c>
      <c r="B190" s="13"/>
      <c r="C190" s="13" t="s">
        <v>287</v>
      </c>
      <c r="D190" s="13" t="s">
        <v>37</v>
      </c>
      <c r="E190" s="7" t="s">
        <v>44</v>
      </c>
      <c r="F190" s="13" t="s">
        <v>304</v>
      </c>
      <c r="G190" s="11" t="b">
        <v>0</v>
      </c>
      <c r="H190" s="11" t="str">
        <f t="shared" si="20"/>
        <v>HBM657.BGFJ.898</v>
      </c>
      <c r="I190" s="13" t="s">
        <v>377</v>
      </c>
      <c r="J190" s="13"/>
      <c r="K190" s="13"/>
      <c r="L190" s="13"/>
      <c r="M190" s="13"/>
      <c r="N190" s="13" t="s">
        <v>378</v>
      </c>
      <c r="O190" s="13" t="s">
        <v>28</v>
      </c>
      <c r="P190" s="13" t="s">
        <v>29</v>
      </c>
      <c r="Q190" s="13" t="s">
        <v>30</v>
      </c>
      <c r="R190" s="11" t="b">
        <v>0</v>
      </c>
      <c r="S190" s="11" t="s">
        <v>85</v>
      </c>
      <c r="T190" s="13" t="s">
        <v>49</v>
      </c>
      <c r="U190" s="13" t="s">
        <v>50</v>
      </c>
      <c r="V190" s="13" t="s">
        <v>51</v>
      </c>
      <c r="W190" s="13" t="s">
        <v>35</v>
      </c>
      <c r="X190" s="14">
        <v>45513.84779233796</v>
      </c>
      <c r="Y190" s="14">
        <v>45513.84779233796</v>
      </c>
      <c r="Z190" s="13"/>
      <c r="AA190" s="13"/>
    </row>
    <row r="191" ht="15.75" customHeight="1">
      <c r="A191" s="11" t="str">
        <f>HYPERLINK("https://portal.hubmapconsortium.org/browse/sample/eb0a90764e8cd05d37560500b2ee2a65", "HBM538.NPZP.958")</f>
        <v>HBM538.NPZP.958</v>
      </c>
      <c r="B191" s="13"/>
      <c r="C191" s="13" t="s">
        <v>287</v>
      </c>
      <c r="D191" s="13" t="s">
        <v>37</v>
      </c>
      <c r="E191" s="7" t="s">
        <v>44</v>
      </c>
      <c r="F191" s="13" t="s">
        <v>304</v>
      </c>
      <c r="G191" s="11" t="b">
        <v>0</v>
      </c>
      <c r="H191" s="11" t="str">
        <f t="shared" si="20"/>
        <v>HBM657.BGFJ.898</v>
      </c>
      <c r="I191" s="13" t="s">
        <v>379</v>
      </c>
      <c r="J191" s="13"/>
      <c r="K191" s="13"/>
      <c r="L191" s="13"/>
      <c r="M191" s="13"/>
      <c r="N191" s="13" t="s">
        <v>380</v>
      </c>
      <c r="O191" s="13" t="s">
        <v>28</v>
      </c>
      <c r="P191" s="13" t="s">
        <v>29</v>
      </c>
      <c r="Q191" s="13" t="s">
        <v>30</v>
      </c>
      <c r="R191" s="11" t="b">
        <v>0</v>
      </c>
      <c r="S191" s="11" t="s">
        <v>85</v>
      </c>
      <c r="T191" s="13" t="s">
        <v>49</v>
      </c>
      <c r="U191" s="13" t="s">
        <v>50</v>
      </c>
      <c r="V191" s="13" t="s">
        <v>51</v>
      </c>
      <c r="W191" s="13" t="s">
        <v>35</v>
      </c>
      <c r="X191" s="14">
        <v>45513.84780738426</v>
      </c>
      <c r="Y191" s="14">
        <v>45513.84780738426</v>
      </c>
      <c r="Z191" s="13"/>
      <c r="AA191" s="13"/>
    </row>
    <row r="192" ht="15.75" customHeight="1">
      <c r="A192" s="11" t="str">
        <f>HYPERLINK("https://portal.hubmapconsortium.org/browse/sample/afcccdcb72396482f908db5b97d24c8f", "HBM656.MDNG.884")</f>
        <v>HBM656.MDNG.884</v>
      </c>
      <c r="B192" s="13"/>
      <c r="C192" s="13" t="s">
        <v>287</v>
      </c>
      <c r="D192" s="13" t="s">
        <v>37</v>
      </c>
      <c r="E192" s="7" t="s">
        <v>44</v>
      </c>
      <c r="F192" s="13" t="s">
        <v>304</v>
      </c>
      <c r="G192" s="11" t="b">
        <v>0</v>
      </c>
      <c r="H192" s="11" t="str">
        <f t="shared" si="20"/>
        <v>HBM657.BGFJ.898</v>
      </c>
      <c r="I192" s="13" t="s">
        <v>381</v>
      </c>
      <c r="J192" s="13"/>
      <c r="K192" s="13"/>
      <c r="L192" s="13"/>
      <c r="M192" s="13"/>
      <c r="N192" s="13" t="s">
        <v>382</v>
      </c>
      <c r="O192" s="13" t="s">
        <v>28</v>
      </c>
      <c r="P192" s="13" t="s">
        <v>29</v>
      </c>
      <c r="Q192" s="13" t="s">
        <v>30</v>
      </c>
      <c r="R192" s="11" t="b">
        <v>0</v>
      </c>
      <c r="S192" s="11" t="s">
        <v>85</v>
      </c>
      <c r="T192" s="13" t="s">
        <v>49</v>
      </c>
      <c r="U192" s="13" t="s">
        <v>50</v>
      </c>
      <c r="V192" s="13" t="s">
        <v>51</v>
      </c>
      <c r="W192" s="13" t="s">
        <v>35</v>
      </c>
      <c r="X192" s="14">
        <v>45513.84782153936</v>
      </c>
      <c r="Y192" s="14">
        <v>45513.84782153936</v>
      </c>
      <c r="Z192" s="13"/>
      <c r="AA192" s="13"/>
    </row>
    <row r="193" ht="15.75" customHeight="1">
      <c r="A193" s="11" t="str">
        <f>HYPERLINK("https://portal.hubmapconsortium.org/browse/sample/58a759c7e42c48b60aba73dde0b508f7", "HBM435.RXTV.533")</f>
        <v>HBM435.RXTV.533</v>
      </c>
      <c r="B193" s="13"/>
      <c r="C193" s="13" t="s">
        <v>287</v>
      </c>
      <c r="D193" s="13" t="s">
        <v>37</v>
      </c>
      <c r="E193" s="7" t="s">
        <v>44</v>
      </c>
      <c r="F193" s="13" t="s">
        <v>304</v>
      </c>
      <c r="G193" s="11" t="b">
        <v>0</v>
      </c>
      <c r="H193" s="11" t="str">
        <f t="shared" si="20"/>
        <v>HBM657.BGFJ.898</v>
      </c>
      <c r="I193" s="13" t="s">
        <v>383</v>
      </c>
      <c r="J193" s="13"/>
      <c r="K193" s="13"/>
      <c r="L193" s="13"/>
      <c r="M193" s="13"/>
      <c r="N193" s="13" t="s">
        <v>384</v>
      </c>
      <c r="O193" s="13" t="s">
        <v>28</v>
      </c>
      <c r="P193" s="13" t="s">
        <v>29</v>
      </c>
      <c r="Q193" s="13" t="s">
        <v>30</v>
      </c>
      <c r="R193" s="11" t="b">
        <v>0</v>
      </c>
      <c r="S193" s="11" t="s">
        <v>85</v>
      </c>
      <c r="T193" s="13" t="s">
        <v>32</v>
      </c>
      <c r="U193" s="13" t="s">
        <v>50</v>
      </c>
      <c r="V193" s="13" t="s">
        <v>51</v>
      </c>
      <c r="W193" s="13" t="s">
        <v>35</v>
      </c>
      <c r="X193" s="14">
        <v>45513.84783619213</v>
      </c>
      <c r="Y193" s="14">
        <v>45513.84783619213</v>
      </c>
      <c r="Z193" s="13"/>
      <c r="AA193" s="13"/>
    </row>
    <row r="194" ht="15.75" customHeight="1">
      <c r="A194" s="11" t="str">
        <f>HYPERLINK("https://portal.hubmapconsortium.org/browse/sample/3aee1282023c0b90ee24e69176e2e9ce", "HBM267.XMQJ.925")</f>
        <v>HBM267.XMQJ.925</v>
      </c>
      <c r="B194" s="13"/>
      <c r="C194" s="13" t="s">
        <v>287</v>
      </c>
      <c r="D194" s="13" t="s">
        <v>37</v>
      </c>
      <c r="E194" s="7" t="s">
        <v>44</v>
      </c>
      <c r="F194" s="13" t="s">
        <v>304</v>
      </c>
      <c r="G194" s="11" t="b">
        <v>0</v>
      </c>
      <c r="H194" s="11" t="str">
        <f t="shared" si="20"/>
        <v>HBM657.BGFJ.898</v>
      </c>
      <c r="I194" s="13" t="s">
        <v>385</v>
      </c>
      <c r="J194" s="13"/>
      <c r="K194" s="13"/>
      <c r="L194" s="13"/>
      <c r="M194" s="13"/>
      <c r="N194" s="13" t="s">
        <v>354</v>
      </c>
      <c r="O194" s="13" t="s">
        <v>28</v>
      </c>
      <c r="P194" s="13" t="s">
        <v>29</v>
      </c>
      <c r="Q194" s="13" t="s">
        <v>30</v>
      </c>
      <c r="R194" s="11" t="b">
        <v>0</v>
      </c>
      <c r="S194" s="11" t="s">
        <v>85</v>
      </c>
      <c r="T194" s="13" t="s">
        <v>49</v>
      </c>
      <c r="U194" s="13" t="s">
        <v>50</v>
      </c>
      <c r="V194" s="13" t="s">
        <v>51</v>
      </c>
      <c r="W194" s="13" t="s">
        <v>35</v>
      </c>
      <c r="X194" s="14">
        <v>45513.84785114583</v>
      </c>
      <c r="Y194" s="14">
        <v>45513.84785114583</v>
      </c>
      <c r="Z194" s="13"/>
      <c r="AA194" s="13"/>
    </row>
    <row r="195" ht="15.75" customHeight="1">
      <c r="A195" s="11" t="str">
        <f>HYPERLINK("https://portal.hubmapconsortium.org/browse/sample/ef1b349b1fbf5048e4fc4b44ccc2706b", "HBM772.VLHS.586")</f>
        <v>HBM772.VLHS.586</v>
      </c>
      <c r="B195" s="13"/>
      <c r="C195" s="13" t="s">
        <v>287</v>
      </c>
      <c r="D195" s="13" t="s">
        <v>37</v>
      </c>
      <c r="E195" s="7" t="s">
        <v>44</v>
      </c>
      <c r="F195" s="13" t="s">
        <v>304</v>
      </c>
      <c r="G195" s="11" t="b">
        <v>0</v>
      </c>
      <c r="H195" s="11" t="str">
        <f t="shared" si="20"/>
        <v>HBM657.BGFJ.898</v>
      </c>
      <c r="I195" s="13" t="s">
        <v>386</v>
      </c>
      <c r="J195" s="13"/>
      <c r="K195" s="13"/>
      <c r="L195" s="13"/>
      <c r="M195" s="13"/>
      <c r="N195" s="13" t="s">
        <v>356</v>
      </c>
      <c r="O195" s="13" t="s">
        <v>28</v>
      </c>
      <c r="P195" s="13" t="s">
        <v>29</v>
      </c>
      <c r="Q195" s="13" t="s">
        <v>30</v>
      </c>
      <c r="R195" s="11" t="b">
        <v>0</v>
      </c>
      <c r="S195" s="11" t="s">
        <v>85</v>
      </c>
      <c r="T195" s="13" t="s">
        <v>49</v>
      </c>
      <c r="U195" s="13" t="s">
        <v>50</v>
      </c>
      <c r="V195" s="13" t="s">
        <v>51</v>
      </c>
      <c r="W195" s="13" t="s">
        <v>35</v>
      </c>
      <c r="X195" s="14">
        <v>45513.84786728009</v>
      </c>
      <c r="Y195" s="14">
        <v>45513.84786728009</v>
      </c>
      <c r="Z195" s="13"/>
      <c r="AA195" s="13"/>
    </row>
    <row r="196" ht="15.75" customHeight="1">
      <c r="A196" s="11" t="str">
        <f>HYPERLINK("https://portal.hubmapconsortium.org/browse/sample/812ef1d59fbfe4a1de7558e70fcea813", "HBM294.TWDS.936")</f>
        <v>HBM294.TWDS.936</v>
      </c>
      <c r="B196" s="13"/>
      <c r="C196" s="13" t="s">
        <v>287</v>
      </c>
      <c r="D196" s="13" t="s">
        <v>37</v>
      </c>
      <c r="E196" s="7" t="s">
        <v>44</v>
      </c>
      <c r="F196" s="13" t="s">
        <v>304</v>
      </c>
      <c r="G196" s="11" t="b">
        <v>0</v>
      </c>
      <c r="H196" s="11" t="str">
        <f t="shared" si="20"/>
        <v>HBM657.BGFJ.898</v>
      </c>
      <c r="I196" s="13" t="s">
        <v>387</v>
      </c>
      <c r="J196" s="13"/>
      <c r="K196" s="13"/>
      <c r="L196" s="13"/>
      <c r="M196" s="13"/>
      <c r="N196" s="13" t="s">
        <v>358</v>
      </c>
      <c r="O196" s="13" t="s">
        <v>28</v>
      </c>
      <c r="P196" s="13" t="s">
        <v>29</v>
      </c>
      <c r="Q196" s="13" t="s">
        <v>30</v>
      </c>
      <c r="R196" s="11" t="b">
        <v>0</v>
      </c>
      <c r="S196" s="11" t="s">
        <v>85</v>
      </c>
      <c r="T196" s="13" t="s">
        <v>49</v>
      </c>
      <c r="U196" s="13" t="s">
        <v>50</v>
      </c>
      <c r="V196" s="13" t="s">
        <v>51</v>
      </c>
      <c r="W196" s="13" t="s">
        <v>35</v>
      </c>
      <c r="X196" s="14">
        <v>45513.84788207176</v>
      </c>
      <c r="Y196" s="14">
        <v>45513.84788207176</v>
      </c>
      <c r="Z196" s="13"/>
      <c r="AA196" s="13"/>
    </row>
    <row r="197" ht="15.75" customHeight="1">
      <c r="A197" s="11" t="str">
        <f>HYPERLINK("https://portal.hubmapconsortium.org/browse/sample/c269b9eab0c8bd33b0e25557ffec6610", "HBM784.PSZW.334")</f>
        <v>HBM784.PSZW.334</v>
      </c>
      <c r="B197" s="13"/>
      <c r="C197" s="13" t="s">
        <v>287</v>
      </c>
      <c r="D197" s="13" t="s">
        <v>37</v>
      </c>
      <c r="E197" s="7" t="s">
        <v>44</v>
      </c>
      <c r="F197" s="13" t="s">
        <v>304</v>
      </c>
      <c r="G197" s="11" t="b">
        <v>0</v>
      </c>
      <c r="H197" s="11" t="str">
        <f t="shared" si="20"/>
        <v>HBM657.BGFJ.898</v>
      </c>
      <c r="I197" s="13" t="s">
        <v>388</v>
      </c>
      <c r="J197" s="13"/>
      <c r="K197" s="13"/>
      <c r="L197" s="13"/>
      <c r="M197" s="13"/>
      <c r="N197" s="13" t="s">
        <v>360</v>
      </c>
      <c r="O197" s="13" t="s">
        <v>28</v>
      </c>
      <c r="P197" s="13" t="s">
        <v>29</v>
      </c>
      <c r="Q197" s="13" t="s">
        <v>30</v>
      </c>
      <c r="R197" s="11" t="b">
        <v>0</v>
      </c>
      <c r="S197" s="11" t="s">
        <v>85</v>
      </c>
      <c r="T197" s="13" t="s">
        <v>32</v>
      </c>
      <c r="U197" s="13" t="s">
        <v>50</v>
      </c>
      <c r="V197" s="13" t="s">
        <v>51</v>
      </c>
      <c r="W197" s="13" t="s">
        <v>35</v>
      </c>
      <c r="X197" s="14">
        <v>45513.84789604167</v>
      </c>
      <c r="Y197" s="14">
        <v>45513.84789604167</v>
      </c>
      <c r="Z197" s="13"/>
      <c r="AA197" s="13"/>
    </row>
    <row r="198" ht="15.75" customHeight="1">
      <c r="A198" s="11" t="str">
        <f>HYPERLINK("https://portal.hubmapconsortium.org/browse/sample/82a80cf04e0a8e92108a004daa192e8e", "HBM273.NKLN.958")</f>
        <v>HBM273.NKLN.958</v>
      </c>
      <c r="B198" s="13"/>
      <c r="C198" s="13" t="s">
        <v>287</v>
      </c>
      <c r="D198" s="13" t="s">
        <v>37</v>
      </c>
      <c r="E198" s="7" t="s">
        <v>44</v>
      </c>
      <c r="F198" s="13" t="s">
        <v>304</v>
      </c>
      <c r="G198" s="11" t="b">
        <v>0</v>
      </c>
      <c r="H198" s="11" t="str">
        <f t="shared" si="20"/>
        <v>HBM657.BGFJ.898</v>
      </c>
      <c r="I198" s="13" t="s">
        <v>389</v>
      </c>
      <c r="J198" s="13"/>
      <c r="K198" s="13"/>
      <c r="L198" s="13"/>
      <c r="M198" s="13"/>
      <c r="N198" s="13" t="s">
        <v>362</v>
      </c>
      <c r="O198" s="13" t="s">
        <v>28</v>
      </c>
      <c r="P198" s="13" t="s">
        <v>29</v>
      </c>
      <c r="Q198" s="13" t="s">
        <v>30</v>
      </c>
      <c r="R198" s="11" t="b">
        <v>0</v>
      </c>
      <c r="S198" s="11" t="s">
        <v>85</v>
      </c>
      <c r="T198" s="13" t="s">
        <v>49</v>
      </c>
      <c r="U198" s="13" t="s">
        <v>50</v>
      </c>
      <c r="V198" s="13" t="s">
        <v>51</v>
      </c>
      <c r="W198" s="13" t="s">
        <v>35</v>
      </c>
      <c r="X198" s="14">
        <v>45513.84791091435</v>
      </c>
      <c r="Y198" s="14">
        <v>45513.84791091435</v>
      </c>
      <c r="Z198" s="13"/>
      <c r="AA198" s="13"/>
    </row>
    <row r="199" ht="15.75" customHeight="1">
      <c r="A199" s="11" t="str">
        <f>HYPERLINK("https://portal.hubmapconsortium.org/browse/sample/2db687c291ac4f5eac0cc7434199a7d8", "HBM635.BXGV.867")</f>
        <v>HBM635.BXGV.867</v>
      </c>
      <c r="B199" s="13"/>
      <c r="C199" s="13" t="s">
        <v>287</v>
      </c>
      <c r="D199" s="13" t="s">
        <v>37</v>
      </c>
      <c r="E199" s="7" t="s">
        <v>44</v>
      </c>
      <c r="F199" s="13" t="s">
        <v>304</v>
      </c>
      <c r="G199" s="11" t="b">
        <v>0</v>
      </c>
      <c r="H199" s="11" t="str">
        <f t="shared" si="20"/>
        <v>HBM657.BGFJ.898</v>
      </c>
      <c r="I199" s="13" t="s">
        <v>390</v>
      </c>
      <c r="J199" s="13"/>
      <c r="K199" s="13"/>
      <c r="L199" s="13"/>
      <c r="M199" s="13"/>
      <c r="N199" s="13" t="s">
        <v>364</v>
      </c>
      <c r="O199" s="13" t="s">
        <v>28</v>
      </c>
      <c r="P199" s="13" t="s">
        <v>29</v>
      </c>
      <c r="Q199" s="13" t="s">
        <v>30</v>
      </c>
      <c r="R199" s="11" t="b">
        <v>0</v>
      </c>
      <c r="S199" s="11" t="s">
        <v>85</v>
      </c>
      <c r="T199" s="13" t="s">
        <v>49</v>
      </c>
      <c r="U199" s="13" t="s">
        <v>50</v>
      </c>
      <c r="V199" s="13" t="s">
        <v>51</v>
      </c>
      <c r="W199" s="13" t="s">
        <v>35</v>
      </c>
      <c r="X199" s="14">
        <v>45513.84792540509</v>
      </c>
      <c r="Y199" s="14">
        <v>45513.84792540509</v>
      </c>
      <c r="Z199" s="13"/>
      <c r="AA199" s="13"/>
    </row>
    <row r="200" ht="15.75" customHeight="1">
      <c r="A200" s="11" t="str">
        <f>HYPERLINK("https://portal.hubmapconsortium.org/browse/sample/d4d6c98d3073628c85f716ddbfce3712", "HBM557.JSSD.467")</f>
        <v>HBM557.JSSD.467</v>
      </c>
      <c r="B200" s="13"/>
      <c r="C200" s="13" t="s">
        <v>287</v>
      </c>
      <c r="D200" s="13" t="s">
        <v>37</v>
      </c>
      <c r="E200" s="7" t="s">
        <v>44</v>
      </c>
      <c r="F200" s="13" t="s">
        <v>304</v>
      </c>
      <c r="G200" s="11" t="b">
        <v>0</v>
      </c>
      <c r="H200" s="11" t="str">
        <f t="shared" si="20"/>
        <v>HBM657.BGFJ.898</v>
      </c>
      <c r="I200" s="13" t="s">
        <v>391</v>
      </c>
      <c r="J200" s="13"/>
      <c r="K200" s="13"/>
      <c r="L200" s="13"/>
      <c r="M200" s="13"/>
      <c r="N200" s="13" t="s">
        <v>366</v>
      </c>
      <c r="O200" s="13" t="s">
        <v>28</v>
      </c>
      <c r="P200" s="13" t="s">
        <v>29</v>
      </c>
      <c r="Q200" s="13" t="s">
        <v>30</v>
      </c>
      <c r="R200" s="11" t="b">
        <v>0</v>
      </c>
      <c r="S200" s="11" t="s">
        <v>85</v>
      </c>
      <c r="T200" s="13" t="s">
        <v>49</v>
      </c>
      <c r="U200" s="13" t="s">
        <v>50</v>
      </c>
      <c r="V200" s="13" t="s">
        <v>51</v>
      </c>
      <c r="W200" s="13" t="s">
        <v>35</v>
      </c>
      <c r="X200" s="14">
        <v>45513.84794083334</v>
      </c>
      <c r="Y200" s="14">
        <v>45513.84794083334</v>
      </c>
      <c r="Z200" s="13"/>
      <c r="AA200" s="13"/>
    </row>
    <row r="201" ht="15.75" customHeight="1">
      <c r="A201" s="11" t="str">
        <f>HYPERLINK("https://portal.hubmapconsortium.org/browse/sample/056d577fe940b0ada39a18f1f4428817", "HBM735.GJTR.397")</f>
        <v>HBM735.GJTR.397</v>
      </c>
      <c r="B201" s="13"/>
      <c r="C201" s="13" t="s">
        <v>287</v>
      </c>
      <c r="D201" s="13" t="s">
        <v>37</v>
      </c>
      <c r="E201" s="7" t="s">
        <v>44</v>
      </c>
      <c r="F201" s="13" t="s">
        <v>304</v>
      </c>
      <c r="G201" s="11" t="b">
        <v>0</v>
      </c>
      <c r="H201" s="11" t="str">
        <f t="shared" si="20"/>
        <v>HBM657.BGFJ.898</v>
      </c>
      <c r="I201" s="13" t="s">
        <v>392</v>
      </c>
      <c r="J201" s="13"/>
      <c r="K201" s="13"/>
      <c r="L201" s="13"/>
      <c r="M201" s="13"/>
      <c r="N201" s="13" t="s">
        <v>368</v>
      </c>
      <c r="O201" s="13" t="s">
        <v>28</v>
      </c>
      <c r="P201" s="13" t="s">
        <v>29</v>
      </c>
      <c r="Q201" s="13" t="s">
        <v>30</v>
      </c>
      <c r="R201" s="11" t="b">
        <v>0</v>
      </c>
      <c r="S201" s="11" t="s">
        <v>85</v>
      </c>
      <c r="T201" s="13" t="s">
        <v>32</v>
      </c>
      <c r="U201" s="13" t="s">
        <v>50</v>
      </c>
      <c r="V201" s="13" t="s">
        <v>51</v>
      </c>
      <c r="W201" s="13" t="s">
        <v>35</v>
      </c>
      <c r="X201" s="14">
        <v>45513.84795563657</v>
      </c>
      <c r="Y201" s="14">
        <v>45513.84795563657</v>
      </c>
      <c r="Z201" s="13"/>
      <c r="AA201" s="13"/>
    </row>
    <row r="202" ht="15.75" customHeight="1">
      <c r="A202" s="11" t="str">
        <f>HYPERLINK("https://portal.hubmapconsortium.org/browse/sample/358096fdfb3cc7b4a60e527f88e1d298", "HBM237.TWLW.496")</f>
        <v>HBM237.TWLW.496</v>
      </c>
      <c r="B202" s="13"/>
      <c r="C202" s="13" t="s">
        <v>287</v>
      </c>
      <c r="D202" s="13" t="s">
        <v>37</v>
      </c>
      <c r="E202" s="7" t="s">
        <v>44</v>
      </c>
      <c r="F202" s="13" t="s">
        <v>304</v>
      </c>
      <c r="G202" s="11" t="b">
        <v>0</v>
      </c>
      <c r="H202" s="11" t="str">
        <f t="shared" si="20"/>
        <v>HBM657.BGFJ.898</v>
      </c>
      <c r="I202" s="13" t="s">
        <v>393</v>
      </c>
      <c r="J202" s="13"/>
      <c r="K202" s="13"/>
      <c r="L202" s="13"/>
      <c r="M202" s="13"/>
      <c r="N202" s="13" t="s">
        <v>370</v>
      </c>
      <c r="O202" s="13" t="s">
        <v>28</v>
      </c>
      <c r="P202" s="13" t="s">
        <v>29</v>
      </c>
      <c r="Q202" s="13" t="s">
        <v>30</v>
      </c>
      <c r="R202" s="11" t="b">
        <v>0</v>
      </c>
      <c r="S202" s="11" t="s">
        <v>85</v>
      </c>
      <c r="T202" s="13" t="s">
        <v>49</v>
      </c>
      <c r="U202" s="13" t="s">
        <v>50</v>
      </c>
      <c r="V202" s="13" t="s">
        <v>51</v>
      </c>
      <c r="W202" s="13" t="s">
        <v>35</v>
      </c>
      <c r="X202" s="14">
        <v>45513.84797150463</v>
      </c>
      <c r="Y202" s="14">
        <v>45513.84797150463</v>
      </c>
      <c r="Z202" s="13"/>
      <c r="AA202" s="13"/>
    </row>
    <row r="203" ht="15.75" customHeight="1">
      <c r="A203" s="11" t="str">
        <f>HYPERLINK("https://portal.hubmapconsortium.org/browse/sample/d1e6304fd7bba15e4c07874be624e4fa", "HBM797.SJSC.472")</f>
        <v>HBM797.SJSC.472</v>
      </c>
      <c r="B203" s="13"/>
      <c r="C203" s="13" t="s">
        <v>287</v>
      </c>
      <c r="D203" s="13" t="s">
        <v>37</v>
      </c>
      <c r="E203" s="7" t="s">
        <v>44</v>
      </c>
      <c r="F203" s="13" t="s">
        <v>304</v>
      </c>
      <c r="G203" s="11" t="b">
        <v>0</v>
      </c>
      <c r="H203" s="11" t="str">
        <f t="shared" si="20"/>
        <v>HBM657.BGFJ.898</v>
      </c>
      <c r="I203" s="13" t="s">
        <v>394</v>
      </c>
      <c r="J203" s="13"/>
      <c r="K203" s="13"/>
      <c r="L203" s="13"/>
      <c r="M203" s="13"/>
      <c r="N203" s="13" t="s">
        <v>372</v>
      </c>
      <c r="O203" s="13" t="s">
        <v>28</v>
      </c>
      <c r="P203" s="13" t="s">
        <v>29</v>
      </c>
      <c r="Q203" s="13" t="s">
        <v>30</v>
      </c>
      <c r="R203" s="11" t="b">
        <v>0</v>
      </c>
      <c r="S203" s="11" t="s">
        <v>85</v>
      </c>
      <c r="T203" s="13" t="s">
        <v>49</v>
      </c>
      <c r="U203" s="13" t="s">
        <v>50</v>
      </c>
      <c r="V203" s="13" t="s">
        <v>51</v>
      </c>
      <c r="W203" s="13" t="s">
        <v>35</v>
      </c>
      <c r="X203" s="14">
        <v>45513.84798627315</v>
      </c>
      <c r="Y203" s="14">
        <v>45513.84798627315</v>
      </c>
      <c r="Z203" s="13"/>
      <c r="AA203" s="13"/>
    </row>
    <row r="204" ht="15.75" customHeight="1">
      <c r="A204" s="11" t="str">
        <f>HYPERLINK("https://portal.hubmapconsortium.org/browse/sample/645c902182848a8cb2b2203d309914e7", "HBM485.TPJP.562")</f>
        <v>HBM485.TPJP.562</v>
      </c>
      <c r="B204" s="13"/>
      <c r="C204" s="13" t="s">
        <v>287</v>
      </c>
      <c r="D204" s="13" t="s">
        <v>37</v>
      </c>
      <c r="E204" s="7" t="s">
        <v>44</v>
      </c>
      <c r="F204" s="13" t="s">
        <v>304</v>
      </c>
      <c r="G204" s="11" t="b">
        <v>0</v>
      </c>
      <c r="H204" s="11" t="str">
        <f t="shared" si="20"/>
        <v>HBM657.BGFJ.898</v>
      </c>
      <c r="I204" s="13" t="s">
        <v>395</v>
      </c>
      <c r="J204" s="13"/>
      <c r="K204" s="13"/>
      <c r="L204" s="13"/>
      <c r="M204" s="13"/>
      <c r="N204" s="13" t="s">
        <v>374</v>
      </c>
      <c r="O204" s="13" t="s">
        <v>28</v>
      </c>
      <c r="P204" s="13" t="s">
        <v>29</v>
      </c>
      <c r="Q204" s="13" t="s">
        <v>30</v>
      </c>
      <c r="R204" s="11" t="b">
        <v>0</v>
      </c>
      <c r="S204" s="11" t="s">
        <v>85</v>
      </c>
      <c r="T204" s="13" t="s">
        <v>49</v>
      </c>
      <c r="U204" s="13" t="s">
        <v>50</v>
      </c>
      <c r="V204" s="13" t="s">
        <v>51</v>
      </c>
      <c r="W204" s="13" t="s">
        <v>35</v>
      </c>
      <c r="X204" s="14">
        <v>45513.84800238426</v>
      </c>
      <c r="Y204" s="14">
        <v>45513.84800238426</v>
      </c>
      <c r="Z204" s="13"/>
      <c r="AA204" s="13"/>
    </row>
    <row r="205" ht="15.75" customHeight="1">
      <c r="A205" s="11" t="str">
        <f>HYPERLINK("https://portal.hubmapconsortium.org/browse/sample/91776ef12a63c5cb68518e401fc6d182", "HBM358.XJJN.448")</f>
        <v>HBM358.XJJN.448</v>
      </c>
      <c r="B205" s="13"/>
      <c r="C205" s="13" t="s">
        <v>287</v>
      </c>
      <c r="D205" s="13" t="s">
        <v>37</v>
      </c>
      <c r="E205" s="7" t="s">
        <v>44</v>
      </c>
      <c r="F205" s="13" t="s">
        <v>304</v>
      </c>
      <c r="G205" s="11" t="b">
        <v>0</v>
      </c>
      <c r="H205" s="11" t="str">
        <f t="shared" si="20"/>
        <v>HBM657.BGFJ.898</v>
      </c>
      <c r="I205" s="13" t="s">
        <v>396</v>
      </c>
      <c r="J205" s="13"/>
      <c r="K205" s="13"/>
      <c r="L205" s="13"/>
      <c r="M205" s="13"/>
      <c r="N205" s="13" t="s">
        <v>376</v>
      </c>
      <c r="O205" s="13" t="s">
        <v>28</v>
      </c>
      <c r="P205" s="13" t="s">
        <v>29</v>
      </c>
      <c r="Q205" s="13" t="s">
        <v>30</v>
      </c>
      <c r="R205" s="11" t="b">
        <v>0</v>
      </c>
      <c r="S205" s="11" t="s">
        <v>85</v>
      </c>
      <c r="T205" s="13" t="s">
        <v>32</v>
      </c>
      <c r="U205" s="13" t="s">
        <v>50</v>
      </c>
      <c r="V205" s="13" t="s">
        <v>51</v>
      </c>
      <c r="W205" s="13" t="s">
        <v>35</v>
      </c>
      <c r="X205" s="14">
        <v>45513.84802314815</v>
      </c>
      <c r="Y205" s="14">
        <v>45513.84802314815</v>
      </c>
      <c r="Z205" s="13"/>
      <c r="AA205" s="13"/>
    </row>
    <row r="206" ht="15.75" customHeight="1">
      <c r="A206" s="11" t="str">
        <f>HYPERLINK("https://portal.hubmapconsortium.org/browse/sample/3dc2d0d18bc13214c8be25598682c707", "HBM948.RLMN.935")</f>
        <v>HBM948.RLMN.935</v>
      </c>
      <c r="B206" s="13"/>
      <c r="C206" s="13" t="s">
        <v>287</v>
      </c>
      <c r="D206" s="13" t="s">
        <v>37</v>
      </c>
      <c r="E206" s="7" t="s">
        <v>44</v>
      </c>
      <c r="F206" s="13" t="s">
        <v>304</v>
      </c>
      <c r="G206" s="11" t="b">
        <v>0</v>
      </c>
      <c r="H206" s="11" t="str">
        <f t="shared" si="20"/>
        <v>HBM657.BGFJ.898</v>
      </c>
      <c r="I206" s="13" t="s">
        <v>397</v>
      </c>
      <c r="J206" s="13"/>
      <c r="K206" s="13"/>
      <c r="L206" s="13"/>
      <c r="M206" s="13"/>
      <c r="N206" s="13" t="s">
        <v>378</v>
      </c>
      <c r="O206" s="13" t="s">
        <v>28</v>
      </c>
      <c r="P206" s="13" t="s">
        <v>29</v>
      </c>
      <c r="Q206" s="13" t="s">
        <v>30</v>
      </c>
      <c r="R206" s="11" t="b">
        <v>0</v>
      </c>
      <c r="S206" s="11" t="s">
        <v>85</v>
      </c>
      <c r="T206" s="13" t="s">
        <v>49</v>
      </c>
      <c r="U206" s="13" t="s">
        <v>50</v>
      </c>
      <c r="V206" s="13" t="s">
        <v>51</v>
      </c>
      <c r="W206" s="13" t="s">
        <v>35</v>
      </c>
      <c r="X206" s="14">
        <v>45513.84803763889</v>
      </c>
      <c r="Y206" s="14">
        <v>45513.84803763889</v>
      </c>
      <c r="Z206" s="13"/>
      <c r="AA206" s="13"/>
    </row>
    <row r="207" ht="15.75" customHeight="1">
      <c r="A207" s="11" t="str">
        <f>HYPERLINK("https://portal.hubmapconsortium.org/browse/sample/866aa2b6998833485218c459c9df3cef", "HBM557.QXWD.245")</f>
        <v>HBM557.QXWD.245</v>
      </c>
      <c r="B207" s="13"/>
      <c r="C207" s="13" t="s">
        <v>287</v>
      </c>
      <c r="D207" s="13" t="s">
        <v>37</v>
      </c>
      <c r="E207" s="7" t="s">
        <v>44</v>
      </c>
      <c r="F207" s="13" t="s">
        <v>304</v>
      </c>
      <c r="G207" s="11" t="b">
        <v>0</v>
      </c>
      <c r="H207" s="11" t="str">
        <f t="shared" si="20"/>
        <v>HBM657.BGFJ.898</v>
      </c>
      <c r="I207" s="13" t="s">
        <v>398</v>
      </c>
      <c r="J207" s="13"/>
      <c r="K207" s="13"/>
      <c r="L207" s="13"/>
      <c r="M207" s="13"/>
      <c r="N207" s="13" t="s">
        <v>380</v>
      </c>
      <c r="O207" s="13" t="s">
        <v>28</v>
      </c>
      <c r="P207" s="13" t="s">
        <v>29</v>
      </c>
      <c r="Q207" s="13" t="s">
        <v>30</v>
      </c>
      <c r="R207" s="11" t="b">
        <v>0</v>
      </c>
      <c r="S207" s="11" t="s">
        <v>85</v>
      </c>
      <c r="T207" s="13" t="s">
        <v>49</v>
      </c>
      <c r="U207" s="13" t="s">
        <v>50</v>
      </c>
      <c r="V207" s="13" t="s">
        <v>51</v>
      </c>
      <c r="W207" s="13" t="s">
        <v>35</v>
      </c>
      <c r="X207" s="14">
        <v>45513.84805179398</v>
      </c>
      <c r="Y207" s="14">
        <v>45513.84805179398</v>
      </c>
      <c r="Z207" s="13"/>
      <c r="AA207" s="13"/>
    </row>
    <row r="208" ht="15.75" customHeight="1">
      <c r="A208" s="11" t="str">
        <f>HYPERLINK("https://portal.hubmapconsortium.org/browse/sample/e90b08c2006b01927668d9ae1bc6537b", "HBM455.BVZH.484")</f>
        <v>HBM455.BVZH.484</v>
      </c>
      <c r="B208" s="13"/>
      <c r="C208" s="13" t="s">
        <v>287</v>
      </c>
      <c r="D208" s="13" t="s">
        <v>37</v>
      </c>
      <c r="E208" s="7" t="s">
        <v>44</v>
      </c>
      <c r="F208" s="13" t="s">
        <v>304</v>
      </c>
      <c r="G208" s="11" t="b">
        <v>0</v>
      </c>
      <c r="H208" s="11" t="str">
        <f t="shared" si="20"/>
        <v>HBM657.BGFJ.898</v>
      </c>
      <c r="I208" s="13" t="s">
        <v>399</v>
      </c>
      <c r="J208" s="13"/>
      <c r="K208" s="13"/>
      <c r="L208" s="13"/>
      <c r="M208" s="13"/>
      <c r="N208" s="13" t="s">
        <v>382</v>
      </c>
      <c r="O208" s="13" t="s">
        <v>28</v>
      </c>
      <c r="P208" s="13" t="s">
        <v>29</v>
      </c>
      <c r="Q208" s="13" t="s">
        <v>30</v>
      </c>
      <c r="R208" s="11" t="b">
        <v>0</v>
      </c>
      <c r="S208" s="11" t="s">
        <v>85</v>
      </c>
      <c r="T208" s="13" t="s">
        <v>49</v>
      </c>
      <c r="U208" s="13" t="s">
        <v>50</v>
      </c>
      <c r="V208" s="13" t="s">
        <v>51</v>
      </c>
      <c r="W208" s="13" t="s">
        <v>35</v>
      </c>
      <c r="X208" s="14">
        <v>45513.84806875</v>
      </c>
      <c r="Y208" s="14">
        <v>45513.84806875</v>
      </c>
      <c r="Z208" s="13"/>
      <c r="AA208" s="13"/>
    </row>
    <row r="209" ht="15.75" customHeight="1">
      <c r="A209" s="11" t="str">
        <f>HYPERLINK("https://portal.hubmapconsortium.org/browse/sample/5ff7023afd3aad9ac4effdf066851f5e", "HBM947.HBNM.826")</f>
        <v>HBM947.HBNM.826</v>
      </c>
      <c r="B209" s="13"/>
      <c r="C209" s="13" t="s">
        <v>287</v>
      </c>
      <c r="D209" s="13" t="s">
        <v>37</v>
      </c>
      <c r="E209" s="7" t="s">
        <v>44</v>
      </c>
      <c r="F209" s="13" t="s">
        <v>304</v>
      </c>
      <c r="G209" s="11" t="b">
        <v>0</v>
      </c>
      <c r="H209" s="11" t="str">
        <f t="shared" si="20"/>
        <v>HBM657.BGFJ.898</v>
      </c>
      <c r="I209" s="13" t="s">
        <v>400</v>
      </c>
      <c r="J209" s="13"/>
      <c r="K209" s="13"/>
      <c r="L209" s="13"/>
      <c r="M209" s="13"/>
      <c r="N209" s="13" t="s">
        <v>384</v>
      </c>
      <c r="O209" s="13" t="s">
        <v>28</v>
      </c>
      <c r="P209" s="13" t="s">
        <v>29</v>
      </c>
      <c r="Q209" s="13" t="s">
        <v>30</v>
      </c>
      <c r="R209" s="11" t="b">
        <v>0</v>
      </c>
      <c r="S209" s="11" t="s">
        <v>85</v>
      </c>
      <c r="T209" s="13" t="s">
        <v>32</v>
      </c>
      <c r="U209" s="13" t="s">
        <v>50</v>
      </c>
      <c r="V209" s="13" t="s">
        <v>51</v>
      </c>
      <c r="W209" s="13" t="s">
        <v>35</v>
      </c>
      <c r="X209" s="14">
        <v>45513.84808466435</v>
      </c>
      <c r="Y209" s="14">
        <v>45513.84808466435</v>
      </c>
      <c r="Z209" s="13"/>
      <c r="AA209" s="13"/>
    </row>
    <row r="210" ht="15.75" customHeight="1">
      <c r="A210" s="5" t="str">
        <f>HYPERLINK("https://portal.hubmapconsortium.org/browse/sample/a78ee406cfe0afa4825d3e1200b3f39c", "HBM463.CSLZ.494")</f>
        <v>HBM463.CSLZ.494</v>
      </c>
      <c r="C210" s="7" t="s">
        <v>287</v>
      </c>
      <c r="D210" s="7" t="s">
        <v>37</v>
      </c>
      <c r="E210" s="7" t="s">
        <v>44</v>
      </c>
      <c r="F210" s="7" t="s">
        <v>401</v>
      </c>
      <c r="G210" s="5" t="b">
        <v>0</v>
      </c>
      <c r="H210" s="5" t="str">
        <f t="shared" ref="H210:H216" si="21">HYPERLINK("https://portal.hubmapconsortium.org/browse/sample/9954d4d8adb0a53a26179bc99b08b6c0", "HBM688.BJZV.237")</f>
        <v>HBM688.BJZV.237</v>
      </c>
      <c r="I210" s="7" t="s">
        <v>402</v>
      </c>
      <c r="J210" s="7" t="s">
        <v>713</v>
      </c>
      <c r="N210" s="7" t="s">
        <v>403</v>
      </c>
      <c r="O210" s="7" t="s">
        <v>28</v>
      </c>
      <c r="P210" s="7" t="s">
        <v>29</v>
      </c>
      <c r="Q210" s="7" t="s">
        <v>30</v>
      </c>
      <c r="R210" s="5" t="b">
        <v>0</v>
      </c>
      <c r="S210" s="5" t="s">
        <v>31</v>
      </c>
      <c r="T210" s="7" t="s">
        <v>49</v>
      </c>
      <c r="U210" s="7" t="s">
        <v>50</v>
      </c>
      <c r="V210" s="7" t="s">
        <v>51</v>
      </c>
      <c r="W210" s="7" t="s">
        <v>35</v>
      </c>
      <c r="X210" s="9">
        <v>45848.84232256944</v>
      </c>
      <c r="Y210" s="9">
        <v>45848.84232256944</v>
      </c>
    </row>
    <row r="211" ht="15.75" customHeight="1">
      <c r="A211" s="5" t="str">
        <f>HYPERLINK("https://portal.hubmapconsortium.org/browse/sample/5791510180127c3ba89e4713e84719b9", "HBM598.HGFZ.458")</f>
        <v>HBM598.HGFZ.458</v>
      </c>
      <c r="C211" s="7" t="s">
        <v>287</v>
      </c>
      <c r="D211" s="7" t="s">
        <v>37</v>
      </c>
      <c r="E211" s="7" t="s">
        <v>44</v>
      </c>
      <c r="F211" s="7" t="s">
        <v>401</v>
      </c>
      <c r="G211" s="5" t="b">
        <v>0</v>
      </c>
      <c r="H211" s="5" t="str">
        <f t="shared" si="21"/>
        <v>HBM688.BJZV.237</v>
      </c>
      <c r="I211" s="7" t="s">
        <v>404</v>
      </c>
      <c r="J211" s="7" t="s">
        <v>713</v>
      </c>
      <c r="N211" s="7" t="s">
        <v>403</v>
      </c>
      <c r="O211" s="7" t="s">
        <v>28</v>
      </c>
      <c r="P211" s="7" t="s">
        <v>29</v>
      </c>
      <c r="Q211" s="7" t="s">
        <v>30</v>
      </c>
      <c r="R211" s="5" t="b">
        <v>0</v>
      </c>
      <c r="S211" s="5" t="s">
        <v>31</v>
      </c>
      <c r="T211" s="7" t="s">
        <v>49</v>
      </c>
      <c r="U211" s="7" t="s">
        <v>50</v>
      </c>
      <c r="V211" s="7" t="s">
        <v>51</v>
      </c>
      <c r="W211" s="7" t="s">
        <v>35</v>
      </c>
      <c r="X211" s="9">
        <v>45848.8424134838</v>
      </c>
      <c r="Y211" s="9">
        <v>45848.8424134838</v>
      </c>
    </row>
    <row r="212" ht="15.75" customHeight="1">
      <c r="A212" s="5" t="str">
        <f>HYPERLINK("https://portal.hubmapconsortium.org/browse/sample/a941602a83a3904f3970f37a513b6aa3", "HBM558.TWKB.687")</f>
        <v>HBM558.TWKB.687</v>
      </c>
      <c r="C212" s="7" t="s">
        <v>287</v>
      </c>
      <c r="D212" s="7" t="s">
        <v>37</v>
      </c>
      <c r="E212" s="7" t="s">
        <v>44</v>
      </c>
      <c r="F212" s="7" t="s">
        <v>401</v>
      </c>
      <c r="G212" s="5" t="b">
        <v>0</v>
      </c>
      <c r="H212" s="5" t="str">
        <f t="shared" si="21"/>
        <v>HBM688.BJZV.237</v>
      </c>
      <c r="I212" s="7" t="s">
        <v>405</v>
      </c>
      <c r="J212" s="7" t="s">
        <v>713</v>
      </c>
      <c r="N212" s="7" t="s">
        <v>403</v>
      </c>
      <c r="O212" s="7" t="s">
        <v>28</v>
      </c>
      <c r="P212" s="7" t="s">
        <v>29</v>
      </c>
      <c r="Q212" s="7" t="s">
        <v>30</v>
      </c>
      <c r="R212" s="5" t="b">
        <v>0</v>
      </c>
      <c r="S212" s="5" t="s">
        <v>31</v>
      </c>
      <c r="T212" s="7" t="s">
        <v>49</v>
      </c>
      <c r="U212" s="7" t="s">
        <v>50</v>
      </c>
      <c r="V212" s="7" t="s">
        <v>51</v>
      </c>
      <c r="W212" s="7" t="s">
        <v>35</v>
      </c>
      <c r="X212" s="9">
        <v>45848.84242503472</v>
      </c>
      <c r="Y212" s="9">
        <v>45848.84242503472</v>
      </c>
    </row>
    <row r="213" ht="15.75" customHeight="1">
      <c r="A213" s="5" t="str">
        <f>HYPERLINK("https://portal.hubmapconsortium.org/browse/sample/b74803dd17d6541a583502013c800110", "HBM365.VQTL.758")</f>
        <v>HBM365.VQTL.758</v>
      </c>
      <c r="C213" s="7" t="s">
        <v>287</v>
      </c>
      <c r="D213" s="7" t="s">
        <v>37</v>
      </c>
      <c r="E213" s="7" t="s">
        <v>44</v>
      </c>
      <c r="F213" s="7" t="s">
        <v>401</v>
      </c>
      <c r="G213" s="5" t="b">
        <v>0</v>
      </c>
      <c r="H213" s="5" t="str">
        <f t="shared" si="21"/>
        <v>HBM688.BJZV.237</v>
      </c>
      <c r="I213" s="7" t="s">
        <v>406</v>
      </c>
      <c r="J213" s="7" t="s">
        <v>713</v>
      </c>
      <c r="N213" s="7" t="s">
        <v>407</v>
      </c>
      <c r="O213" s="7" t="s">
        <v>28</v>
      </c>
      <c r="P213" s="7" t="s">
        <v>29</v>
      </c>
      <c r="Q213" s="7" t="s">
        <v>30</v>
      </c>
      <c r="R213" s="5" t="b">
        <v>0</v>
      </c>
      <c r="S213" s="5" t="s">
        <v>85</v>
      </c>
      <c r="T213" s="7" t="s">
        <v>32</v>
      </c>
      <c r="U213" s="7" t="s">
        <v>50</v>
      </c>
      <c r="V213" s="7" t="s">
        <v>51</v>
      </c>
      <c r="W213" s="7" t="s">
        <v>35</v>
      </c>
      <c r="X213" s="9">
        <v>45643.91673604167</v>
      </c>
      <c r="Y213" s="9">
        <v>45643.91673604167</v>
      </c>
    </row>
    <row r="214" ht="15.75" customHeight="1">
      <c r="A214" s="5" t="str">
        <f>HYPERLINK("https://portal.hubmapconsortium.org/browse/sample/f66a0742abfdea203331d88734732cb6", "HBM982.QVRM.858")</f>
        <v>HBM982.QVRM.858</v>
      </c>
      <c r="C214" s="7" t="s">
        <v>287</v>
      </c>
      <c r="D214" s="7" t="s">
        <v>37</v>
      </c>
      <c r="E214" s="7" t="s">
        <v>44</v>
      </c>
      <c r="F214" s="7" t="s">
        <v>401</v>
      </c>
      <c r="G214" s="5" t="b">
        <v>0</v>
      </c>
      <c r="H214" s="5" t="str">
        <f t="shared" si="21"/>
        <v>HBM688.BJZV.237</v>
      </c>
      <c r="I214" s="7" t="s">
        <v>408</v>
      </c>
      <c r="J214" s="7" t="s">
        <v>713</v>
      </c>
      <c r="N214" s="7" t="s">
        <v>409</v>
      </c>
      <c r="O214" s="7" t="s">
        <v>28</v>
      </c>
      <c r="P214" s="7" t="s">
        <v>29</v>
      </c>
      <c r="Q214" s="7" t="s">
        <v>30</v>
      </c>
      <c r="R214" s="5" t="b">
        <v>0</v>
      </c>
      <c r="S214" s="5" t="s">
        <v>31</v>
      </c>
      <c r="T214" s="7" t="s">
        <v>49</v>
      </c>
      <c r="U214" s="7" t="s">
        <v>50</v>
      </c>
      <c r="V214" s="7" t="s">
        <v>51</v>
      </c>
      <c r="W214" s="7" t="s">
        <v>35</v>
      </c>
      <c r="X214" s="9">
        <v>45848.84243758102</v>
      </c>
      <c r="Y214" s="9">
        <v>45848.84243758102</v>
      </c>
    </row>
    <row r="215" ht="15.75" customHeight="1">
      <c r="A215" s="5" t="str">
        <f>HYPERLINK("https://portal.hubmapconsortium.org/browse/sample/9f5d801187724cd4e1b88332177872a0", "HBM892.THLP.948")</f>
        <v>HBM892.THLP.948</v>
      </c>
      <c r="C215" s="7" t="s">
        <v>287</v>
      </c>
      <c r="D215" s="7" t="s">
        <v>37</v>
      </c>
      <c r="E215" s="7" t="s">
        <v>44</v>
      </c>
      <c r="F215" s="7" t="s">
        <v>401</v>
      </c>
      <c r="G215" s="5" t="b">
        <v>0</v>
      </c>
      <c r="H215" s="5" t="str">
        <f t="shared" si="21"/>
        <v>HBM688.BJZV.237</v>
      </c>
      <c r="I215" s="7" t="s">
        <v>410</v>
      </c>
      <c r="J215" s="7" t="s">
        <v>713</v>
      </c>
      <c r="N215" s="7" t="s">
        <v>411</v>
      </c>
      <c r="O215" s="7" t="s">
        <v>28</v>
      </c>
      <c r="P215" s="7" t="s">
        <v>29</v>
      </c>
      <c r="Q215" s="7" t="s">
        <v>30</v>
      </c>
      <c r="R215" s="5" t="b">
        <v>0</v>
      </c>
      <c r="S215" s="5" t="s">
        <v>31</v>
      </c>
      <c r="T215" s="7" t="s">
        <v>49</v>
      </c>
      <c r="U215" s="7" t="s">
        <v>50</v>
      </c>
      <c r="V215" s="7" t="s">
        <v>51</v>
      </c>
      <c r="W215" s="7" t="s">
        <v>35</v>
      </c>
      <c r="X215" s="9">
        <v>45819.77843373843</v>
      </c>
      <c r="Y215" s="9">
        <v>45819.77843373843</v>
      </c>
    </row>
    <row r="216" ht="15.75" customHeight="1">
      <c r="A216" s="5" t="str">
        <f>HYPERLINK("https://portal.hubmapconsortium.org/browse/sample/7260d2ff7b377c34f09fed7d05b1fe40", "HBM845.HMCZ.295")</f>
        <v>HBM845.HMCZ.295</v>
      </c>
      <c r="C216" s="7" t="s">
        <v>287</v>
      </c>
      <c r="D216" s="7" t="s">
        <v>37</v>
      </c>
      <c r="E216" s="7" t="s">
        <v>44</v>
      </c>
      <c r="F216" s="7" t="s">
        <v>401</v>
      </c>
      <c r="G216" s="5" t="b">
        <v>0</v>
      </c>
      <c r="H216" s="5" t="str">
        <f t="shared" si="21"/>
        <v>HBM688.BJZV.237</v>
      </c>
      <c r="I216" s="7" t="s">
        <v>412</v>
      </c>
      <c r="J216" s="7" t="s">
        <v>713</v>
      </c>
      <c r="N216" s="7" t="s">
        <v>411</v>
      </c>
      <c r="O216" s="7" t="s">
        <v>28</v>
      </c>
      <c r="P216" s="7" t="s">
        <v>29</v>
      </c>
      <c r="Q216" s="7" t="s">
        <v>30</v>
      </c>
      <c r="R216" s="5" t="b">
        <v>0</v>
      </c>
      <c r="S216" s="5" t="s">
        <v>31</v>
      </c>
      <c r="T216" s="7" t="s">
        <v>49</v>
      </c>
      <c r="U216" s="7" t="s">
        <v>50</v>
      </c>
      <c r="V216" s="7" t="s">
        <v>51</v>
      </c>
      <c r="W216" s="7" t="s">
        <v>35</v>
      </c>
      <c r="X216" s="9">
        <v>45819.77849782407</v>
      </c>
      <c r="Y216" s="9">
        <v>45819.77849782407</v>
      </c>
    </row>
    <row r="217" ht="15.75" customHeight="1">
      <c r="A217" s="11" t="str">
        <f>HYPERLINK("https://portal.hubmapconsortium.org/browse/sample/533dd9d7cf62d83d9418e69960eca132", "HBM469.GNLR.532")</f>
        <v>HBM469.GNLR.532</v>
      </c>
      <c r="B217" s="13"/>
      <c r="C217" s="13" t="s">
        <v>413</v>
      </c>
      <c r="D217" s="13" t="s">
        <v>25</v>
      </c>
      <c r="E217" s="7" t="s">
        <v>44</v>
      </c>
      <c r="F217" s="13" t="s">
        <v>414</v>
      </c>
      <c r="G217" s="11" t="b">
        <v>0</v>
      </c>
      <c r="H217" s="11" t="str">
        <f t="shared" ref="H217:H224" si="22">HYPERLINK("https://portal.hubmapconsortium.org/browse/sample/bc7918805c94ad395dd26c50573d1e40", "HBM367.CMSK.938")</f>
        <v>HBM367.CMSK.938</v>
      </c>
      <c r="I217" s="13" t="s">
        <v>415</v>
      </c>
      <c r="J217" s="13"/>
      <c r="K217" s="13"/>
      <c r="L217" s="13"/>
      <c r="M217" s="13"/>
      <c r="N217" s="13" t="s">
        <v>416</v>
      </c>
      <c r="O217" s="13" t="s">
        <v>28</v>
      </c>
      <c r="P217" s="13" t="s">
        <v>29</v>
      </c>
      <c r="Q217" s="13" t="s">
        <v>30</v>
      </c>
      <c r="R217" s="11" t="b">
        <v>0</v>
      </c>
      <c r="S217" s="11" t="s">
        <v>31</v>
      </c>
      <c r="T217" s="13" t="s">
        <v>49</v>
      </c>
      <c r="U217" s="13" t="s">
        <v>50</v>
      </c>
      <c r="V217" s="13" t="s">
        <v>51</v>
      </c>
      <c r="W217" s="13" t="s">
        <v>35</v>
      </c>
      <c r="X217" s="14">
        <v>45525.65136083333</v>
      </c>
      <c r="Y217" s="14">
        <v>45525.65136083333</v>
      </c>
      <c r="Z217" s="13"/>
      <c r="AA217" s="13"/>
    </row>
    <row r="218" ht="15.75" customHeight="1">
      <c r="A218" s="11" t="str">
        <f>HYPERLINK("https://portal.hubmapconsortium.org/browse/sample/31256640ed4d9d042508d525cc46f48b", "HBM752.VMVK.472")</f>
        <v>HBM752.VMVK.472</v>
      </c>
      <c r="B218" s="13"/>
      <c r="C218" s="13" t="s">
        <v>413</v>
      </c>
      <c r="D218" s="13" t="s">
        <v>25</v>
      </c>
      <c r="E218" s="7" t="s">
        <v>44</v>
      </c>
      <c r="F218" s="13" t="s">
        <v>414</v>
      </c>
      <c r="G218" s="11" t="b">
        <v>0</v>
      </c>
      <c r="H218" s="11" t="str">
        <f t="shared" si="22"/>
        <v>HBM367.CMSK.938</v>
      </c>
      <c r="I218" s="13" t="s">
        <v>417</v>
      </c>
      <c r="J218" s="13"/>
      <c r="K218" s="13"/>
      <c r="L218" s="13"/>
      <c r="M218" s="13"/>
      <c r="N218" s="13" t="s">
        <v>418</v>
      </c>
      <c r="O218" s="13" t="s">
        <v>28</v>
      </c>
      <c r="P218" s="13" t="s">
        <v>29</v>
      </c>
      <c r="Q218" s="13" t="s">
        <v>30</v>
      </c>
      <c r="R218" s="11" t="b">
        <v>0</v>
      </c>
      <c r="S218" s="11" t="s">
        <v>31</v>
      </c>
      <c r="T218" s="13" t="s">
        <v>49</v>
      </c>
      <c r="U218" s="13" t="s">
        <v>50</v>
      </c>
      <c r="V218" s="13" t="s">
        <v>51</v>
      </c>
      <c r="W218" s="13" t="s">
        <v>35</v>
      </c>
      <c r="X218" s="14">
        <v>45525.65137832176</v>
      </c>
      <c r="Y218" s="14">
        <v>45525.65137832176</v>
      </c>
      <c r="Z218" s="13"/>
      <c r="AA218" s="13"/>
    </row>
    <row r="219" ht="15.75" customHeight="1">
      <c r="A219" s="11" t="str">
        <f>HYPERLINK("https://portal.hubmapconsortium.org/browse/sample/a62b2313125afacb8b61d4e056b17556", "HBM566.VCTT.336")</f>
        <v>HBM566.VCTT.336</v>
      </c>
      <c r="B219" s="13"/>
      <c r="C219" s="13" t="s">
        <v>413</v>
      </c>
      <c r="D219" s="13" t="s">
        <v>25</v>
      </c>
      <c r="E219" s="7" t="s">
        <v>44</v>
      </c>
      <c r="F219" s="13" t="s">
        <v>414</v>
      </c>
      <c r="G219" s="11" t="b">
        <v>0</v>
      </c>
      <c r="H219" s="11" t="str">
        <f t="shared" si="22"/>
        <v>HBM367.CMSK.938</v>
      </c>
      <c r="I219" s="13" t="s">
        <v>419</v>
      </c>
      <c r="J219" s="13"/>
      <c r="K219" s="13"/>
      <c r="L219" s="13"/>
      <c r="M219" s="13"/>
      <c r="N219" s="13" t="s">
        <v>420</v>
      </c>
      <c r="O219" s="13" t="s">
        <v>28</v>
      </c>
      <c r="P219" s="13" t="s">
        <v>29</v>
      </c>
      <c r="Q219" s="13" t="s">
        <v>30</v>
      </c>
      <c r="R219" s="11" t="b">
        <v>0</v>
      </c>
      <c r="S219" s="11" t="s">
        <v>31</v>
      </c>
      <c r="T219" s="13" t="s">
        <v>49</v>
      </c>
      <c r="U219" s="13" t="s">
        <v>50</v>
      </c>
      <c r="V219" s="13" t="s">
        <v>51</v>
      </c>
      <c r="W219" s="13" t="s">
        <v>35</v>
      </c>
      <c r="X219" s="14">
        <v>45525.65139392361</v>
      </c>
      <c r="Y219" s="14">
        <v>45525.65139392361</v>
      </c>
      <c r="Z219" s="13"/>
      <c r="AA219" s="13"/>
    </row>
    <row r="220" ht="15.75" customHeight="1">
      <c r="A220" s="11" t="str">
        <f>HYPERLINK("https://portal.hubmapconsortium.org/browse/sample/17a8afe7a0d3c3f9033b9b4005822e02", "HBM534.FTNR.568")</f>
        <v>HBM534.FTNR.568</v>
      </c>
      <c r="B220" s="13"/>
      <c r="C220" s="13" t="s">
        <v>413</v>
      </c>
      <c r="D220" s="13" t="s">
        <v>25</v>
      </c>
      <c r="E220" s="7" t="s">
        <v>44</v>
      </c>
      <c r="F220" s="13" t="s">
        <v>414</v>
      </c>
      <c r="G220" s="11" t="b">
        <v>0</v>
      </c>
      <c r="H220" s="11" t="str">
        <f t="shared" si="22"/>
        <v>HBM367.CMSK.938</v>
      </c>
      <c r="I220" s="13" t="s">
        <v>421</v>
      </c>
      <c r="J220" s="13"/>
      <c r="K220" s="13"/>
      <c r="L220" s="13"/>
      <c r="M220" s="13"/>
      <c r="N220" s="13" t="s">
        <v>422</v>
      </c>
      <c r="O220" s="13" t="s">
        <v>28</v>
      </c>
      <c r="P220" s="13" t="s">
        <v>29</v>
      </c>
      <c r="Q220" s="13" t="s">
        <v>30</v>
      </c>
      <c r="R220" s="11" t="b">
        <v>0</v>
      </c>
      <c r="S220" s="11" t="s">
        <v>31</v>
      </c>
      <c r="T220" s="13" t="s">
        <v>32</v>
      </c>
      <c r="U220" s="13" t="s">
        <v>50</v>
      </c>
      <c r="V220" s="13" t="s">
        <v>51</v>
      </c>
      <c r="W220" s="13" t="s">
        <v>35</v>
      </c>
      <c r="X220" s="14">
        <v>45525.65140856482</v>
      </c>
      <c r="Y220" s="14">
        <v>45525.65140856482</v>
      </c>
      <c r="Z220" s="13"/>
      <c r="AA220" s="13"/>
    </row>
    <row r="221" ht="15.75" customHeight="1">
      <c r="A221" s="11" t="str">
        <f>HYPERLINK("https://portal.hubmapconsortium.org/browse/sample/c1d14f9bd465fb1b781034a0811ddcfb", "HBM557.RGHB.628")</f>
        <v>HBM557.RGHB.628</v>
      </c>
      <c r="B221" s="13"/>
      <c r="C221" s="13" t="s">
        <v>413</v>
      </c>
      <c r="D221" s="13" t="s">
        <v>25</v>
      </c>
      <c r="E221" s="7" t="s">
        <v>44</v>
      </c>
      <c r="F221" s="13" t="s">
        <v>414</v>
      </c>
      <c r="G221" s="11" t="b">
        <v>0</v>
      </c>
      <c r="H221" s="11" t="str">
        <f t="shared" si="22"/>
        <v>HBM367.CMSK.938</v>
      </c>
      <c r="I221" s="13" t="s">
        <v>423</v>
      </c>
      <c r="J221" s="13"/>
      <c r="K221" s="13"/>
      <c r="L221" s="13"/>
      <c r="M221" s="13"/>
      <c r="N221" s="13" t="s">
        <v>416</v>
      </c>
      <c r="O221" s="13" t="s">
        <v>28</v>
      </c>
      <c r="P221" s="13" t="s">
        <v>29</v>
      </c>
      <c r="Q221" s="13" t="s">
        <v>30</v>
      </c>
      <c r="R221" s="11" t="b">
        <v>0</v>
      </c>
      <c r="S221" s="11" t="s">
        <v>31</v>
      </c>
      <c r="T221" s="13" t="s">
        <v>49</v>
      </c>
      <c r="U221" s="13" t="s">
        <v>50</v>
      </c>
      <c r="V221" s="13" t="s">
        <v>51</v>
      </c>
      <c r="W221" s="13" t="s">
        <v>35</v>
      </c>
      <c r="X221" s="14">
        <v>45525.65142480324</v>
      </c>
      <c r="Y221" s="14">
        <v>45525.65142480324</v>
      </c>
      <c r="Z221" s="13"/>
      <c r="AA221" s="13"/>
    </row>
    <row r="222" ht="15.75" customHeight="1">
      <c r="A222" s="11" t="str">
        <f>HYPERLINK("https://portal.hubmapconsortium.org/browse/sample/f232b7b76b5af5670363affd9e0b4c65", "HBM695.GFJL.246")</f>
        <v>HBM695.GFJL.246</v>
      </c>
      <c r="B222" s="13"/>
      <c r="C222" s="13" t="s">
        <v>413</v>
      </c>
      <c r="D222" s="13" t="s">
        <v>25</v>
      </c>
      <c r="E222" s="7" t="s">
        <v>44</v>
      </c>
      <c r="F222" s="13" t="s">
        <v>414</v>
      </c>
      <c r="G222" s="11" t="b">
        <v>0</v>
      </c>
      <c r="H222" s="11" t="str">
        <f t="shared" si="22"/>
        <v>HBM367.CMSK.938</v>
      </c>
      <c r="I222" s="13" t="s">
        <v>424</v>
      </c>
      <c r="J222" s="13"/>
      <c r="K222" s="13"/>
      <c r="L222" s="13"/>
      <c r="M222" s="13"/>
      <c r="N222" s="13" t="s">
        <v>418</v>
      </c>
      <c r="O222" s="13" t="s">
        <v>28</v>
      </c>
      <c r="P222" s="13" t="s">
        <v>29</v>
      </c>
      <c r="Q222" s="13" t="s">
        <v>30</v>
      </c>
      <c r="R222" s="11" t="b">
        <v>0</v>
      </c>
      <c r="S222" s="11" t="s">
        <v>31</v>
      </c>
      <c r="T222" s="13" t="s">
        <v>49</v>
      </c>
      <c r="U222" s="13" t="s">
        <v>50</v>
      </c>
      <c r="V222" s="13" t="s">
        <v>51</v>
      </c>
      <c r="W222" s="13" t="s">
        <v>35</v>
      </c>
      <c r="X222" s="14">
        <v>45525.65144054398</v>
      </c>
      <c r="Y222" s="14">
        <v>45525.65144054398</v>
      </c>
      <c r="Z222" s="13"/>
      <c r="AA222" s="13"/>
    </row>
    <row r="223" ht="15.75" customHeight="1">
      <c r="A223" s="11" t="str">
        <f>HYPERLINK("https://portal.hubmapconsortium.org/browse/sample/16edd1e60cb256a4cd1351b4ecb0629b", "HBM525.FFZG.728")</f>
        <v>HBM525.FFZG.728</v>
      </c>
      <c r="B223" s="13"/>
      <c r="C223" s="13" t="s">
        <v>413</v>
      </c>
      <c r="D223" s="13" t="s">
        <v>25</v>
      </c>
      <c r="E223" s="7" t="s">
        <v>44</v>
      </c>
      <c r="F223" s="13" t="s">
        <v>414</v>
      </c>
      <c r="G223" s="11" t="b">
        <v>0</v>
      </c>
      <c r="H223" s="11" t="str">
        <f t="shared" si="22"/>
        <v>HBM367.CMSK.938</v>
      </c>
      <c r="I223" s="13" t="s">
        <v>425</v>
      </c>
      <c r="J223" s="13"/>
      <c r="K223" s="13"/>
      <c r="L223" s="13"/>
      <c r="M223" s="13"/>
      <c r="N223" s="13" t="s">
        <v>420</v>
      </c>
      <c r="O223" s="13" t="s">
        <v>28</v>
      </c>
      <c r="P223" s="13" t="s">
        <v>29</v>
      </c>
      <c r="Q223" s="13" t="s">
        <v>30</v>
      </c>
      <c r="R223" s="11" t="b">
        <v>0</v>
      </c>
      <c r="S223" s="11" t="s">
        <v>31</v>
      </c>
      <c r="T223" s="13" t="s">
        <v>49</v>
      </c>
      <c r="U223" s="13" t="s">
        <v>50</v>
      </c>
      <c r="V223" s="13" t="s">
        <v>51</v>
      </c>
      <c r="W223" s="13" t="s">
        <v>35</v>
      </c>
      <c r="X223" s="14">
        <v>45525.65145428241</v>
      </c>
      <c r="Y223" s="14">
        <v>45525.65145428241</v>
      </c>
      <c r="Z223" s="13"/>
      <c r="AA223" s="13"/>
    </row>
    <row r="224" ht="15.75" customHeight="1">
      <c r="A224" s="11" t="str">
        <f>HYPERLINK("https://portal.hubmapconsortium.org/browse/sample/813a8b10537a84bc7b89185927df013b", "HBM276.HNJS.654")</f>
        <v>HBM276.HNJS.654</v>
      </c>
      <c r="B224" s="13"/>
      <c r="C224" s="13" t="s">
        <v>413</v>
      </c>
      <c r="D224" s="13" t="s">
        <v>25</v>
      </c>
      <c r="E224" s="7" t="s">
        <v>44</v>
      </c>
      <c r="F224" s="13" t="s">
        <v>414</v>
      </c>
      <c r="G224" s="11" t="b">
        <v>0</v>
      </c>
      <c r="H224" s="11" t="str">
        <f t="shared" si="22"/>
        <v>HBM367.CMSK.938</v>
      </c>
      <c r="I224" s="13" t="s">
        <v>426</v>
      </c>
      <c r="J224" s="13"/>
      <c r="K224" s="13"/>
      <c r="L224" s="13"/>
      <c r="M224" s="13"/>
      <c r="N224" s="13" t="s">
        <v>422</v>
      </c>
      <c r="O224" s="13" t="s">
        <v>28</v>
      </c>
      <c r="P224" s="13" t="s">
        <v>29</v>
      </c>
      <c r="Q224" s="13" t="s">
        <v>30</v>
      </c>
      <c r="R224" s="11" t="b">
        <v>0</v>
      </c>
      <c r="S224" s="11" t="s">
        <v>31</v>
      </c>
      <c r="T224" s="13" t="s">
        <v>32</v>
      </c>
      <c r="U224" s="13" t="s">
        <v>50</v>
      </c>
      <c r="V224" s="13" t="s">
        <v>51</v>
      </c>
      <c r="W224" s="13" t="s">
        <v>35</v>
      </c>
      <c r="X224" s="14">
        <v>45525.65146931713</v>
      </c>
      <c r="Y224" s="14">
        <v>45525.65146931713</v>
      </c>
      <c r="Z224" s="13"/>
      <c r="AA224" s="13"/>
    </row>
    <row r="225" ht="15.75" customHeight="1">
      <c r="A225" s="11" t="str">
        <f>HYPERLINK("https://portal.hubmapconsortium.org/browse/sample/d5b32ec98403c28ae8458b60750ba754", "HBM324.MMJB.695")</f>
        <v>HBM324.MMJB.695</v>
      </c>
      <c r="B225" s="13"/>
      <c r="C225" s="13" t="s">
        <v>413</v>
      </c>
      <c r="D225" s="13" t="s">
        <v>25</v>
      </c>
      <c r="E225" s="7" t="s">
        <v>44</v>
      </c>
      <c r="F225" s="13" t="s">
        <v>427</v>
      </c>
      <c r="G225" s="11" t="b">
        <v>0</v>
      </c>
      <c r="H225" s="11" t="str">
        <f t="shared" ref="H225:H288" si="23">HYPERLINK("https://portal.hubmapconsortium.org/browse/sample/4037bc931cabe8556ee08b0cc44ccf22", "HBM346.FQHN.263")</f>
        <v>HBM346.FQHN.263</v>
      </c>
      <c r="I225" s="13" t="s">
        <v>428</v>
      </c>
      <c r="J225" s="13"/>
      <c r="K225" s="13"/>
      <c r="L225" s="13"/>
      <c r="M225" s="13"/>
      <c r="N225" s="13" t="s">
        <v>429</v>
      </c>
      <c r="O225" s="13" t="s">
        <v>28</v>
      </c>
      <c r="P225" s="13" t="s">
        <v>29</v>
      </c>
      <c r="Q225" s="13" t="s">
        <v>30</v>
      </c>
      <c r="R225" s="11" t="b">
        <v>0</v>
      </c>
      <c r="S225" s="11" t="s">
        <v>31</v>
      </c>
      <c r="T225" s="13" t="s">
        <v>49</v>
      </c>
      <c r="U225" s="13" t="s">
        <v>50</v>
      </c>
      <c r="V225" s="13" t="s">
        <v>51</v>
      </c>
      <c r="W225" s="13" t="s">
        <v>35</v>
      </c>
      <c r="X225" s="14">
        <v>45525.66755422454</v>
      </c>
      <c r="Y225" s="14">
        <v>45525.66755422454</v>
      </c>
      <c r="Z225" s="13"/>
      <c r="AA225" s="13"/>
    </row>
    <row r="226" ht="15.75" customHeight="1">
      <c r="A226" s="11" t="str">
        <f>HYPERLINK("https://portal.hubmapconsortium.org/browse/sample/2c6ba85a6f17793a4e728d555625fb1d", "HBM469.KWQC.669")</f>
        <v>HBM469.KWQC.669</v>
      </c>
      <c r="B226" s="13"/>
      <c r="C226" s="13" t="s">
        <v>413</v>
      </c>
      <c r="D226" s="13" t="s">
        <v>25</v>
      </c>
      <c r="E226" s="7" t="s">
        <v>44</v>
      </c>
      <c r="F226" s="13" t="s">
        <v>427</v>
      </c>
      <c r="G226" s="11" t="b">
        <v>0</v>
      </c>
      <c r="H226" s="11" t="str">
        <f t="shared" si="23"/>
        <v>HBM346.FQHN.263</v>
      </c>
      <c r="I226" s="13" t="s">
        <v>430</v>
      </c>
      <c r="J226" s="13"/>
      <c r="K226" s="13"/>
      <c r="L226" s="13"/>
      <c r="M226" s="13"/>
      <c r="N226" s="13" t="s">
        <v>431</v>
      </c>
      <c r="O226" s="13" t="s">
        <v>28</v>
      </c>
      <c r="P226" s="13" t="s">
        <v>29</v>
      </c>
      <c r="Q226" s="13" t="s">
        <v>30</v>
      </c>
      <c r="R226" s="11" t="b">
        <v>0</v>
      </c>
      <c r="S226" s="11" t="s">
        <v>31</v>
      </c>
      <c r="T226" s="13" t="s">
        <v>49</v>
      </c>
      <c r="U226" s="13" t="s">
        <v>50</v>
      </c>
      <c r="V226" s="13" t="s">
        <v>51</v>
      </c>
      <c r="W226" s="13" t="s">
        <v>35</v>
      </c>
      <c r="X226" s="14">
        <v>45525.66757104167</v>
      </c>
      <c r="Y226" s="14">
        <v>45525.66757104167</v>
      </c>
      <c r="Z226" s="13"/>
      <c r="AA226" s="13"/>
    </row>
    <row r="227" ht="15.75" customHeight="1">
      <c r="A227" s="11" t="str">
        <f>HYPERLINK("https://portal.hubmapconsortium.org/browse/sample/4c559776e641e7554341074547c80623", "HBM854.XMJJ.542")</f>
        <v>HBM854.XMJJ.542</v>
      </c>
      <c r="B227" s="13"/>
      <c r="C227" s="13" t="s">
        <v>413</v>
      </c>
      <c r="D227" s="13" t="s">
        <v>25</v>
      </c>
      <c r="E227" s="7" t="s">
        <v>44</v>
      </c>
      <c r="F227" s="13" t="s">
        <v>427</v>
      </c>
      <c r="G227" s="11" t="b">
        <v>0</v>
      </c>
      <c r="H227" s="11" t="str">
        <f t="shared" si="23"/>
        <v>HBM346.FQHN.263</v>
      </c>
      <c r="I227" s="13" t="s">
        <v>432</v>
      </c>
      <c r="J227" s="13"/>
      <c r="K227" s="13"/>
      <c r="L227" s="13"/>
      <c r="M227" s="13"/>
      <c r="N227" s="13" t="s">
        <v>433</v>
      </c>
      <c r="O227" s="13" t="s">
        <v>28</v>
      </c>
      <c r="P227" s="13" t="s">
        <v>29</v>
      </c>
      <c r="Q227" s="13" t="s">
        <v>30</v>
      </c>
      <c r="R227" s="11" t="b">
        <v>0</v>
      </c>
      <c r="S227" s="11" t="s">
        <v>31</v>
      </c>
      <c r="T227" s="13" t="s">
        <v>49</v>
      </c>
      <c r="U227" s="13" t="s">
        <v>50</v>
      </c>
      <c r="V227" s="13" t="s">
        <v>51</v>
      </c>
      <c r="W227" s="13" t="s">
        <v>35</v>
      </c>
      <c r="X227" s="14">
        <v>45525.66758768519</v>
      </c>
      <c r="Y227" s="14">
        <v>45525.66758768519</v>
      </c>
      <c r="Z227" s="13"/>
      <c r="AA227" s="13"/>
    </row>
    <row r="228" ht="15.75" customHeight="1">
      <c r="A228" s="11" t="str">
        <f>HYPERLINK("https://portal.hubmapconsortium.org/browse/sample/2ae54ae0c1943a1ff08eff5271a7d89f", "HBM792.JCMD.327")</f>
        <v>HBM792.JCMD.327</v>
      </c>
      <c r="B228" s="13"/>
      <c r="C228" s="13" t="s">
        <v>413</v>
      </c>
      <c r="D228" s="13" t="s">
        <v>25</v>
      </c>
      <c r="E228" s="7" t="s">
        <v>44</v>
      </c>
      <c r="F228" s="13" t="s">
        <v>427</v>
      </c>
      <c r="G228" s="11" t="b">
        <v>0</v>
      </c>
      <c r="H228" s="11" t="str">
        <f t="shared" si="23"/>
        <v>HBM346.FQHN.263</v>
      </c>
      <c r="I228" s="13" t="s">
        <v>434</v>
      </c>
      <c r="J228" s="13"/>
      <c r="K228" s="13"/>
      <c r="L228" s="13"/>
      <c r="M228" s="13"/>
      <c r="N228" s="13" t="s">
        <v>435</v>
      </c>
      <c r="O228" s="13" t="s">
        <v>28</v>
      </c>
      <c r="P228" s="13" t="s">
        <v>29</v>
      </c>
      <c r="Q228" s="13" t="s">
        <v>30</v>
      </c>
      <c r="R228" s="11" t="b">
        <v>0</v>
      </c>
      <c r="S228" s="11" t="s">
        <v>31</v>
      </c>
      <c r="T228" s="13" t="s">
        <v>32</v>
      </c>
      <c r="U228" s="13" t="s">
        <v>50</v>
      </c>
      <c r="V228" s="13" t="s">
        <v>51</v>
      </c>
      <c r="W228" s="13" t="s">
        <v>35</v>
      </c>
      <c r="X228" s="14">
        <v>45525.66760450231</v>
      </c>
      <c r="Y228" s="14">
        <v>45525.66760450231</v>
      </c>
      <c r="Z228" s="13"/>
      <c r="AA228" s="13"/>
    </row>
    <row r="229" ht="15.75" customHeight="1">
      <c r="A229" s="11" t="str">
        <f>HYPERLINK("https://portal.hubmapconsortium.org/browse/sample/1db61958d385de38d9aab581e0cd01e6", "HBM949.CTCC.392")</f>
        <v>HBM949.CTCC.392</v>
      </c>
      <c r="B229" s="13"/>
      <c r="C229" s="13" t="s">
        <v>413</v>
      </c>
      <c r="D229" s="13" t="s">
        <v>25</v>
      </c>
      <c r="E229" s="7" t="s">
        <v>44</v>
      </c>
      <c r="F229" s="13" t="s">
        <v>427</v>
      </c>
      <c r="G229" s="11" t="b">
        <v>0</v>
      </c>
      <c r="H229" s="11" t="str">
        <f t="shared" si="23"/>
        <v>HBM346.FQHN.263</v>
      </c>
      <c r="I229" s="13" t="s">
        <v>436</v>
      </c>
      <c r="J229" s="13"/>
      <c r="K229" s="13"/>
      <c r="L229" s="13"/>
      <c r="M229" s="13"/>
      <c r="N229" s="13" t="s">
        <v>437</v>
      </c>
      <c r="O229" s="13" t="s">
        <v>28</v>
      </c>
      <c r="P229" s="13" t="s">
        <v>29</v>
      </c>
      <c r="Q229" s="13" t="s">
        <v>30</v>
      </c>
      <c r="R229" s="11" t="b">
        <v>0</v>
      </c>
      <c r="S229" s="11" t="s">
        <v>31</v>
      </c>
      <c r="T229" s="13" t="s">
        <v>49</v>
      </c>
      <c r="U229" s="13" t="s">
        <v>50</v>
      </c>
      <c r="V229" s="13" t="s">
        <v>51</v>
      </c>
      <c r="W229" s="13" t="s">
        <v>35</v>
      </c>
      <c r="X229" s="14">
        <v>45525.6676225</v>
      </c>
      <c r="Y229" s="14">
        <v>45525.6676225</v>
      </c>
      <c r="Z229" s="13"/>
      <c r="AA229" s="13"/>
    </row>
    <row r="230" ht="15.75" customHeight="1">
      <c r="A230" s="11" t="str">
        <f>HYPERLINK("https://portal.hubmapconsortium.org/browse/sample/770e53b20017456899dbaa0753576835", "HBM879.HVXB.774")</f>
        <v>HBM879.HVXB.774</v>
      </c>
      <c r="B230" s="13"/>
      <c r="C230" s="13" t="s">
        <v>413</v>
      </c>
      <c r="D230" s="13" t="s">
        <v>25</v>
      </c>
      <c r="E230" s="7" t="s">
        <v>44</v>
      </c>
      <c r="F230" s="13" t="s">
        <v>427</v>
      </c>
      <c r="G230" s="11" t="b">
        <v>0</v>
      </c>
      <c r="H230" s="11" t="str">
        <f t="shared" si="23"/>
        <v>HBM346.FQHN.263</v>
      </c>
      <c r="I230" s="13" t="s">
        <v>438</v>
      </c>
      <c r="J230" s="13"/>
      <c r="K230" s="13"/>
      <c r="L230" s="13"/>
      <c r="M230" s="13"/>
      <c r="N230" s="13" t="s">
        <v>439</v>
      </c>
      <c r="O230" s="13" t="s">
        <v>28</v>
      </c>
      <c r="P230" s="13" t="s">
        <v>29</v>
      </c>
      <c r="Q230" s="13" t="s">
        <v>30</v>
      </c>
      <c r="R230" s="11" t="b">
        <v>0</v>
      </c>
      <c r="S230" s="11" t="s">
        <v>31</v>
      </c>
      <c r="T230" s="13" t="s">
        <v>49</v>
      </c>
      <c r="U230" s="13" t="s">
        <v>50</v>
      </c>
      <c r="V230" s="13" t="s">
        <v>51</v>
      </c>
      <c r="W230" s="13" t="s">
        <v>35</v>
      </c>
      <c r="X230" s="14">
        <v>45525.66763961806</v>
      </c>
      <c r="Y230" s="14">
        <v>45525.66763961806</v>
      </c>
      <c r="Z230" s="13"/>
      <c r="AA230" s="13"/>
    </row>
    <row r="231" ht="15.75" customHeight="1">
      <c r="A231" s="11" t="str">
        <f>HYPERLINK("https://portal.hubmapconsortium.org/browse/sample/63877d5227210923f669305b075ce18f", "HBM463.DVZF.295")</f>
        <v>HBM463.DVZF.295</v>
      </c>
      <c r="B231" s="13"/>
      <c r="C231" s="13" t="s">
        <v>413</v>
      </c>
      <c r="D231" s="13" t="s">
        <v>25</v>
      </c>
      <c r="E231" s="7" t="s">
        <v>44</v>
      </c>
      <c r="F231" s="13" t="s">
        <v>427</v>
      </c>
      <c r="G231" s="11" t="b">
        <v>0</v>
      </c>
      <c r="H231" s="11" t="str">
        <f t="shared" si="23"/>
        <v>HBM346.FQHN.263</v>
      </c>
      <c r="I231" s="13" t="s">
        <v>440</v>
      </c>
      <c r="J231" s="13"/>
      <c r="K231" s="13"/>
      <c r="L231" s="13"/>
      <c r="M231" s="13"/>
      <c r="N231" s="13" t="s">
        <v>441</v>
      </c>
      <c r="O231" s="13" t="s">
        <v>28</v>
      </c>
      <c r="P231" s="13" t="s">
        <v>29</v>
      </c>
      <c r="Q231" s="13" t="s">
        <v>30</v>
      </c>
      <c r="R231" s="11" t="b">
        <v>0</v>
      </c>
      <c r="S231" s="11" t="s">
        <v>31</v>
      </c>
      <c r="T231" s="13" t="s">
        <v>49</v>
      </c>
      <c r="U231" s="13" t="s">
        <v>50</v>
      </c>
      <c r="V231" s="13" t="s">
        <v>51</v>
      </c>
      <c r="W231" s="13" t="s">
        <v>35</v>
      </c>
      <c r="X231" s="14">
        <v>45525.66765534722</v>
      </c>
      <c r="Y231" s="14">
        <v>45525.66765534722</v>
      </c>
      <c r="Z231" s="13"/>
      <c r="AA231" s="13"/>
    </row>
    <row r="232" ht="15.75" customHeight="1">
      <c r="A232" s="11" t="str">
        <f>HYPERLINK("https://portal.hubmapconsortium.org/browse/sample/515d9a8afd437943d1d67d2ce0270dfb", "HBM522.NWWN.847")</f>
        <v>HBM522.NWWN.847</v>
      </c>
      <c r="B232" s="13"/>
      <c r="C232" s="13" t="s">
        <v>413</v>
      </c>
      <c r="D232" s="13" t="s">
        <v>25</v>
      </c>
      <c r="E232" s="7" t="s">
        <v>44</v>
      </c>
      <c r="F232" s="13" t="s">
        <v>427</v>
      </c>
      <c r="G232" s="11" t="b">
        <v>0</v>
      </c>
      <c r="H232" s="11" t="str">
        <f t="shared" si="23"/>
        <v>HBM346.FQHN.263</v>
      </c>
      <c r="I232" s="13" t="s">
        <v>442</v>
      </c>
      <c r="J232" s="13"/>
      <c r="K232" s="13"/>
      <c r="L232" s="13"/>
      <c r="M232" s="13"/>
      <c r="N232" s="13" t="s">
        <v>443</v>
      </c>
      <c r="O232" s="13" t="s">
        <v>28</v>
      </c>
      <c r="P232" s="13" t="s">
        <v>29</v>
      </c>
      <c r="Q232" s="13" t="s">
        <v>30</v>
      </c>
      <c r="R232" s="11" t="b">
        <v>0</v>
      </c>
      <c r="S232" s="11" t="s">
        <v>31</v>
      </c>
      <c r="T232" s="13" t="s">
        <v>32</v>
      </c>
      <c r="U232" s="13" t="s">
        <v>50</v>
      </c>
      <c r="V232" s="13" t="s">
        <v>51</v>
      </c>
      <c r="W232" s="13" t="s">
        <v>35</v>
      </c>
      <c r="X232" s="14">
        <v>45525.66767363426</v>
      </c>
      <c r="Y232" s="14">
        <v>45525.66767363426</v>
      </c>
      <c r="Z232" s="13"/>
      <c r="AA232" s="13"/>
    </row>
    <row r="233" ht="15.75" customHeight="1">
      <c r="A233" s="11" t="str">
        <f>HYPERLINK("https://portal.hubmapconsortium.org/browse/sample/276d13903906ddbf3d5a006ed211153e", "HBM529.QGLF.954")</f>
        <v>HBM529.QGLF.954</v>
      </c>
      <c r="B233" s="13"/>
      <c r="C233" s="13" t="s">
        <v>413</v>
      </c>
      <c r="D233" s="13" t="s">
        <v>25</v>
      </c>
      <c r="E233" s="7" t="s">
        <v>44</v>
      </c>
      <c r="F233" s="13" t="s">
        <v>427</v>
      </c>
      <c r="G233" s="11" t="b">
        <v>0</v>
      </c>
      <c r="H233" s="11" t="str">
        <f t="shared" si="23"/>
        <v>HBM346.FQHN.263</v>
      </c>
      <c r="I233" s="13" t="s">
        <v>444</v>
      </c>
      <c r="J233" s="13"/>
      <c r="K233" s="13"/>
      <c r="L233" s="13"/>
      <c r="M233" s="13"/>
      <c r="N233" s="13" t="s">
        <v>445</v>
      </c>
      <c r="O233" s="13" t="s">
        <v>28</v>
      </c>
      <c r="P233" s="13" t="s">
        <v>29</v>
      </c>
      <c r="Q233" s="13" t="s">
        <v>30</v>
      </c>
      <c r="R233" s="11" t="b">
        <v>0</v>
      </c>
      <c r="S233" s="11" t="s">
        <v>31</v>
      </c>
      <c r="T233" s="13" t="s">
        <v>49</v>
      </c>
      <c r="U233" s="13" t="s">
        <v>50</v>
      </c>
      <c r="V233" s="13" t="s">
        <v>51</v>
      </c>
      <c r="W233" s="13" t="s">
        <v>35</v>
      </c>
      <c r="X233" s="14">
        <v>45525.66769106482</v>
      </c>
      <c r="Y233" s="14">
        <v>45525.66769106482</v>
      </c>
      <c r="Z233" s="13"/>
      <c r="AA233" s="13"/>
    </row>
    <row r="234" ht="15.75" customHeight="1">
      <c r="A234" s="11" t="str">
        <f>HYPERLINK("https://portal.hubmapconsortium.org/browse/sample/52156d2080936607dccca597c6ce4f39", "HBM497.HQGV.439")</f>
        <v>HBM497.HQGV.439</v>
      </c>
      <c r="B234" s="13"/>
      <c r="C234" s="13" t="s">
        <v>413</v>
      </c>
      <c r="D234" s="13" t="s">
        <v>25</v>
      </c>
      <c r="E234" s="7" t="s">
        <v>44</v>
      </c>
      <c r="F234" s="13" t="s">
        <v>427</v>
      </c>
      <c r="G234" s="11" t="b">
        <v>0</v>
      </c>
      <c r="H234" s="11" t="str">
        <f t="shared" si="23"/>
        <v>HBM346.FQHN.263</v>
      </c>
      <c r="I234" s="13" t="s">
        <v>446</v>
      </c>
      <c r="J234" s="13"/>
      <c r="K234" s="13"/>
      <c r="L234" s="13"/>
      <c r="M234" s="13"/>
      <c r="N234" s="13" t="s">
        <v>447</v>
      </c>
      <c r="O234" s="13" t="s">
        <v>28</v>
      </c>
      <c r="P234" s="13" t="s">
        <v>29</v>
      </c>
      <c r="Q234" s="13" t="s">
        <v>30</v>
      </c>
      <c r="R234" s="11" t="b">
        <v>0</v>
      </c>
      <c r="S234" s="11" t="s">
        <v>31</v>
      </c>
      <c r="T234" s="13" t="s">
        <v>49</v>
      </c>
      <c r="U234" s="13" t="s">
        <v>50</v>
      </c>
      <c r="V234" s="13" t="s">
        <v>51</v>
      </c>
      <c r="W234" s="13" t="s">
        <v>35</v>
      </c>
      <c r="X234" s="14">
        <v>45525.66770842593</v>
      </c>
      <c r="Y234" s="14">
        <v>45525.66770842593</v>
      </c>
      <c r="Z234" s="13"/>
      <c r="AA234" s="13"/>
    </row>
    <row r="235" ht="15.75" customHeight="1">
      <c r="A235" s="11" t="str">
        <f>HYPERLINK("https://portal.hubmapconsortium.org/browse/sample/33f67a7950b4dd167c69576b5b5d5ab1", "HBM496.TWZT.424")</f>
        <v>HBM496.TWZT.424</v>
      </c>
      <c r="B235" s="13"/>
      <c r="C235" s="13" t="s">
        <v>413</v>
      </c>
      <c r="D235" s="13" t="s">
        <v>25</v>
      </c>
      <c r="E235" s="7" t="s">
        <v>44</v>
      </c>
      <c r="F235" s="13" t="s">
        <v>427</v>
      </c>
      <c r="G235" s="11" t="b">
        <v>0</v>
      </c>
      <c r="H235" s="11" t="str">
        <f t="shared" si="23"/>
        <v>HBM346.FQHN.263</v>
      </c>
      <c r="I235" s="13" t="s">
        <v>448</v>
      </c>
      <c r="J235" s="13"/>
      <c r="K235" s="13"/>
      <c r="L235" s="13"/>
      <c r="M235" s="13"/>
      <c r="N235" s="13" t="s">
        <v>449</v>
      </c>
      <c r="O235" s="13" t="s">
        <v>28</v>
      </c>
      <c r="P235" s="13" t="s">
        <v>29</v>
      </c>
      <c r="Q235" s="13" t="s">
        <v>30</v>
      </c>
      <c r="R235" s="11" t="b">
        <v>0</v>
      </c>
      <c r="S235" s="11" t="s">
        <v>31</v>
      </c>
      <c r="T235" s="13" t="s">
        <v>49</v>
      </c>
      <c r="U235" s="13" t="s">
        <v>50</v>
      </c>
      <c r="V235" s="13" t="s">
        <v>51</v>
      </c>
      <c r="W235" s="13" t="s">
        <v>35</v>
      </c>
      <c r="X235" s="14">
        <v>45525.66772548611</v>
      </c>
      <c r="Y235" s="14">
        <v>45525.66772548611</v>
      </c>
      <c r="Z235" s="13"/>
      <c r="AA235" s="13"/>
    </row>
    <row r="236" ht="15.75" customHeight="1">
      <c r="A236" s="11" t="str">
        <f>HYPERLINK("https://portal.hubmapconsortium.org/browse/sample/4b5e20e18628d76b892c2bf2177df8fc", "HBM776.CQTS.982")</f>
        <v>HBM776.CQTS.982</v>
      </c>
      <c r="B236" s="13"/>
      <c r="C236" s="13" t="s">
        <v>413</v>
      </c>
      <c r="D236" s="13" t="s">
        <v>25</v>
      </c>
      <c r="E236" s="7" t="s">
        <v>44</v>
      </c>
      <c r="F236" s="13" t="s">
        <v>427</v>
      </c>
      <c r="G236" s="11" t="b">
        <v>0</v>
      </c>
      <c r="H236" s="11" t="str">
        <f t="shared" si="23"/>
        <v>HBM346.FQHN.263</v>
      </c>
      <c r="I236" s="13" t="s">
        <v>450</v>
      </c>
      <c r="J236" s="13"/>
      <c r="K236" s="13"/>
      <c r="L236" s="13"/>
      <c r="M236" s="13"/>
      <c r="N236" s="13" t="s">
        <v>451</v>
      </c>
      <c r="O236" s="13" t="s">
        <v>28</v>
      </c>
      <c r="P236" s="13" t="s">
        <v>29</v>
      </c>
      <c r="Q236" s="13" t="s">
        <v>30</v>
      </c>
      <c r="R236" s="11" t="b">
        <v>0</v>
      </c>
      <c r="S236" s="11" t="s">
        <v>31</v>
      </c>
      <c r="T236" s="13" t="s">
        <v>32</v>
      </c>
      <c r="U236" s="13" t="s">
        <v>50</v>
      </c>
      <c r="V236" s="13" t="s">
        <v>51</v>
      </c>
      <c r="W236" s="13" t="s">
        <v>35</v>
      </c>
      <c r="X236" s="14">
        <v>45525.66774194445</v>
      </c>
      <c r="Y236" s="14">
        <v>45525.66774194445</v>
      </c>
      <c r="Z236" s="13"/>
      <c r="AA236" s="13"/>
    </row>
    <row r="237" ht="15.75" customHeight="1">
      <c r="A237" s="11" t="str">
        <f>HYPERLINK("https://portal.hubmapconsortium.org/browse/sample/1c41dd5e0bdd694616cc6f148528206a", "HBM498.HNJS.266")</f>
        <v>HBM498.HNJS.266</v>
      </c>
      <c r="B237" s="13"/>
      <c r="C237" s="13" t="s">
        <v>413</v>
      </c>
      <c r="D237" s="13" t="s">
        <v>25</v>
      </c>
      <c r="E237" s="7" t="s">
        <v>44</v>
      </c>
      <c r="F237" s="13" t="s">
        <v>427</v>
      </c>
      <c r="G237" s="11" t="b">
        <v>0</v>
      </c>
      <c r="H237" s="11" t="str">
        <f t="shared" si="23"/>
        <v>HBM346.FQHN.263</v>
      </c>
      <c r="I237" s="13" t="s">
        <v>452</v>
      </c>
      <c r="J237" s="13"/>
      <c r="K237" s="13"/>
      <c r="L237" s="13"/>
      <c r="M237" s="13"/>
      <c r="N237" s="13" t="s">
        <v>453</v>
      </c>
      <c r="O237" s="13" t="s">
        <v>28</v>
      </c>
      <c r="P237" s="13" t="s">
        <v>29</v>
      </c>
      <c r="Q237" s="13" t="s">
        <v>30</v>
      </c>
      <c r="R237" s="11" t="b">
        <v>0</v>
      </c>
      <c r="S237" s="11" t="s">
        <v>31</v>
      </c>
      <c r="T237" s="13" t="s">
        <v>49</v>
      </c>
      <c r="U237" s="13" t="s">
        <v>50</v>
      </c>
      <c r="V237" s="13" t="s">
        <v>51</v>
      </c>
      <c r="W237" s="13" t="s">
        <v>35</v>
      </c>
      <c r="X237" s="14">
        <v>45525.66775934028</v>
      </c>
      <c r="Y237" s="14">
        <v>45525.66775934028</v>
      </c>
      <c r="Z237" s="13"/>
      <c r="AA237" s="13"/>
    </row>
    <row r="238" ht="15.75" customHeight="1">
      <c r="A238" s="11" t="str">
        <f>HYPERLINK("https://portal.hubmapconsortium.org/browse/sample/f2c5433adf15988fe91522f104cde1e4", "HBM777.BNFR.882")</f>
        <v>HBM777.BNFR.882</v>
      </c>
      <c r="B238" s="13"/>
      <c r="C238" s="13" t="s">
        <v>413</v>
      </c>
      <c r="D238" s="13" t="s">
        <v>25</v>
      </c>
      <c r="E238" s="7" t="s">
        <v>44</v>
      </c>
      <c r="F238" s="13" t="s">
        <v>427</v>
      </c>
      <c r="G238" s="11" t="b">
        <v>0</v>
      </c>
      <c r="H238" s="11" t="str">
        <f t="shared" si="23"/>
        <v>HBM346.FQHN.263</v>
      </c>
      <c r="I238" s="13" t="s">
        <v>454</v>
      </c>
      <c r="J238" s="13"/>
      <c r="K238" s="13"/>
      <c r="L238" s="13"/>
      <c r="M238" s="13"/>
      <c r="N238" s="13" t="s">
        <v>455</v>
      </c>
      <c r="O238" s="13" t="s">
        <v>28</v>
      </c>
      <c r="P238" s="13" t="s">
        <v>29</v>
      </c>
      <c r="Q238" s="13" t="s">
        <v>30</v>
      </c>
      <c r="R238" s="11" t="b">
        <v>0</v>
      </c>
      <c r="S238" s="11" t="s">
        <v>31</v>
      </c>
      <c r="T238" s="13" t="s">
        <v>49</v>
      </c>
      <c r="U238" s="13" t="s">
        <v>50</v>
      </c>
      <c r="V238" s="13" t="s">
        <v>51</v>
      </c>
      <c r="W238" s="13" t="s">
        <v>35</v>
      </c>
      <c r="X238" s="14">
        <v>45525.66777576389</v>
      </c>
      <c r="Y238" s="14">
        <v>45525.66777576389</v>
      </c>
      <c r="Z238" s="13"/>
      <c r="AA238" s="13"/>
    </row>
    <row r="239" ht="15.75" customHeight="1">
      <c r="A239" s="11" t="str">
        <f>HYPERLINK("https://portal.hubmapconsortium.org/browse/sample/16ef974b199ec4d373602e054fc11941", "HBM865.NVWK.885")</f>
        <v>HBM865.NVWK.885</v>
      </c>
      <c r="B239" s="13"/>
      <c r="C239" s="13" t="s">
        <v>413</v>
      </c>
      <c r="D239" s="13" t="s">
        <v>25</v>
      </c>
      <c r="E239" s="7" t="s">
        <v>44</v>
      </c>
      <c r="F239" s="13" t="s">
        <v>427</v>
      </c>
      <c r="G239" s="11" t="b">
        <v>0</v>
      </c>
      <c r="H239" s="11" t="str">
        <f t="shared" si="23"/>
        <v>HBM346.FQHN.263</v>
      </c>
      <c r="I239" s="13" t="s">
        <v>456</v>
      </c>
      <c r="J239" s="13"/>
      <c r="K239" s="13"/>
      <c r="L239" s="13"/>
      <c r="M239" s="13"/>
      <c r="N239" s="13" t="s">
        <v>457</v>
      </c>
      <c r="O239" s="13" t="s">
        <v>28</v>
      </c>
      <c r="P239" s="13" t="s">
        <v>29</v>
      </c>
      <c r="Q239" s="13" t="s">
        <v>30</v>
      </c>
      <c r="R239" s="11" t="b">
        <v>0</v>
      </c>
      <c r="S239" s="11" t="s">
        <v>31</v>
      </c>
      <c r="T239" s="13" t="s">
        <v>49</v>
      </c>
      <c r="U239" s="13" t="s">
        <v>50</v>
      </c>
      <c r="V239" s="13" t="s">
        <v>51</v>
      </c>
      <c r="W239" s="13" t="s">
        <v>35</v>
      </c>
      <c r="X239" s="14">
        <v>45525.66779236111</v>
      </c>
      <c r="Y239" s="14">
        <v>45525.66779236111</v>
      </c>
      <c r="Z239" s="13"/>
      <c r="AA239" s="13"/>
    </row>
    <row r="240" ht="15.75" customHeight="1">
      <c r="A240" s="11" t="str">
        <f>HYPERLINK("https://portal.hubmapconsortium.org/browse/sample/c90631caffd614d0e0368d3f14a6bb83", "HBM564.HGNS.436")</f>
        <v>HBM564.HGNS.436</v>
      </c>
      <c r="B240" s="13"/>
      <c r="C240" s="13" t="s">
        <v>413</v>
      </c>
      <c r="D240" s="13" t="s">
        <v>25</v>
      </c>
      <c r="E240" s="7" t="s">
        <v>44</v>
      </c>
      <c r="F240" s="13" t="s">
        <v>427</v>
      </c>
      <c r="G240" s="11" t="b">
        <v>0</v>
      </c>
      <c r="H240" s="11" t="str">
        <f t="shared" si="23"/>
        <v>HBM346.FQHN.263</v>
      </c>
      <c r="I240" s="13" t="s">
        <v>458</v>
      </c>
      <c r="J240" s="13"/>
      <c r="K240" s="13"/>
      <c r="L240" s="13"/>
      <c r="M240" s="13"/>
      <c r="N240" s="13" t="s">
        <v>459</v>
      </c>
      <c r="O240" s="13" t="s">
        <v>28</v>
      </c>
      <c r="P240" s="13" t="s">
        <v>29</v>
      </c>
      <c r="Q240" s="13" t="s">
        <v>30</v>
      </c>
      <c r="R240" s="11" t="b">
        <v>0</v>
      </c>
      <c r="S240" s="11" t="s">
        <v>31</v>
      </c>
      <c r="T240" s="13" t="s">
        <v>32</v>
      </c>
      <c r="U240" s="13" t="s">
        <v>50</v>
      </c>
      <c r="V240" s="13" t="s">
        <v>51</v>
      </c>
      <c r="W240" s="13" t="s">
        <v>35</v>
      </c>
      <c r="X240" s="14">
        <v>45525.66780844908</v>
      </c>
      <c r="Y240" s="14">
        <v>45525.66780844908</v>
      </c>
      <c r="Z240" s="13"/>
      <c r="AA240" s="13"/>
    </row>
    <row r="241" ht="15.75" customHeight="1">
      <c r="A241" s="11" t="str">
        <f>HYPERLINK("https://portal.hubmapconsortium.org/browse/sample/99bac08c034c98314505652c4130802e", "HBM669.WSDL.445")</f>
        <v>HBM669.WSDL.445</v>
      </c>
      <c r="B241" s="13"/>
      <c r="C241" s="13" t="s">
        <v>413</v>
      </c>
      <c r="D241" s="13" t="s">
        <v>25</v>
      </c>
      <c r="E241" s="7" t="s">
        <v>44</v>
      </c>
      <c r="F241" s="13" t="s">
        <v>427</v>
      </c>
      <c r="G241" s="11" t="b">
        <v>0</v>
      </c>
      <c r="H241" s="11" t="str">
        <f t="shared" si="23"/>
        <v>HBM346.FQHN.263</v>
      </c>
      <c r="I241" s="13" t="s">
        <v>460</v>
      </c>
      <c r="J241" s="13"/>
      <c r="K241" s="13"/>
      <c r="L241" s="13"/>
      <c r="M241" s="13"/>
      <c r="N241" s="13" t="s">
        <v>429</v>
      </c>
      <c r="O241" s="13" t="s">
        <v>28</v>
      </c>
      <c r="P241" s="13" t="s">
        <v>29</v>
      </c>
      <c r="Q241" s="13" t="s">
        <v>30</v>
      </c>
      <c r="R241" s="11" t="b">
        <v>0</v>
      </c>
      <c r="S241" s="11" t="s">
        <v>31</v>
      </c>
      <c r="T241" s="13" t="s">
        <v>49</v>
      </c>
      <c r="U241" s="13" t="s">
        <v>50</v>
      </c>
      <c r="V241" s="13" t="s">
        <v>51</v>
      </c>
      <c r="W241" s="13" t="s">
        <v>35</v>
      </c>
      <c r="X241" s="14">
        <v>45525.66782587963</v>
      </c>
      <c r="Y241" s="14">
        <v>45525.66782587963</v>
      </c>
      <c r="Z241" s="13"/>
      <c r="AA241" s="13"/>
    </row>
    <row r="242" ht="15.75" customHeight="1">
      <c r="A242" s="11" t="str">
        <f>HYPERLINK("https://portal.hubmapconsortium.org/browse/sample/a64cfb0a378533e62376652350d955fa", "HBM587.LSLQ.947")</f>
        <v>HBM587.LSLQ.947</v>
      </c>
      <c r="B242" s="13"/>
      <c r="C242" s="13" t="s">
        <v>413</v>
      </c>
      <c r="D242" s="13" t="s">
        <v>25</v>
      </c>
      <c r="E242" s="7" t="s">
        <v>44</v>
      </c>
      <c r="F242" s="13" t="s">
        <v>427</v>
      </c>
      <c r="G242" s="11" t="b">
        <v>0</v>
      </c>
      <c r="H242" s="11" t="str">
        <f t="shared" si="23"/>
        <v>HBM346.FQHN.263</v>
      </c>
      <c r="I242" s="13" t="s">
        <v>461</v>
      </c>
      <c r="J242" s="13"/>
      <c r="K242" s="13"/>
      <c r="L242" s="13"/>
      <c r="M242" s="13"/>
      <c r="N242" s="13" t="s">
        <v>431</v>
      </c>
      <c r="O242" s="13" t="s">
        <v>28</v>
      </c>
      <c r="P242" s="13" t="s">
        <v>29</v>
      </c>
      <c r="Q242" s="13" t="s">
        <v>30</v>
      </c>
      <c r="R242" s="11" t="b">
        <v>0</v>
      </c>
      <c r="S242" s="11" t="s">
        <v>31</v>
      </c>
      <c r="T242" s="13" t="s">
        <v>49</v>
      </c>
      <c r="U242" s="13" t="s">
        <v>50</v>
      </c>
      <c r="V242" s="13" t="s">
        <v>51</v>
      </c>
      <c r="W242" s="13" t="s">
        <v>35</v>
      </c>
      <c r="X242" s="14">
        <v>45525.66784243056</v>
      </c>
      <c r="Y242" s="14">
        <v>45525.66784243056</v>
      </c>
      <c r="Z242" s="13"/>
      <c r="AA242" s="13"/>
    </row>
    <row r="243" ht="15.75" customHeight="1">
      <c r="A243" s="11" t="str">
        <f>HYPERLINK("https://portal.hubmapconsortium.org/browse/sample/be5d35cd0338d237c2ee904705d65b03", "HBM763.XPVG.257")</f>
        <v>HBM763.XPVG.257</v>
      </c>
      <c r="B243" s="13"/>
      <c r="C243" s="13" t="s">
        <v>413</v>
      </c>
      <c r="D243" s="13" t="s">
        <v>25</v>
      </c>
      <c r="E243" s="7" t="s">
        <v>44</v>
      </c>
      <c r="F243" s="13" t="s">
        <v>427</v>
      </c>
      <c r="G243" s="11" t="b">
        <v>0</v>
      </c>
      <c r="H243" s="11" t="str">
        <f t="shared" si="23"/>
        <v>HBM346.FQHN.263</v>
      </c>
      <c r="I243" s="13" t="s">
        <v>462</v>
      </c>
      <c r="J243" s="13"/>
      <c r="K243" s="13"/>
      <c r="L243" s="13"/>
      <c r="M243" s="13"/>
      <c r="N243" s="13" t="s">
        <v>433</v>
      </c>
      <c r="O243" s="13" t="s">
        <v>28</v>
      </c>
      <c r="P243" s="13" t="s">
        <v>29</v>
      </c>
      <c r="Q243" s="13" t="s">
        <v>30</v>
      </c>
      <c r="R243" s="11" t="b">
        <v>0</v>
      </c>
      <c r="S243" s="11" t="s">
        <v>31</v>
      </c>
      <c r="T243" s="13" t="s">
        <v>49</v>
      </c>
      <c r="U243" s="13" t="s">
        <v>50</v>
      </c>
      <c r="V243" s="13" t="s">
        <v>51</v>
      </c>
      <c r="W243" s="13" t="s">
        <v>35</v>
      </c>
      <c r="X243" s="14">
        <v>45525.6678590162</v>
      </c>
      <c r="Y243" s="14">
        <v>45525.6678590162</v>
      </c>
      <c r="Z243" s="13"/>
      <c r="AA243" s="13"/>
    </row>
    <row r="244" ht="15.75" customHeight="1">
      <c r="A244" s="11" t="str">
        <f>HYPERLINK("https://portal.hubmapconsortium.org/browse/sample/3e21f93e7c978923502e077fdc4a1c50", "HBM597.ZSCC.247")</f>
        <v>HBM597.ZSCC.247</v>
      </c>
      <c r="B244" s="13"/>
      <c r="C244" s="13" t="s">
        <v>413</v>
      </c>
      <c r="D244" s="13" t="s">
        <v>25</v>
      </c>
      <c r="E244" s="7" t="s">
        <v>44</v>
      </c>
      <c r="F244" s="13" t="s">
        <v>427</v>
      </c>
      <c r="G244" s="11" t="b">
        <v>0</v>
      </c>
      <c r="H244" s="11" t="str">
        <f t="shared" si="23"/>
        <v>HBM346.FQHN.263</v>
      </c>
      <c r="I244" s="13" t="s">
        <v>463</v>
      </c>
      <c r="J244" s="13"/>
      <c r="K244" s="13"/>
      <c r="L244" s="13"/>
      <c r="M244" s="13"/>
      <c r="N244" s="13" t="s">
        <v>435</v>
      </c>
      <c r="O244" s="13" t="s">
        <v>28</v>
      </c>
      <c r="P244" s="13" t="s">
        <v>29</v>
      </c>
      <c r="Q244" s="13" t="s">
        <v>30</v>
      </c>
      <c r="R244" s="11" t="b">
        <v>0</v>
      </c>
      <c r="S244" s="11" t="s">
        <v>31</v>
      </c>
      <c r="T244" s="13" t="s">
        <v>32</v>
      </c>
      <c r="U244" s="13" t="s">
        <v>50</v>
      </c>
      <c r="V244" s="13" t="s">
        <v>51</v>
      </c>
      <c r="W244" s="13" t="s">
        <v>35</v>
      </c>
      <c r="X244" s="14">
        <v>45525.66787628472</v>
      </c>
      <c r="Y244" s="14">
        <v>45525.66787628472</v>
      </c>
      <c r="Z244" s="13"/>
      <c r="AA244" s="13"/>
    </row>
    <row r="245" ht="15.75" customHeight="1">
      <c r="A245" s="11" t="str">
        <f>HYPERLINK("https://portal.hubmapconsortium.org/browse/sample/7349bda1038639af79fe20a3333d437c", "HBM425.TWKC.979")</f>
        <v>HBM425.TWKC.979</v>
      </c>
      <c r="B245" s="13"/>
      <c r="C245" s="13" t="s">
        <v>413</v>
      </c>
      <c r="D245" s="13" t="s">
        <v>25</v>
      </c>
      <c r="E245" s="7" t="s">
        <v>44</v>
      </c>
      <c r="F245" s="13" t="s">
        <v>427</v>
      </c>
      <c r="G245" s="11" t="b">
        <v>0</v>
      </c>
      <c r="H245" s="11" t="str">
        <f t="shared" si="23"/>
        <v>HBM346.FQHN.263</v>
      </c>
      <c r="I245" s="13" t="s">
        <v>464</v>
      </c>
      <c r="J245" s="13"/>
      <c r="K245" s="13"/>
      <c r="L245" s="13"/>
      <c r="M245" s="13"/>
      <c r="N245" s="13" t="s">
        <v>437</v>
      </c>
      <c r="O245" s="13" t="s">
        <v>28</v>
      </c>
      <c r="P245" s="13" t="s">
        <v>29</v>
      </c>
      <c r="Q245" s="13" t="s">
        <v>30</v>
      </c>
      <c r="R245" s="11" t="b">
        <v>0</v>
      </c>
      <c r="S245" s="11" t="s">
        <v>31</v>
      </c>
      <c r="T245" s="13" t="s">
        <v>49</v>
      </c>
      <c r="U245" s="13" t="s">
        <v>50</v>
      </c>
      <c r="V245" s="13" t="s">
        <v>51</v>
      </c>
      <c r="W245" s="13" t="s">
        <v>35</v>
      </c>
      <c r="X245" s="14">
        <v>45525.66789392361</v>
      </c>
      <c r="Y245" s="14">
        <v>45525.66789392361</v>
      </c>
      <c r="Z245" s="13"/>
      <c r="AA245" s="13"/>
    </row>
    <row r="246" ht="15.75" customHeight="1">
      <c r="A246" s="11" t="str">
        <f>HYPERLINK("https://portal.hubmapconsortium.org/browse/sample/606cfe87284e90b4a8a06faaa3d421f7", "HBM697.SCGB.562")</f>
        <v>HBM697.SCGB.562</v>
      </c>
      <c r="B246" s="13"/>
      <c r="C246" s="13" t="s">
        <v>413</v>
      </c>
      <c r="D246" s="13" t="s">
        <v>25</v>
      </c>
      <c r="E246" s="7" t="s">
        <v>44</v>
      </c>
      <c r="F246" s="13" t="s">
        <v>427</v>
      </c>
      <c r="G246" s="11" t="b">
        <v>0</v>
      </c>
      <c r="H246" s="11" t="str">
        <f t="shared" si="23"/>
        <v>HBM346.FQHN.263</v>
      </c>
      <c r="I246" s="13" t="s">
        <v>465</v>
      </c>
      <c r="J246" s="13"/>
      <c r="K246" s="13"/>
      <c r="L246" s="13"/>
      <c r="M246" s="13"/>
      <c r="N246" s="13" t="s">
        <v>439</v>
      </c>
      <c r="O246" s="13" t="s">
        <v>28</v>
      </c>
      <c r="P246" s="13" t="s">
        <v>29</v>
      </c>
      <c r="Q246" s="13" t="s">
        <v>30</v>
      </c>
      <c r="R246" s="11" t="b">
        <v>0</v>
      </c>
      <c r="S246" s="11" t="s">
        <v>31</v>
      </c>
      <c r="T246" s="13" t="s">
        <v>49</v>
      </c>
      <c r="U246" s="13" t="s">
        <v>50</v>
      </c>
      <c r="V246" s="13" t="s">
        <v>51</v>
      </c>
      <c r="W246" s="13" t="s">
        <v>35</v>
      </c>
      <c r="X246" s="14">
        <v>45525.66791141203</v>
      </c>
      <c r="Y246" s="14">
        <v>45525.66791141203</v>
      </c>
      <c r="Z246" s="13"/>
      <c r="AA246" s="13"/>
    </row>
    <row r="247" ht="15.75" customHeight="1">
      <c r="A247" s="11" t="str">
        <f>HYPERLINK("https://portal.hubmapconsortium.org/browse/sample/6e8bf8ad308142acd0a37aa25b91eb0b", "HBM745.FLGF.644")</f>
        <v>HBM745.FLGF.644</v>
      </c>
      <c r="B247" s="13"/>
      <c r="C247" s="13" t="s">
        <v>413</v>
      </c>
      <c r="D247" s="13" t="s">
        <v>25</v>
      </c>
      <c r="E247" s="7" t="s">
        <v>44</v>
      </c>
      <c r="F247" s="13" t="s">
        <v>427</v>
      </c>
      <c r="G247" s="11" t="b">
        <v>0</v>
      </c>
      <c r="H247" s="11" t="str">
        <f t="shared" si="23"/>
        <v>HBM346.FQHN.263</v>
      </c>
      <c r="I247" s="13" t="s">
        <v>466</v>
      </c>
      <c r="J247" s="13"/>
      <c r="K247" s="13"/>
      <c r="L247" s="13"/>
      <c r="M247" s="13"/>
      <c r="N247" s="13" t="s">
        <v>441</v>
      </c>
      <c r="O247" s="13" t="s">
        <v>28</v>
      </c>
      <c r="P247" s="13" t="s">
        <v>29</v>
      </c>
      <c r="Q247" s="13" t="s">
        <v>30</v>
      </c>
      <c r="R247" s="11" t="b">
        <v>0</v>
      </c>
      <c r="S247" s="11" t="s">
        <v>31</v>
      </c>
      <c r="T247" s="13" t="s">
        <v>49</v>
      </c>
      <c r="U247" s="13" t="s">
        <v>50</v>
      </c>
      <c r="V247" s="13" t="s">
        <v>51</v>
      </c>
      <c r="W247" s="13" t="s">
        <v>35</v>
      </c>
      <c r="X247" s="14">
        <v>45525.66792880787</v>
      </c>
      <c r="Y247" s="14">
        <v>45525.66792880787</v>
      </c>
      <c r="Z247" s="13"/>
      <c r="AA247" s="13"/>
    </row>
    <row r="248" ht="15.75" customHeight="1">
      <c r="A248" s="11" t="str">
        <f>HYPERLINK("https://portal.hubmapconsortium.org/browse/sample/b01f1885faf3607a7e79bc90e1455184", "HBM828.DQBM.232")</f>
        <v>HBM828.DQBM.232</v>
      </c>
      <c r="B248" s="13"/>
      <c r="C248" s="13" t="s">
        <v>413</v>
      </c>
      <c r="D248" s="13" t="s">
        <v>25</v>
      </c>
      <c r="E248" s="7" t="s">
        <v>44</v>
      </c>
      <c r="F248" s="13" t="s">
        <v>427</v>
      </c>
      <c r="G248" s="11" t="b">
        <v>0</v>
      </c>
      <c r="H248" s="11" t="str">
        <f t="shared" si="23"/>
        <v>HBM346.FQHN.263</v>
      </c>
      <c r="I248" s="13" t="s">
        <v>467</v>
      </c>
      <c r="J248" s="13"/>
      <c r="K248" s="13"/>
      <c r="L248" s="13"/>
      <c r="M248" s="13"/>
      <c r="N248" s="13" t="s">
        <v>443</v>
      </c>
      <c r="O248" s="13" t="s">
        <v>28</v>
      </c>
      <c r="P248" s="13" t="s">
        <v>29</v>
      </c>
      <c r="Q248" s="13" t="s">
        <v>30</v>
      </c>
      <c r="R248" s="11" t="b">
        <v>0</v>
      </c>
      <c r="S248" s="11" t="s">
        <v>31</v>
      </c>
      <c r="T248" s="13" t="s">
        <v>32</v>
      </c>
      <c r="U248" s="13" t="s">
        <v>50</v>
      </c>
      <c r="V248" s="13" t="s">
        <v>51</v>
      </c>
      <c r="W248" s="13" t="s">
        <v>35</v>
      </c>
      <c r="X248" s="14">
        <v>45525.66794512732</v>
      </c>
      <c r="Y248" s="14">
        <v>45525.66794512732</v>
      </c>
      <c r="Z248" s="13"/>
      <c r="AA248" s="13"/>
    </row>
    <row r="249" ht="15.75" customHeight="1">
      <c r="A249" s="11" t="str">
        <f>HYPERLINK("https://portal.hubmapconsortium.org/browse/sample/ccea03cd5ab03e4408d2b8b88f2afddb", "HBM968.BQXL.338")</f>
        <v>HBM968.BQXL.338</v>
      </c>
      <c r="B249" s="13"/>
      <c r="C249" s="13" t="s">
        <v>413</v>
      </c>
      <c r="D249" s="13" t="s">
        <v>25</v>
      </c>
      <c r="E249" s="7" t="s">
        <v>44</v>
      </c>
      <c r="F249" s="13" t="s">
        <v>427</v>
      </c>
      <c r="G249" s="11" t="b">
        <v>0</v>
      </c>
      <c r="H249" s="11" t="str">
        <f t="shared" si="23"/>
        <v>HBM346.FQHN.263</v>
      </c>
      <c r="I249" s="13" t="s">
        <v>468</v>
      </c>
      <c r="J249" s="13"/>
      <c r="K249" s="13"/>
      <c r="L249" s="13"/>
      <c r="M249" s="13"/>
      <c r="N249" s="13" t="s">
        <v>445</v>
      </c>
      <c r="O249" s="13" t="s">
        <v>28</v>
      </c>
      <c r="P249" s="13" t="s">
        <v>29</v>
      </c>
      <c r="Q249" s="13" t="s">
        <v>30</v>
      </c>
      <c r="R249" s="11" t="b">
        <v>0</v>
      </c>
      <c r="S249" s="11" t="s">
        <v>31</v>
      </c>
      <c r="T249" s="13" t="s">
        <v>49</v>
      </c>
      <c r="U249" s="13" t="s">
        <v>50</v>
      </c>
      <c r="V249" s="13" t="s">
        <v>51</v>
      </c>
      <c r="W249" s="13" t="s">
        <v>35</v>
      </c>
      <c r="X249" s="14">
        <v>45525.66796771991</v>
      </c>
      <c r="Y249" s="14">
        <v>45525.66796771991</v>
      </c>
      <c r="Z249" s="13"/>
      <c r="AA249" s="13"/>
    </row>
    <row r="250" ht="15.75" customHeight="1">
      <c r="A250" s="11" t="str">
        <f>HYPERLINK("https://portal.hubmapconsortium.org/browse/sample/5b351191addc0a6446631c9fecf91a61", "HBM473.TJXJ.772")</f>
        <v>HBM473.TJXJ.772</v>
      </c>
      <c r="B250" s="13"/>
      <c r="C250" s="13" t="s">
        <v>413</v>
      </c>
      <c r="D250" s="13" t="s">
        <v>25</v>
      </c>
      <c r="E250" s="7" t="s">
        <v>44</v>
      </c>
      <c r="F250" s="13" t="s">
        <v>427</v>
      </c>
      <c r="G250" s="11" t="b">
        <v>0</v>
      </c>
      <c r="H250" s="11" t="str">
        <f t="shared" si="23"/>
        <v>HBM346.FQHN.263</v>
      </c>
      <c r="I250" s="13" t="s">
        <v>469</v>
      </c>
      <c r="J250" s="13"/>
      <c r="K250" s="13"/>
      <c r="L250" s="13"/>
      <c r="M250" s="13"/>
      <c r="N250" s="13" t="s">
        <v>447</v>
      </c>
      <c r="O250" s="13" t="s">
        <v>28</v>
      </c>
      <c r="P250" s="13" t="s">
        <v>29</v>
      </c>
      <c r="Q250" s="13" t="s">
        <v>30</v>
      </c>
      <c r="R250" s="11" t="b">
        <v>0</v>
      </c>
      <c r="S250" s="11" t="s">
        <v>31</v>
      </c>
      <c r="T250" s="13" t="s">
        <v>49</v>
      </c>
      <c r="U250" s="13" t="s">
        <v>50</v>
      </c>
      <c r="V250" s="13" t="s">
        <v>51</v>
      </c>
      <c r="W250" s="13" t="s">
        <v>35</v>
      </c>
      <c r="X250" s="14">
        <v>45525.66798353009</v>
      </c>
      <c r="Y250" s="14">
        <v>45525.66798353009</v>
      </c>
      <c r="Z250" s="13"/>
      <c r="AA250" s="13"/>
    </row>
    <row r="251" ht="15.75" customHeight="1">
      <c r="A251" s="11" t="str">
        <f>HYPERLINK("https://portal.hubmapconsortium.org/browse/sample/ea3656156f46b75c7a42c286a1191c5b", "HBM696.CCGS.524")</f>
        <v>HBM696.CCGS.524</v>
      </c>
      <c r="B251" s="13"/>
      <c r="C251" s="13" t="s">
        <v>413</v>
      </c>
      <c r="D251" s="13" t="s">
        <v>25</v>
      </c>
      <c r="E251" s="7" t="s">
        <v>44</v>
      </c>
      <c r="F251" s="13" t="s">
        <v>427</v>
      </c>
      <c r="G251" s="11" t="b">
        <v>0</v>
      </c>
      <c r="H251" s="11" t="str">
        <f t="shared" si="23"/>
        <v>HBM346.FQHN.263</v>
      </c>
      <c r="I251" s="13" t="s">
        <v>470</v>
      </c>
      <c r="J251" s="13"/>
      <c r="K251" s="13"/>
      <c r="L251" s="13"/>
      <c r="M251" s="13"/>
      <c r="N251" s="13" t="s">
        <v>449</v>
      </c>
      <c r="O251" s="13" t="s">
        <v>28</v>
      </c>
      <c r="P251" s="13" t="s">
        <v>29</v>
      </c>
      <c r="Q251" s="13" t="s">
        <v>30</v>
      </c>
      <c r="R251" s="11" t="b">
        <v>0</v>
      </c>
      <c r="S251" s="11" t="s">
        <v>31</v>
      </c>
      <c r="T251" s="13" t="s">
        <v>49</v>
      </c>
      <c r="U251" s="13" t="s">
        <v>50</v>
      </c>
      <c r="V251" s="13" t="s">
        <v>51</v>
      </c>
      <c r="W251" s="13" t="s">
        <v>35</v>
      </c>
      <c r="X251" s="14">
        <v>45525.66799972222</v>
      </c>
      <c r="Y251" s="14">
        <v>45525.66799972222</v>
      </c>
      <c r="Z251" s="13"/>
      <c r="AA251" s="13"/>
    </row>
    <row r="252" ht="15.75" customHeight="1">
      <c r="A252" s="11" t="str">
        <f>HYPERLINK("https://portal.hubmapconsortium.org/browse/sample/8a451ca8b90b421002ffc228b4930e10", "HBM352.KQCX.726")</f>
        <v>HBM352.KQCX.726</v>
      </c>
      <c r="B252" s="13"/>
      <c r="C252" s="13" t="s">
        <v>413</v>
      </c>
      <c r="D252" s="13" t="s">
        <v>25</v>
      </c>
      <c r="E252" s="7" t="s">
        <v>44</v>
      </c>
      <c r="F252" s="13" t="s">
        <v>427</v>
      </c>
      <c r="G252" s="11" t="b">
        <v>0</v>
      </c>
      <c r="H252" s="11" t="str">
        <f t="shared" si="23"/>
        <v>HBM346.FQHN.263</v>
      </c>
      <c r="I252" s="13" t="s">
        <v>471</v>
      </c>
      <c r="J252" s="13"/>
      <c r="K252" s="13"/>
      <c r="L252" s="13"/>
      <c r="M252" s="13"/>
      <c r="N252" s="13" t="s">
        <v>451</v>
      </c>
      <c r="O252" s="13" t="s">
        <v>28</v>
      </c>
      <c r="P252" s="13" t="s">
        <v>29</v>
      </c>
      <c r="Q252" s="13" t="s">
        <v>30</v>
      </c>
      <c r="R252" s="11" t="b">
        <v>0</v>
      </c>
      <c r="S252" s="11" t="s">
        <v>31</v>
      </c>
      <c r="T252" s="13" t="s">
        <v>32</v>
      </c>
      <c r="U252" s="13" t="s">
        <v>50</v>
      </c>
      <c r="V252" s="13" t="s">
        <v>51</v>
      </c>
      <c r="W252" s="13" t="s">
        <v>35</v>
      </c>
      <c r="X252" s="14">
        <v>45525.668016875</v>
      </c>
      <c r="Y252" s="14">
        <v>45525.668016875</v>
      </c>
      <c r="Z252" s="13"/>
      <c r="AA252" s="13"/>
    </row>
    <row r="253" ht="15.75" customHeight="1">
      <c r="A253" s="11" t="str">
        <f>HYPERLINK("https://portal.hubmapconsortium.org/browse/sample/0b106ca7bf9c0b5ae9c578923ca0475a", "HBM574.SXVH.565")</f>
        <v>HBM574.SXVH.565</v>
      </c>
      <c r="B253" s="13"/>
      <c r="C253" s="13" t="s">
        <v>413</v>
      </c>
      <c r="D253" s="13" t="s">
        <v>25</v>
      </c>
      <c r="E253" s="7" t="s">
        <v>44</v>
      </c>
      <c r="F253" s="13" t="s">
        <v>427</v>
      </c>
      <c r="G253" s="11" t="b">
        <v>0</v>
      </c>
      <c r="H253" s="11" t="str">
        <f t="shared" si="23"/>
        <v>HBM346.FQHN.263</v>
      </c>
      <c r="I253" s="13" t="s">
        <v>472</v>
      </c>
      <c r="J253" s="13"/>
      <c r="K253" s="13"/>
      <c r="L253" s="13"/>
      <c r="M253" s="13"/>
      <c r="N253" s="13" t="s">
        <v>453</v>
      </c>
      <c r="O253" s="13" t="s">
        <v>28</v>
      </c>
      <c r="P253" s="13" t="s">
        <v>29</v>
      </c>
      <c r="Q253" s="13" t="s">
        <v>30</v>
      </c>
      <c r="R253" s="11" t="b">
        <v>0</v>
      </c>
      <c r="S253" s="11" t="s">
        <v>31</v>
      </c>
      <c r="T253" s="13" t="s">
        <v>49</v>
      </c>
      <c r="U253" s="13" t="s">
        <v>50</v>
      </c>
      <c r="V253" s="13" t="s">
        <v>51</v>
      </c>
      <c r="W253" s="13" t="s">
        <v>35</v>
      </c>
      <c r="X253" s="14">
        <v>45525.66803256945</v>
      </c>
      <c r="Y253" s="14">
        <v>45525.66803256945</v>
      </c>
      <c r="Z253" s="13"/>
      <c r="AA253" s="13"/>
    </row>
    <row r="254" ht="15.75" customHeight="1">
      <c r="A254" s="11" t="str">
        <f>HYPERLINK("https://portal.hubmapconsortium.org/browse/sample/810b28b6a58202a5c1c29e0d4c04291e", "HBM453.FZMQ.547")</f>
        <v>HBM453.FZMQ.547</v>
      </c>
      <c r="B254" s="13"/>
      <c r="C254" s="13" t="s">
        <v>413</v>
      </c>
      <c r="D254" s="13" t="s">
        <v>25</v>
      </c>
      <c r="E254" s="7" t="s">
        <v>44</v>
      </c>
      <c r="F254" s="13" t="s">
        <v>427</v>
      </c>
      <c r="G254" s="11" t="b">
        <v>0</v>
      </c>
      <c r="H254" s="11" t="str">
        <f t="shared" si="23"/>
        <v>HBM346.FQHN.263</v>
      </c>
      <c r="I254" s="13" t="s">
        <v>473</v>
      </c>
      <c r="J254" s="13"/>
      <c r="K254" s="13"/>
      <c r="L254" s="13"/>
      <c r="M254" s="13"/>
      <c r="N254" s="13" t="s">
        <v>455</v>
      </c>
      <c r="O254" s="13" t="s">
        <v>28</v>
      </c>
      <c r="P254" s="13" t="s">
        <v>29</v>
      </c>
      <c r="Q254" s="13" t="s">
        <v>30</v>
      </c>
      <c r="R254" s="11" t="b">
        <v>0</v>
      </c>
      <c r="S254" s="11" t="s">
        <v>31</v>
      </c>
      <c r="T254" s="13" t="s">
        <v>49</v>
      </c>
      <c r="U254" s="13" t="s">
        <v>50</v>
      </c>
      <c r="V254" s="13" t="s">
        <v>51</v>
      </c>
      <c r="W254" s="13" t="s">
        <v>35</v>
      </c>
      <c r="X254" s="14">
        <v>45525.66804971065</v>
      </c>
      <c r="Y254" s="14">
        <v>45525.66804971065</v>
      </c>
      <c r="Z254" s="13"/>
      <c r="AA254" s="13"/>
    </row>
    <row r="255" ht="15.75" customHeight="1">
      <c r="A255" s="11" t="str">
        <f>HYPERLINK("https://portal.hubmapconsortium.org/browse/sample/da6e629541ac1746a4927f8875f85005", "HBM562.MLRF.668")</f>
        <v>HBM562.MLRF.668</v>
      </c>
      <c r="B255" s="13"/>
      <c r="C255" s="13" t="s">
        <v>413</v>
      </c>
      <c r="D255" s="13" t="s">
        <v>25</v>
      </c>
      <c r="E255" s="7" t="s">
        <v>44</v>
      </c>
      <c r="F255" s="13" t="s">
        <v>427</v>
      </c>
      <c r="G255" s="11" t="b">
        <v>0</v>
      </c>
      <c r="H255" s="11" t="str">
        <f t="shared" si="23"/>
        <v>HBM346.FQHN.263</v>
      </c>
      <c r="I255" s="13" t="s">
        <v>474</v>
      </c>
      <c r="J255" s="13"/>
      <c r="K255" s="13"/>
      <c r="L255" s="13"/>
      <c r="M255" s="13"/>
      <c r="N255" s="13" t="s">
        <v>457</v>
      </c>
      <c r="O255" s="13" t="s">
        <v>28</v>
      </c>
      <c r="P255" s="13" t="s">
        <v>29</v>
      </c>
      <c r="Q255" s="13" t="s">
        <v>30</v>
      </c>
      <c r="R255" s="11" t="b">
        <v>0</v>
      </c>
      <c r="S255" s="11" t="s">
        <v>31</v>
      </c>
      <c r="T255" s="13" t="s">
        <v>49</v>
      </c>
      <c r="U255" s="13" t="s">
        <v>50</v>
      </c>
      <c r="V255" s="13" t="s">
        <v>51</v>
      </c>
      <c r="W255" s="13" t="s">
        <v>35</v>
      </c>
      <c r="X255" s="14">
        <v>45525.66806799769</v>
      </c>
      <c r="Y255" s="14">
        <v>45525.66806799769</v>
      </c>
      <c r="Z255" s="13"/>
      <c r="AA255" s="13"/>
    </row>
    <row r="256" ht="15.75" customHeight="1">
      <c r="A256" s="11" t="str">
        <f>HYPERLINK("https://portal.hubmapconsortium.org/browse/sample/d66382bbb534adfee0d21b8ce6895a9f", "HBM578.CRPX.572")</f>
        <v>HBM578.CRPX.572</v>
      </c>
      <c r="B256" s="13"/>
      <c r="C256" s="13" t="s">
        <v>413</v>
      </c>
      <c r="D256" s="13" t="s">
        <v>25</v>
      </c>
      <c r="E256" s="7" t="s">
        <v>44</v>
      </c>
      <c r="F256" s="13" t="s">
        <v>427</v>
      </c>
      <c r="G256" s="11" t="b">
        <v>0</v>
      </c>
      <c r="H256" s="11" t="str">
        <f t="shared" si="23"/>
        <v>HBM346.FQHN.263</v>
      </c>
      <c r="I256" s="13" t="s">
        <v>475</v>
      </c>
      <c r="J256" s="13"/>
      <c r="K256" s="13"/>
      <c r="L256" s="13"/>
      <c r="M256" s="13"/>
      <c r="N256" s="13" t="s">
        <v>459</v>
      </c>
      <c r="O256" s="13" t="s">
        <v>28</v>
      </c>
      <c r="P256" s="13" t="s">
        <v>29</v>
      </c>
      <c r="Q256" s="13" t="s">
        <v>30</v>
      </c>
      <c r="R256" s="11" t="b">
        <v>0</v>
      </c>
      <c r="S256" s="11" t="s">
        <v>31</v>
      </c>
      <c r="T256" s="13" t="s">
        <v>32</v>
      </c>
      <c r="U256" s="13" t="s">
        <v>50</v>
      </c>
      <c r="V256" s="13" t="s">
        <v>51</v>
      </c>
      <c r="W256" s="13" t="s">
        <v>35</v>
      </c>
      <c r="X256" s="14">
        <v>45525.66808606481</v>
      </c>
      <c r="Y256" s="14">
        <v>45525.66808606481</v>
      </c>
      <c r="Z256" s="13"/>
      <c r="AA256" s="13"/>
    </row>
    <row r="257" ht="15.75" customHeight="1">
      <c r="A257" s="11" t="str">
        <f>HYPERLINK("https://portal.hubmapconsortium.org/browse/sample/dd6c9a863ee9e85c7617b0d5b2c5f447", "HBM498.DPPB.549")</f>
        <v>HBM498.DPPB.549</v>
      </c>
      <c r="B257" s="13"/>
      <c r="C257" s="13" t="s">
        <v>413</v>
      </c>
      <c r="D257" s="13" t="s">
        <v>25</v>
      </c>
      <c r="E257" s="7" t="s">
        <v>44</v>
      </c>
      <c r="F257" s="13" t="s">
        <v>427</v>
      </c>
      <c r="G257" s="11" t="b">
        <v>0</v>
      </c>
      <c r="H257" s="11" t="str">
        <f t="shared" si="23"/>
        <v>HBM346.FQHN.263</v>
      </c>
      <c r="I257" s="13" t="s">
        <v>476</v>
      </c>
      <c r="J257" s="13"/>
      <c r="K257" s="13"/>
      <c r="L257" s="13"/>
      <c r="M257" s="13"/>
      <c r="N257" s="13" t="s">
        <v>477</v>
      </c>
      <c r="O257" s="13" t="s">
        <v>28</v>
      </c>
      <c r="P257" s="13" t="s">
        <v>29</v>
      </c>
      <c r="Q257" s="13" t="s">
        <v>30</v>
      </c>
      <c r="R257" s="11" t="b">
        <v>0</v>
      </c>
      <c r="S257" s="11" t="s">
        <v>31</v>
      </c>
      <c r="T257" s="13" t="s">
        <v>49</v>
      </c>
      <c r="U257" s="13" t="s">
        <v>50</v>
      </c>
      <c r="V257" s="13" t="s">
        <v>51</v>
      </c>
      <c r="W257" s="13" t="s">
        <v>35</v>
      </c>
      <c r="X257" s="14">
        <v>45525.86240444444</v>
      </c>
      <c r="Y257" s="14">
        <v>45525.86240444444</v>
      </c>
      <c r="Z257" s="13"/>
      <c r="AA257" s="13"/>
    </row>
    <row r="258" ht="15.75" customHeight="1">
      <c r="A258" s="11" t="str">
        <f>HYPERLINK("https://portal.hubmapconsortium.org/browse/sample/109c4ea7294267718ec0615a8973c68f", "HBM456.ZNRR.847")</f>
        <v>HBM456.ZNRR.847</v>
      </c>
      <c r="B258" s="13"/>
      <c r="C258" s="13" t="s">
        <v>413</v>
      </c>
      <c r="D258" s="13" t="s">
        <v>25</v>
      </c>
      <c r="E258" s="7" t="s">
        <v>44</v>
      </c>
      <c r="F258" s="13" t="s">
        <v>427</v>
      </c>
      <c r="G258" s="11" t="b">
        <v>0</v>
      </c>
      <c r="H258" s="11" t="str">
        <f t="shared" si="23"/>
        <v>HBM346.FQHN.263</v>
      </c>
      <c r="I258" s="13" t="s">
        <v>478</v>
      </c>
      <c r="J258" s="13"/>
      <c r="K258" s="13"/>
      <c r="L258" s="13"/>
      <c r="M258" s="13"/>
      <c r="N258" s="13" t="s">
        <v>479</v>
      </c>
      <c r="O258" s="13" t="s">
        <v>28</v>
      </c>
      <c r="P258" s="13" t="s">
        <v>29</v>
      </c>
      <c r="Q258" s="13" t="s">
        <v>30</v>
      </c>
      <c r="R258" s="11" t="b">
        <v>0</v>
      </c>
      <c r="S258" s="11" t="s">
        <v>31</v>
      </c>
      <c r="T258" s="13" t="s">
        <v>49</v>
      </c>
      <c r="U258" s="13" t="s">
        <v>50</v>
      </c>
      <c r="V258" s="13" t="s">
        <v>51</v>
      </c>
      <c r="W258" s="13" t="s">
        <v>35</v>
      </c>
      <c r="X258" s="14">
        <v>45525.86242375</v>
      </c>
      <c r="Y258" s="14">
        <v>45525.86242375</v>
      </c>
      <c r="Z258" s="13"/>
      <c r="AA258" s="13"/>
    </row>
    <row r="259" ht="15.75" customHeight="1">
      <c r="A259" s="11" t="str">
        <f>HYPERLINK("https://portal.hubmapconsortium.org/browse/sample/5a9e77ce56d478f419a92a6534a3c3e8", "HBM244.WPNV.324")</f>
        <v>HBM244.WPNV.324</v>
      </c>
      <c r="B259" s="13"/>
      <c r="C259" s="13" t="s">
        <v>413</v>
      </c>
      <c r="D259" s="13" t="s">
        <v>25</v>
      </c>
      <c r="E259" s="7" t="s">
        <v>44</v>
      </c>
      <c r="F259" s="13" t="s">
        <v>427</v>
      </c>
      <c r="G259" s="11" t="b">
        <v>0</v>
      </c>
      <c r="H259" s="11" t="str">
        <f t="shared" si="23"/>
        <v>HBM346.FQHN.263</v>
      </c>
      <c r="I259" s="13" t="s">
        <v>480</v>
      </c>
      <c r="J259" s="13"/>
      <c r="K259" s="13"/>
      <c r="L259" s="13"/>
      <c r="M259" s="13"/>
      <c r="N259" s="13" t="s">
        <v>481</v>
      </c>
      <c r="O259" s="13" t="s">
        <v>28</v>
      </c>
      <c r="P259" s="13" t="s">
        <v>29</v>
      </c>
      <c r="Q259" s="13" t="s">
        <v>30</v>
      </c>
      <c r="R259" s="11" t="b">
        <v>0</v>
      </c>
      <c r="S259" s="11" t="s">
        <v>31</v>
      </c>
      <c r="T259" s="13" t="s">
        <v>49</v>
      </c>
      <c r="U259" s="13" t="s">
        <v>50</v>
      </c>
      <c r="V259" s="13" t="s">
        <v>51</v>
      </c>
      <c r="W259" s="13" t="s">
        <v>35</v>
      </c>
      <c r="X259" s="14">
        <v>45525.86243902778</v>
      </c>
      <c r="Y259" s="14">
        <v>45525.86243902778</v>
      </c>
      <c r="Z259" s="13"/>
      <c r="AA259" s="13"/>
    </row>
    <row r="260" ht="15.75" customHeight="1">
      <c r="A260" s="11" t="str">
        <f>HYPERLINK("https://portal.hubmapconsortium.org/browse/sample/43eb7747464adc3c8395d72545abdcdb", "HBM446.ZHHB.753")</f>
        <v>HBM446.ZHHB.753</v>
      </c>
      <c r="B260" s="13"/>
      <c r="C260" s="13" t="s">
        <v>413</v>
      </c>
      <c r="D260" s="13" t="s">
        <v>25</v>
      </c>
      <c r="E260" s="7" t="s">
        <v>44</v>
      </c>
      <c r="F260" s="13" t="s">
        <v>427</v>
      </c>
      <c r="G260" s="11" t="b">
        <v>0</v>
      </c>
      <c r="H260" s="11" t="str">
        <f t="shared" si="23"/>
        <v>HBM346.FQHN.263</v>
      </c>
      <c r="I260" s="13" t="s">
        <v>482</v>
      </c>
      <c r="J260" s="13"/>
      <c r="K260" s="13"/>
      <c r="L260" s="13"/>
      <c r="M260" s="13"/>
      <c r="N260" s="13" t="s">
        <v>483</v>
      </c>
      <c r="O260" s="13" t="s">
        <v>28</v>
      </c>
      <c r="P260" s="13" t="s">
        <v>29</v>
      </c>
      <c r="Q260" s="13" t="s">
        <v>30</v>
      </c>
      <c r="R260" s="11" t="b">
        <v>0</v>
      </c>
      <c r="S260" s="11" t="s">
        <v>31</v>
      </c>
      <c r="T260" s="13" t="s">
        <v>32</v>
      </c>
      <c r="U260" s="13" t="s">
        <v>50</v>
      </c>
      <c r="V260" s="13" t="s">
        <v>51</v>
      </c>
      <c r="W260" s="13" t="s">
        <v>35</v>
      </c>
      <c r="X260" s="14">
        <v>45525.86245380787</v>
      </c>
      <c r="Y260" s="14">
        <v>45525.86245380787</v>
      </c>
      <c r="Z260" s="13"/>
      <c r="AA260" s="13"/>
    </row>
    <row r="261" ht="15.75" customHeight="1">
      <c r="A261" s="11" t="str">
        <f>HYPERLINK("https://portal.hubmapconsortium.org/browse/sample/9be5f9454457d5325301fcef59c1dcc7", "HBM777.NLZM.834")</f>
        <v>HBM777.NLZM.834</v>
      </c>
      <c r="B261" s="13"/>
      <c r="C261" s="13" t="s">
        <v>413</v>
      </c>
      <c r="D261" s="13" t="s">
        <v>25</v>
      </c>
      <c r="E261" s="7" t="s">
        <v>44</v>
      </c>
      <c r="F261" s="13" t="s">
        <v>427</v>
      </c>
      <c r="G261" s="11" t="b">
        <v>0</v>
      </c>
      <c r="H261" s="11" t="str">
        <f t="shared" si="23"/>
        <v>HBM346.FQHN.263</v>
      </c>
      <c r="I261" s="13" t="s">
        <v>484</v>
      </c>
      <c r="J261" s="13"/>
      <c r="K261" s="13"/>
      <c r="L261" s="13"/>
      <c r="M261" s="13"/>
      <c r="N261" s="13" t="s">
        <v>485</v>
      </c>
      <c r="O261" s="13" t="s">
        <v>28</v>
      </c>
      <c r="P261" s="13" t="s">
        <v>29</v>
      </c>
      <c r="Q261" s="13" t="s">
        <v>30</v>
      </c>
      <c r="R261" s="11" t="b">
        <v>0</v>
      </c>
      <c r="S261" s="11" t="s">
        <v>31</v>
      </c>
      <c r="T261" s="13" t="s">
        <v>49</v>
      </c>
      <c r="U261" s="13" t="s">
        <v>50</v>
      </c>
      <c r="V261" s="13" t="s">
        <v>51</v>
      </c>
      <c r="W261" s="13" t="s">
        <v>35</v>
      </c>
      <c r="X261" s="14">
        <v>45525.86248001157</v>
      </c>
      <c r="Y261" s="14">
        <v>45525.86248001157</v>
      </c>
      <c r="Z261" s="13"/>
      <c r="AA261" s="13"/>
    </row>
    <row r="262" ht="15.75" customHeight="1">
      <c r="A262" s="11" t="str">
        <f>HYPERLINK("https://portal.hubmapconsortium.org/browse/sample/d6696fda60bbd67c487095f791ba82f6", "HBM868.RCKQ.673")</f>
        <v>HBM868.RCKQ.673</v>
      </c>
      <c r="B262" s="13"/>
      <c r="C262" s="13" t="s">
        <v>413</v>
      </c>
      <c r="D262" s="13" t="s">
        <v>25</v>
      </c>
      <c r="E262" s="7" t="s">
        <v>44</v>
      </c>
      <c r="F262" s="13" t="s">
        <v>427</v>
      </c>
      <c r="G262" s="11" t="b">
        <v>0</v>
      </c>
      <c r="H262" s="11" t="str">
        <f t="shared" si="23"/>
        <v>HBM346.FQHN.263</v>
      </c>
      <c r="I262" s="13" t="s">
        <v>486</v>
      </c>
      <c r="J262" s="13"/>
      <c r="K262" s="13"/>
      <c r="L262" s="13"/>
      <c r="M262" s="13"/>
      <c r="N262" s="13" t="s">
        <v>487</v>
      </c>
      <c r="O262" s="13" t="s">
        <v>28</v>
      </c>
      <c r="P262" s="13" t="s">
        <v>29</v>
      </c>
      <c r="Q262" s="13" t="s">
        <v>30</v>
      </c>
      <c r="R262" s="11" t="b">
        <v>0</v>
      </c>
      <c r="S262" s="11" t="s">
        <v>31</v>
      </c>
      <c r="T262" s="13" t="s">
        <v>49</v>
      </c>
      <c r="U262" s="13" t="s">
        <v>50</v>
      </c>
      <c r="V262" s="13" t="s">
        <v>51</v>
      </c>
      <c r="W262" s="13" t="s">
        <v>35</v>
      </c>
      <c r="X262" s="14">
        <v>45525.86250109954</v>
      </c>
      <c r="Y262" s="14">
        <v>45525.86250109954</v>
      </c>
      <c r="Z262" s="13"/>
      <c r="AA262" s="13"/>
    </row>
    <row r="263" ht="15.75" customHeight="1">
      <c r="A263" s="11" t="str">
        <f>HYPERLINK("https://portal.hubmapconsortium.org/browse/sample/f6ba3731828fa0c017934f5bc498fa1c", "HBM686.TJKJ.879")</f>
        <v>HBM686.TJKJ.879</v>
      </c>
      <c r="B263" s="13"/>
      <c r="C263" s="13" t="s">
        <v>413</v>
      </c>
      <c r="D263" s="13" t="s">
        <v>25</v>
      </c>
      <c r="E263" s="7" t="s">
        <v>44</v>
      </c>
      <c r="F263" s="13" t="s">
        <v>427</v>
      </c>
      <c r="G263" s="11" t="b">
        <v>0</v>
      </c>
      <c r="H263" s="11" t="str">
        <f t="shared" si="23"/>
        <v>HBM346.FQHN.263</v>
      </c>
      <c r="I263" s="13" t="s">
        <v>488</v>
      </c>
      <c r="J263" s="13"/>
      <c r="K263" s="13"/>
      <c r="L263" s="13"/>
      <c r="M263" s="13"/>
      <c r="N263" s="13" t="s">
        <v>489</v>
      </c>
      <c r="O263" s="13" t="s">
        <v>28</v>
      </c>
      <c r="P263" s="13" t="s">
        <v>29</v>
      </c>
      <c r="Q263" s="13" t="s">
        <v>30</v>
      </c>
      <c r="R263" s="11" t="b">
        <v>0</v>
      </c>
      <c r="S263" s="11" t="s">
        <v>31</v>
      </c>
      <c r="T263" s="13" t="s">
        <v>49</v>
      </c>
      <c r="U263" s="13" t="s">
        <v>50</v>
      </c>
      <c r="V263" s="13" t="s">
        <v>51</v>
      </c>
      <c r="W263" s="13" t="s">
        <v>35</v>
      </c>
      <c r="X263" s="14">
        <v>45525.86252021991</v>
      </c>
      <c r="Y263" s="14">
        <v>45525.86252021991</v>
      </c>
      <c r="Z263" s="13"/>
      <c r="AA263" s="13"/>
    </row>
    <row r="264" ht="15.75" customHeight="1">
      <c r="A264" s="11" t="str">
        <f>HYPERLINK("https://portal.hubmapconsortium.org/browse/sample/ed6814988259e8bb3ffe2d08bebaa286", "HBM564.DWVW.457")</f>
        <v>HBM564.DWVW.457</v>
      </c>
      <c r="B264" s="13"/>
      <c r="C264" s="13" t="s">
        <v>413</v>
      </c>
      <c r="D264" s="13" t="s">
        <v>25</v>
      </c>
      <c r="E264" s="7" t="s">
        <v>44</v>
      </c>
      <c r="F264" s="13" t="s">
        <v>427</v>
      </c>
      <c r="G264" s="11" t="b">
        <v>0</v>
      </c>
      <c r="H264" s="11" t="str">
        <f t="shared" si="23"/>
        <v>HBM346.FQHN.263</v>
      </c>
      <c r="I264" s="13" t="s">
        <v>490</v>
      </c>
      <c r="J264" s="13"/>
      <c r="K264" s="13"/>
      <c r="L264" s="13"/>
      <c r="M264" s="13"/>
      <c r="N264" s="13" t="s">
        <v>491</v>
      </c>
      <c r="O264" s="13" t="s">
        <v>28</v>
      </c>
      <c r="P264" s="13" t="s">
        <v>29</v>
      </c>
      <c r="Q264" s="13" t="s">
        <v>30</v>
      </c>
      <c r="R264" s="11" t="b">
        <v>0</v>
      </c>
      <c r="S264" s="11" t="s">
        <v>31</v>
      </c>
      <c r="T264" s="13" t="s">
        <v>32</v>
      </c>
      <c r="U264" s="13" t="s">
        <v>50</v>
      </c>
      <c r="V264" s="13" t="s">
        <v>51</v>
      </c>
      <c r="W264" s="13" t="s">
        <v>35</v>
      </c>
      <c r="X264" s="14">
        <v>45525.86254053241</v>
      </c>
      <c r="Y264" s="14">
        <v>45525.86254053241</v>
      </c>
      <c r="Z264" s="13"/>
      <c r="AA264" s="13"/>
    </row>
    <row r="265" ht="15.75" customHeight="1">
      <c r="A265" s="11" t="str">
        <f>HYPERLINK("https://portal.hubmapconsortium.org/browse/sample/75efde37f26c8036084822ad55262369", "HBM939.WMMT.889")</f>
        <v>HBM939.WMMT.889</v>
      </c>
      <c r="B265" s="13"/>
      <c r="C265" s="13" t="s">
        <v>413</v>
      </c>
      <c r="D265" s="13" t="s">
        <v>25</v>
      </c>
      <c r="E265" s="7" t="s">
        <v>44</v>
      </c>
      <c r="F265" s="13" t="s">
        <v>427</v>
      </c>
      <c r="G265" s="11" t="b">
        <v>0</v>
      </c>
      <c r="H265" s="11" t="str">
        <f t="shared" si="23"/>
        <v>HBM346.FQHN.263</v>
      </c>
      <c r="I265" s="13" t="s">
        <v>492</v>
      </c>
      <c r="J265" s="13"/>
      <c r="K265" s="13"/>
      <c r="L265" s="13"/>
      <c r="M265" s="13"/>
      <c r="N265" s="13" t="s">
        <v>493</v>
      </c>
      <c r="O265" s="13" t="s">
        <v>28</v>
      </c>
      <c r="P265" s="13" t="s">
        <v>29</v>
      </c>
      <c r="Q265" s="13" t="s">
        <v>30</v>
      </c>
      <c r="R265" s="11" t="b">
        <v>0</v>
      </c>
      <c r="S265" s="11" t="s">
        <v>31</v>
      </c>
      <c r="T265" s="13" t="s">
        <v>49</v>
      </c>
      <c r="U265" s="13" t="s">
        <v>50</v>
      </c>
      <c r="V265" s="13" t="s">
        <v>51</v>
      </c>
      <c r="W265" s="13" t="s">
        <v>35</v>
      </c>
      <c r="X265" s="14">
        <v>45525.86256530093</v>
      </c>
      <c r="Y265" s="14">
        <v>45525.86256530093</v>
      </c>
      <c r="Z265" s="13"/>
      <c r="AA265" s="13"/>
    </row>
    <row r="266" ht="15.75" customHeight="1">
      <c r="A266" s="11" t="str">
        <f>HYPERLINK("https://portal.hubmapconsortium.org/browse/sample/323e5aa8d84e76210201ffaa904adf29", "HBM542.MWXT.557")</f>
        <v>HBM542.MWXT.557</v>
      </c>
      <c r="B266" s="13"/>
      <c r="C266" s="13" t="s">
        <v>413</v>
      </c>
      <c r="D266" s="13" t="s">
        <v>25</v>
      </c>
      <c r="E266" s="7" t="s">
        <v>44</v>
      </c>
      <c r="F266" s="13" t="s">
        <v>427</v>
      </c>
      <c r="G266" s="11" t="b">
        <v>0</v>
      </c>
      <c r="H266" s="11" t="str">
        <f t="shared" si="23"/>
        <v>HBM346.FQHN.263</v>
      </c>
      <c r="I266" s="13" t="s">
        <v>494</v>
      </c>
      <c r="J266" s="13"/>
      <c r="K266" s="13"/>
      <c r="L266" s="13"/>
      <c r="M266" s="13"/>
      <c r="N266" s="13" t="s">
        <v>495</v>
      </c>
      <c r="O266" s="13" t="s">
        <v>28</v>
      </c>
      <c r="P266" s="13" t="s">
        <v>29</v>
      </c>
      <c r="Q266" s="13" t="s">
        <v>30</v>
      </c>
      <c r="R266" s="11" t="b">
        <v>0</v>
      </c>
      <c r="S266" s="11" t="s">
        <v>31</v>
      </c>
      <c r="T266" s="13" t="s">
        <v>49</v>
      </c>
      <c r="U266" s="13" t="s">
        <v>50</v>
      </c>
      <c r="V266" s="13" t="s">
        <v>51</v>
      </c>
      <c r="W266" s="13" t="s">
        <v>35</v>
      </c>
      <c r="X266" s="14">
        <v>45525.8625828125</v>
      </c>
      <c r="Y266" s="14">
        <v>45525.8625828125</v>
      </c>
      <c r="Z266" s="13"/>
      <c r="AA266" s="13"/>
    </row>
    <row r="267" ht="15.75" customHeight="1">
      <c r="A267" s="11" t="str">
        <f>HYPERLINK("https://portal.hubmapconsortium.org/browse/sample/ddb75c2a23fea20f4cbf3e45f9a8ea3b", "HBM668.FJTV.369")</f>
        <v>HBM668.FJTV.369</v>
      </c>
      <c r="B267" s="13"/>
      <c r="C267" s="13" t="s">
        <v>413</v>
      </c>
      <c r="D267" s="13" t="s">
        <v>25</v>
      </c>
      <c r="E267" s="7" t="s">
        <v>44</v>
      </c>
      <c r="F267" s="13" t="s">
        <v>427</v>
      </c>
      <c r="G267" s="11" t="b">
        <v>0</v>
      </c>
      <c r="H267" s="11" t="str">
        <f t="shared" si="23"/>
        <v>HBM346.FQHN.263</v>
      </c>
      <c r="I267" s="13" t="s">
        <v>496</v>
      </c>
      <c r="J267" s="13"/>
      <c r="K267" s="13"/>
      <c r="L267" s="13"/>
      <c r="M267" s="13"/>
      <c r="N267" s="13" t="s">
        <v>497</v>
      </c>
      <c r="O267" s="13" t="s">
        <v>28</v>
      </c>
      <c r="P267" s="13" t="s">
        <v>29</v>
      </c>
      <c r="Q267" s="13" t="s">
        <v>30</v>
      </c>
      <c r="R267" s="11" t="b">
        <v>0</v>
      </c>
      <c r="S267" s="11" t="s">
        <v>31</v>
      </c>
      <c r="T267" s="13" t="s">
        <v>49</v>
      </c>
      <c r="U267" s="13" t="s">
        <v>50</v>
      </c>
      <c r="V267" s="13" t="s">
        <v>51</v>
      </c>
      <c r="W267" s="13" t="s">
        <v>35</v>
      </c>
      <c r="X267" s="14">
        <v>45525.86259965278</v>
      </c>
      <c r="Y267" s="14">
        <v>45525.86259965278</v>
      </c>
      <c r="Z267" s="13"/>
      <c r="AA267" s="13"/>
    </row>
    <row r="268" ht="15.75" customHeight="1">
      <c r="A268" s="11" t="str">
        <f>HYPERLINK("https://portal.hubmapconsortium.org/browse/sample/97e464bf5d81cd958026886d012be43f", "HBM278.TXBC.735")</f>
        <v>HBM278.TXBC.735</v>
      </c>
      <c r="B268" s="13"/>
      <c r="C268" s="13" t="s">
        <v>413</v>
      </c>
      <c r="D268" s="13" t="s">
        <v>25</v>
      </c>
      <c r="E268" s="7" t="s">
        <v>44</v>
      </c>
      <c r="F268" s="13" t="s">
        <v>427</v>
      </c>
      <c r="G268" s="11" t="b">
        <v>0</v>
      </c>
      <c r="H268" s="11" t="str">
        <f t="shared" si="23"/>
        <v>HBM346.FQHN.263</v>
      </c>
      <c r="I268" s="13" t="s">
        <v>498</v>
      </c>
      <c r="J268" s="13"/>
      <c r="K268" s="13"/>
      <c r="L268" s="13"/>
      <c r="M268" s="13"/>
      <c r="N268" s="13" t="s">
        <v>499</v>
      </c>
      <c r="O268" s="13" t="s">
        <v>28</v>
      </c>
      <c r="P268" s="13" t="s">
        <v>29</v>
      </c>
      <c r="Q268" s="13" t="s">
        <v>30</v>
      </c>
      <c r="R268" s="11" t="b">
        <v>0</v>
      </c>
      <c r="S268" s="11" t="s">
        <v>31</v>
      </c>
      <c r="T268" s="13" t="s">
        <v>32</v>
      </c>
      <c r="U268" s="13" t="s">
        <v>50</v>
      </c>
      <c r="V268" s="13" t="s">
        <v>51</v>
      </c>
      <c r="W268" s="13" t="s">
        <v>35</v>
      </c>
      <c r="X268" s="14">
        <v>45525.86261626158</v>
      </c>
      <c r="Y268" s="14">
        <v>45525.86261626158</v>
      </c>
      <c r="Z268" s="13"/>
      <c r="AA268" s="13"/>
    </row>
    <row r="269" ht="15.75" customHeight="1">
      <c r="A269" s="11" t="str">
        <f>HYPERLINK("https://portal.hubmapconsortium.org/browse/sample/d3923c07f10d56fe7f0abfb28493f38d", "HBM972.KNVG.942")</f>
        <v>HBM972.KNVG.942</v>
      </c>
      <c r="B269" s="13"/>
      <c r="C269" s="13" t="s">
        <v>413</v>
      </c>
      <c r="D269" s="13" t="s">
        <v>25</v>
      </c>
      <c r="E269" s="7" t="s">
        <v>44</v>
      </c>
      <c r="F269" s="13" t="s">
        <v>427</v>
      </c>
      <c r="G269" s="11" t="b">
        <v>0</v>
      </c>
      <c r="H269" s="11" t="str">
        <f t="shared" si="23"/>
        <v>HBM346.FQHN.263</v>
      </c>
      <c r="I269" s="13" t="s">
        <v>500</v>
      </c>
      <c r="J269" s="13"/>
      <c r="K269" s="13"/>
      <c r="L269" s="13"/>
      <c r="M269" s="13"/>
      <c r="N269" s="13" t="s">
        <v>501</v>
      </c>
      <c r="O269" s="13" t="s">
        <v>28</v>
      </c>
      <c r="P269" s="13" t="s">
        <v>29</v>
      </c>
      <c r="Q269" s="13" t="s">
        <v>30</v>
      </c>
      <c r="R269" s="11" t="b">
        <v>0</v>
      </c>
      <c r="S269" s="11" t="s">
        <v>31</v>
      </c>
      <c r="T269" s="13" t="s">
        <v>49</v>
      </c>
      <c r="U269" s="13" t="s">
        <v>50</v>
      </c>
      <c r="V269" s="13" t="s">
        <v>51</v>
      </c>
      <c r="W269" s="13" t="s">
        <v>35</v>
      </c>
      <c r="X269" s="14">
        <v>45525.86263179398</v>
      </c>
      <c r="Y269" s="14">
        <v>45525.86263179398</v>
      </c>
      <c r="Z269" s="13"/>
      <c r="AA269" s="13"/>
    </row>
    <row r="270" ht="15.75" customHeight="1">
      <c r="A270" s="11" t="str">
        <f>HYPERLINK("https://portal.hubmapconsortium.org/browse/sample/8930b53e62e5df172e92c3b19f3e6c8d", "HBM757.BPQX.328")</f>
        <v>HBM757.BPQX.328</v>
      </c>
      <c r="B270" s="13"/>
      <c r="C270" s="13" t="s">
        <v>413</v>
      </c>
      <c r="D270" s="13" t="s">
        <v>25</v>
      </c>
      <c r="E270" s="7" t="s">
        <v>44</v>
      </c>
      <c r="F270" s="13" t="s">
        <v>427</v>
      </c>
      <c r="G270" s="11" t="b">
        <v>0</v>
      </c>
      <c r="H270" s="11" t="str">
        <f t="shared" si="23"/>
        <v>HBM346.FQHN.263</v>
      </c>
      <c r="I270" s="13" t="s">
        <v>502</v>
      </c>
      <c r="J270" s="13"/>
      <c r="K270" s="13"/>
      <c r="L270" s="13"/>
      <c r="M270" s="13"/>
      <c r="N270" s="13" t="s">
        <v>503</v>
      </c>
      <c r="O270" s="13" t="s">
        <v>28</v>
      </c>
      <c r="P270" s="13" t="s">
        <v>29</v>
      </c>
      <c r="Q270" s="13" t="s">
        <v>30</v>
      </c>
      <c r="R270" s="11" t="b">
        <v>0</v>
      </c>
      <c r="S270" s="11" t="s">
        <v>31</v>
      </c>
      <c r="T270" s="13" t="s">
        <v>49</v>
      </c>
      <c r="U270" s="13" t="s">
        <v>50</v>
      </c>
      <c r="V270" s="13" t="s">
        <v>51</v>
      </c>
      <c r="W270" s="13" t="s">
        <v>35</v>
      </c>
      <c r="X270" s="14">
        <v>45525.86264648148</v>
      </c>
      <c r="Y270" s="14">
        <v>45525.86264648148</v>
      </c>
      <c r="Z270" s="13"/>
      <c r="AA270" s="13"/>
    </row>
    <row r="271" ht="15.75" customHeight="1">
      <c r="A271" s="11" t="str">
        <f>HYPERLINK("https://portal.hubmapconsortium.org/browse/sample/d5631e1ef643fa91c37aef14c4b1af2a", "HBM698.WDQF.956")</f>
        <v>HBM698.WDQF.956</v>
      </c>
      <c r="B271" s="13"/>
      <c r="C271" s="13" t="s">
        <v>413</v>
      </c>
      <c r="D271" s="13" t="s">
        <v>25</v>
      </c>
      <c r="E271" s="7" t="s">
        <v>44</v>
      </c>
      <c r="F271" s="13" t="s">
        <v>427</v>
      </c>
      <c r="G271" s="11" t="b">
        <v>0</v>
      </c>
      <c r="H271" s="11" t="str">
        <f t="shared" si="23"/>
        <v>HBM346.FQHN.263</v>
      </c>
      <c r="I271" s="13" t="s">
        <v>504</v>
      </c>
      <c r="J271" s="13"/>
      <c r="K271" s="13"/>
      <c r="L271" s="13"/>
      <c r="M271" s="13"/>
      <c r="N271" s="13" t="s">
        <v>505</v>
      </c>
      <c r="O271" s="13" t="s">
        <v>28</v>
      </c>
      <c r="P271" s="13" t="s">
        <v>29</v>
      </c>
      <c r="Q271" s="13" t="s">
        <v>30</v>
      </c>
      <c r="R271" s="11" t="b">
        <v>0</v>
      </c>
      <c r="S271" s="11" t="s">
        <v>31</v>
      </c>
      <c r="T271" s="13" t="s">
        <v>49</v>
      </c>
      <c r="U271" s="13" t="s">
        <v>50</v>
      </c>
      <c r="V271" s="13" t="s">
        <v>51</v>
      </c>
      <c r="W271" s="13" t="s">
        <v>35</v>
      </c>
      <c r="X271" s="14">
        <v>45525.86266331019</v>
      </c>
      <c r="Y271" s="14">
        <v>45525.86266331019</v>
      </c>
      <c r="Z271" s="13"/>
      <c r="AA271" s="13"/>
    </row>
    <row r="272" ht="15.75" customHeight="1">
      <c r="A272" s="11" t="str">
        <f>HYPERLINK("https://portal.hubmapconsortium.org/browse/sample/ab0315ceb502a4f1e679620f0b7e80e2", "HBM632.FZQV.254")</f>
        <v>HBM632.FZQV.254</v>
      </c>
      <c r="B272" s="13"/>
      <c r="C272" s="13" t="s">
        <v>413</v>
      </c>
      <c r="D272" s="13" t="s">
        <v>25</v>
      </c>
      <c r="E272" s="7" t="s">
        <v>44</v>
      </c>
      <c r="F272" s="13" t="s">
        <v>427</v>
      </c>
      <c r="G272" s="11" t="b">
        <v>0</v>
      </c>
      <c r="H272" s="11" t="str">
        <f t="shared" si="23"/>
        <v>HBM346.FQHN.263</v>
      </c>
      <c r="I272" s="13" t="s">
        <v>506</v>
      </c>
      <c r="J272" s="13"/>
      <c r="K272" s="13"/>
      <c r="L272" s="13"/>
      <c r="M272" s="13"/>
      <c r="N272" s="13" t="s">
        <v>507</v>
      </c>
      <c r="O272" s="13" t="s">
        <v>28</v>
      </c>
      <c r="P272" s="13" t="s">
        <v>29</v>
      </c>
      <c r="Q272" s="13" t="s">
        <v>30</v>
      </c>
      <c r="R272" s="11" t="b">
        <v>0</v>
      </c>
      <c r="S272" s="11" t="s">
        <v>31</v>
      </c>
      <c r="T272" s="13" t="s">
        <v>32</v>
      </c>
      <c r="U272" s="13" t="s">
        <v>50</v>
      </c>
      <c r="V272" s="13" t="s">
        <v>51</v>
      </c>
      <c r="W272" s="13" t="s">
        <v>35</v>
      </c>
      <c r="X272" s="14">
        <v>45525.86267730324</v>
      </c>
      <c r="Y272" s="14">
        <v>45525.86267730324</v>
      </c>
      <c r="Z272" s="13"/>
      <c r="AA272" s="13"/>
    </row>
    <row r="273" ht="15.75" customHeight="1">
      <c r="A273" s="11" t="str">
        <f>HYPERLINK("https://portal.hubmapconsortium.org/browse/sample/4f8008e57011ca6ae9d636dd8d26cc2c", "HBM389.NGSC.975")</f>
        <v>HBM389.NGSC.975</v>
      </c>
      <c r="B273" s="13"/>
      <c r="C273" s="13" t="s">
        <v>413</v>
      </c>
      <c r="D273" s="13" t="s">
        <v>25</v>
      </c>
      <c r="E273" s="7" t="s">
        <v>44</v>
      </c>
      <c r="F273" s="13" t="s">
        <v>427</v>
      </c>
      <c r="G273" s="11" t="b">
        <v>0</v>
      </c>
      <c r="H273" s="11" t="str">
        <f t="shared" si="23"/>
        <v>HBM346.FQHN.263</v>
      </c>
      <c r="I273" s="13" t="s">
        <v>508</v>
      </c>
      <c r="J273" s="13"/>
      <c r="K273" s="13"/>
      <c r="L273" s="13"/>
      <c r="M273" s="13"/>
      <c r="N273" s="13" t="s">
        <v>477</v>
      </c>
      <c r="O273" s="13" t="s">
        <v>28</v>
      </c>
      <c r="P273" s="13" t="s">
        <v>29</v>
      </c>
      <c r="Q273" s="13" t="s">
        <v>30</v>
      </c>
      <c r="R273" s="11" t="b">
        <v>0</v>
      </c>
      <c r="S273" s="11" t="s">
        <v>31</v>
      </c>
      <c r="T273" s="13" t="s">
        <v>49</v>
      </c>
      <c r="U273" s="13" t="s">
        <v>50</v>
      </c>
      <c r="V273" s="13" t="s">
        <v>51</v>
      </c>
      <c r="W273" s="13" t="s">
        <v>35</v>
      </c>
      <c r="X273" s="14">
        <v>45525.86269134259</v>
      </c>
      <c r="Y273" s="14">
        <v>45525.86269134259</v>
      </c>
      <c r="Z273" s="13"/>
      <c r="AA273" s="13"/>
    </row>
    <row r="274" ht="15.75" customHeight="1">
      <c r="A274" s="11" t="str">
        <f>HYPERLINK("https://portal.hubmapconsortium.org/browse/sample/7b004dcf148a2738caa9587106d99eca", "HBM668.CMGP.298")</f>
        <v>HBM668.CMGP.298</v>
      </c>
      <c r="B274" s="13"/>
      <c r="C274" s="13" t="s">
        <v>413</v>
      </c>
      <c r="D274" s="13" t="s">
        <v>25</v>
      </c>
      <c r="E274" s="7" t="s">
        <v>44</v>
      </c>
      <c r="F274" s="13" t="s">
        <v>427</v>
      </c>
      <c r="G274" s="11" t="b">
        <v>0</v>
      </c>
      <c r="H274" s="11" t="str">
        <f t="shared" si="23"/>
        <v>HBM346.FQHN.263</v>
      </c>
      <c r="I274" s="13" t="s">
        <v>509</v>
      </c>
      <c r="J274" s="13"/>
      <c r="K274" s="13"/>
      <c r="L274" s="13"/>
      <c r="M274" s="13"/>
      <c r="N274" s="13" t="s">
        <v>479</v>
      </c>
      <c r="O274" s="13" t="s">
        <v>28</v>
      </c>
      <c r="P274" s="13" t="s">
        <v>29</v>
      </c>
      <c r="Q274" s="13" t="s">
        <v>30</v>
      </c>
      <c r="R274" s="11" t="b">
        <v>0</v>
      </c>
      <c r="S274" s="11" t="s">
        <v>31</v>
      </c>
      <c r="T274" s="13" t="s">
        <v>49</v>
      </c>
      <c r="U274" s="13" t="s">
        <v>50</v>
      </c>
      <c r="V274" s="13" t="s">
        <v>51</v>
      </c>
      <c r="W274" s="13" t="s">
        <v>35</v>
      </c>
      <c r="X274" s="14">
        <v>45525.86270696759</v>
      </c>
      <c r="Y274" s="14">
        <v>45525.86270696759</v>
      </c>
      <c r="Z274" s="13"/>
      <c r="AA274" s="13"/>
    </row>
    <row r="275" ht="15.75" customHeight="1">
      <c r="A275" s="11" t="str">
        <f>HYPERLINK("https://portal.hubmapconsortium.org/browse/sample/7d12fd946764d321001dc3e42b3005bc", "HBM887.WWSS.927")</f>
        <v>HBM887.WWSS.927</v>
      </c>
      <c r="B275" s="13"/>
      <c r="C275" s="13" t="s">
        <v>413</v>
      </c>
      <c r="D275" s="13" t="s">
        <v>25</v>
      </c>
      <c r="E275" s="7" t="s">
        <v>44</v>
      </c>
      <c r="F275" s="13" t="s">
        <v>427</v>
      </c>
      <c r="G275" s="11" t="b">
        <v>0</v>
      </c>
      <c r="H275" s="11" t="str">
        <f t="shared" si="23"/>
        <v>HBM346.FQHN.263</v>
      </c>
      <c r="I275" s="13" t="s">
        <v>510</v>
      </c>
      <c r="J275" s="13"/>
      <c r="K275" s="13"/>
      <c r="L275" s="13"/>
      <c r="M275" s="13"/>
      <c r="N275" s="13" t="s">
        <v>481</v>
      </c>
      <c r="O275" s="13" t="s">
        <v>28</v>
      </c>
      <c r="P275" s="13" t="s">
        <v>29</v>
      </c>
      <c r="Q275" s="13" t="s">
        <v>30</v>
      </c>
      <c r="R275" s="11" t="b">
        <v>0</v>
      </c>
      <c r="S275" s="11" t="s">
        <v>31</v>
      </c>
      <c r="T275" s="13" t="s">
        <v>49</v>
      </c>
      <c r="U275" s="13" t="s">
        <v>50</v>
      </c>
      <c r="V275" s="13" t="s">
        <v>51</v>
      </c>
      <c r="W275" s="13" t="s">
        <v>35</v>
      </c>
      <c r="X275" s="14">
        <v>45525.86272159722</v>
      </c>
      <c r="Y275" s="14">
        <v>45525.86272159722</v>
      </c>
      <c r="Z275" s="13"/>
      <c r="AA275" s="13"/>
    </row>
    <row r="276" ht="15.75" customHeight="1">
      <c r="A276" s="11" t="str">
        <f>HYPERLINK("https://portal.hubmapconsortium.org/browse/sample/1e5fcf755e7020baf1bf6e1699558af6", "HBM336.VSWC.334")</f>
        <v>HBM336.VSWC.334</v>
      </c>
      <c r="B276" s="13"/>
      <c r="C276" s="13" t="s">
        <v>413</v>
      </c>
      <c r="D276" s="13" t="s">
        <v>25</v>
      </c>
      <c r="E276" s="7" t="s">
        <v>44</v>
      </c>
      <c r="F276" s="13" t="s">
        <v>427</v>
      </c>
      <c r="G276" s="11" t="b">
        <v>0</v>
      </c>
      <c r="H276" s="11" t="str">
        <f t="shared" si="23"/>
        <v>HBM346.FQHN.263</v>
      </c>
      <c r="I276" s="13" t="s">
        <v>511</v>
      </c>
      <c r="J276" s="13"/>
      <c r="K276" s="13"/>
      <c r="L276" s="13"/>
      <c r="M276" s="13"/>
      <c r="N276" s="13" t="s">
        <v>483</v>
      </c>
      <c r="O276" s="13" t="s">
        <v>28</v>
      </c>
      <c r="P276" s="13" t="s">
        <v>29</v>
      </c>
      <c r="Q276" s="13" t="s">
        <v>30</v>
      </c>
      <c r="R276" s="11" t="b">
        <v>0</v>
      </c>
      <c r="S276" s="11" t="s">
        <v>31</v>
      </c>
      <c r="T276" s="13" t="s">
        <v>32</v>
      </c>
      <c r="U276" s="13" t="s">
        <v>50</v>
      </c>
      <c r="V276" s="13" t="s">
        <v>51</v>
      </c>
      <c r="W276" s="13" t="s">
        <v>35</v>
      </c>
      <c r="X276" s="14">
        <v>45525.86273686343</v>
      </c>
      <c r="Y276" s="14">
        <v>45525.86273686343</v>
      </c>
      <c r="Z276" s="13"/>
      <c r="AA276" s="13"/>
    </row>
    <row r="277" ht="15.75" customHeight="1">
      <c r="A277" s="11" t="str">
        <f>HYPERLINK("https://portal.hubmapconsortium.org/browse/sample/0e3adca918f7d1dc7c003979ce5f1e82", "HBM947.FGLW.954")</f>
        <v>HBM947.FGLW.954</v>
      </c>
      <c r="B277" s="13"/>
      <c r="C277" s="13" t="s">
        <v>413</v>
      </c>
      <c r="D277" s="13" t="s">
        <v>25</v>
      </c>
      <c r="E277" s="7" t="s">
        <v>44</v>
      </c>
      <c r="F277" s="13" t="s">
        <v>427</v>
      </c>
      <c r="G277" s="11" t="b">
        <v>0</v>
      </c>
      <c r="H277" s="11" t="str">
        <f t="shared" si="23"/>
        <v>HBM346.FQHN.263</v>
      </c>
      <c r="I277" s="13" t="s">
        <v>512</v>
      </c>
      <c r="J277" s="13"/>
      <c r="K277" s="13"/>
      <c r="L277" s="13"/>
      <c r="M277" s="13"/>
      <c r="N277" s="13" t="s">
        <v>485</v>
      </c>
      <c r="O277" s="13" t="s">
        <v>28</v>
      </c>
      <c r="P277" s="13" t="s">
        <v>29</v>
      </c>
      <c r="Q277" s="13" t="s">
        <v>30</v>
      </c>
      <c r="R277" s="11" t="b">
        <v>0</v>
      </c>
      <c r="S277" s="11" t="s">
        <v>31</v>
      </c>
      <c r="T277" s="13" t="s">
        <v>49</v>
      </c>
      <c r="U277" s="13" t="s">
        <v>50</v>
      </c>
      <c r="V277" s="13" t="s">
        <v>51</v>
      </c>
      <c r="W277" s="13" t="s">
        <v>35</v>
      </c>
      <c r="X277" s="14">
        <v>45525.86275131944</v>
      </c>
      <c r="Y277" s="14">
        <v>45525.86275131944</v>
      </c>
      <c r="Z277" s="13"/>
      <c r="AA277" s="13"/>
    </row>
    <row r="278" ht="15.75" customHeight="1">
      <c r="A278" s="11" t="str">
        <f>HYPERLINK("https://portal.hubmapconsortium.org/browse/sample/5a8ca0505264257403c90b19813254fc", "HBM378.QJTZ.669")</f>
        <v>HBM378.QJTZ.669</v>
      </c>
      <c r="B278" s="13"/>
      <c r="C278" s="13" t="s">
        <v>413</v>
      </c>
      <c r="D278" s="13" t="s">
        <v>25</v>
      </c>
      <c r="E278" s="7" t="s">
        <v>44</v>
      </c>
      <c r="F278" s="13" t="s">
        <v>427</v>
      </c>
      <c r="G278" s="11" t="b">
        <v>0</v>
      </c>
      <c r="H278" s="11" t="str">
        <f t="shared" si="23"/>
        <v>HBM346.FQHN.263</v>
      </c>
      <c r="I278" s="13" t="s">
        <v>513</v>
      </c>
      <c r="J278" s="13"/>
      <c r="K278" s="13"/>
      <c r="L278" s="13"/>
      <c r="M278" s="13"/>
      <c r="N278" s="13" t="s">
        <v>487</v>
      </c>
      <c r="O278" s="13" t="s">
        <v>28</v>
      </c>
      <c r="P278" s="13" t="s">
        <v>29</v>
      </c>
      <c r="Q278" s="13" t="s">
        <v>30</v>
      </c>
      <c r="R278" s="11" t="b">
        <v>0</v>
      </c>
      <c r="S278" s="11" t="s">
        <v>31</v>
      </c>
      <c r="T278" s="13" t="s">
        <v>49</v>
      </c>
      <c r="U278" s="13" t="s">
        <v>50</v>
      </c>
      <c r="V278" s="13" t="s">
        <v>51</v>
      </c>
      <c r="W278" s="13" t="s">
        <v>35</v>
      </c>
      <c r="X278" s="14">
        <v>45525.8627658912</v>
      </c>
      <c r="Y278" s="14">
        <v>45525.8627658912</v>
      </c>
      <c r="Z278" s="13"/>
      <c r="AA278" s="13"/>
    </row>
    <row r="279" ht="15.75" customHeight="1">
      <c r="A279" s="11" t="str">
        <f>HYPERLINK("https://portal.hubmapconsortium.org/browse/sample/5554643e5a9c37a6bb8dd3839df15390", "HBM976.TVDQ.854")</f>
        <v>HBM976.TVDQ.854</v>
      </c>
      <c r="B279" s="13"/>
      <c r="C279" s="13" t="s">
        <v>413</v>
      </c>
      <c r="D279" s="13" t="s">
        <v>25</v>
      </c>
      <c r="E279" s="7" t="s">
        <v>44</v>
      </c>
      <c r="F279" s="13" t="s">
        <v>427</v>
      </c>
      <c r="G279" s="11" t="b">
        <v>0</v>
      </c>
      <c r="H279" s="11" t="str">
        <f t="shared" si="23"/>
        <v>HBM346.FQHN.263</v>
      </c>
      <c r="I279" s="13" t="s">
        <v>514</v>
      </c>
      <c r="J279" s="13"/>
      <c r="K279" s="13"/>
      <c r="L279" s="13"/>
      <c r="M279" s="13"/>
      <c r="N279" s="13" t="s">
        <v>489</v>
      </c>
      <c r="O279" s="13" t="s">
        <v>28</v>
      </c>
      <c r="P279" s="13" t="s">
        <v>29</v>
      </c>
      <c r="Q279" s="13" t="s">
        <v>30</v>
      </c>
      <c r="R279" s="11" t="b">
        <v>0</v>
      </c>
      <c r="S279" s="11" t="s">
        <v>31</v>
      </c>
      <c r="T279" s="13" t="s">
        <v>49</v>
      </c>
      <c r="U279" s="13" t="s">
        <v>50</v>
      </c>
      <c r="V279" s="13" t="s">
        <v>51</v>
      </c>
      <c r="W279" s="13" t="s">
        <v>35</v>
      </c>
      <c r="X279" s="14">
        <v>45525.86278186343</v>
      </c>
      <c r="Y279" s="14">
        <v>45525.86278186343</v>
      </c>
      <c r="Z279" s="13"/>
      <c r="AA279" s="13"/>
    </row>
    <row r="280" ht="15.75" customHeight="1">
      <c r="A280" s="11" t="str">
        <f>HYPERLINK("https://portal.hubmapconsortium.org/browse/sample/e4303392e3d25cb9dc31a80c18313322", "HBM322.DVSQ.546")</f>
        <v>HBM322.DVSQ.546</v>
      </c>
      <c r="B280" s="13"/>
      <c r="C280" s="13" t="s">
        <v>413</v>
      </c>
      <c r="D280" s="13" t="s">
        <v>25</v>
      </c>
      <c r="E280" s="7" t="s">
        <v>44</v>
      </c>
      <c r="F280" s="13" t="s">
        <v>427</v>
      </c>
      <c r="G280" s="11" t="b">
        <v>0</v>
      </c>
      <c r="H280" s="11" t="str">
        <f t="shared" si="23"/>
        <v>HBM346.FQHN.263</v>
      </c>
      <c r="I280" s="13" t="s">
        <v>515</v>
      </c>
      <c r="J280" s="13"/>
      <c r="K280" s="13"/>
      <c r="L280" s="13"/>
      <c r="M280" s="13"/>
      <c r="N280" s="13" t="s">
        <v>491</v>
      </c>
      <c r="O280" s="13" t="s">
        <v>28</v>
      </c>
      <c r="P280" s="13" t="s">
        <v>29</v>
      </c>
      <c r="Q280" s="13" t="s">
        <v>30</v>
      </c>
      <c r="R280" s="11" t="b">
        <v>0</v>
      </c>
      <c r="S280" s="11" t="s">
        <v>31</v>
      </c>
      <c r="T280" s="13" t="s">
        <v>32</v>
      </c>
      <c r="U280" s="13" t="s">
        <v>50</v>
      </c>
      <c r="V280" s="13" t="s">
        <v>51</v>
      </c>
      <c r="W280" s="13" t="s">
        <v>35</v>
      </c>
      <c r="X280" s="14">
        <v>45525.86279616898</v>
      </c>
      <c r="Y280" s="14">
        <v>45525.86279616898</v>
      </c>
      <c r="Z280" s="13"/>
      <c r="AA280" s="13"/>
    </row>
    <row r="281" ht="15.75" customHeight="1">
      <c r="A281" s="11" t="str">
        <f>HYPERLINK("https://portal.hubmapconsortium.org/browse/sample/e0902efe2ca7c297ee568e6e58268f2c", "HBM838.DSBC.869")</f>
        <v>HBM838.DSBC.869</v>
      </c>
      <c r="B281" s="13"/>
      <c r="C281" s="13" t="s">
        <v>413</v>
      </c>
      <c r="D281" s="13" t="s">
        <v>25</v>
      </c>
      <c r="E281" s="7" t="s">
        <v>44</v>
      </c>
      <c r="F281" s="13" t="s">
        <v>427</v>
      </c>
      <c r="G281" s="11" t="b">
        <v>0</v>
      </c>
      <c r="H281" s="11" t="str">
        <f t="shared" si="23"/>
        <v>HBM346.FQHN.263</v>
      </c>
      <c r="I281" s="13" t="s">
        <v>516</v>
      </c>
      <c r="J281" s="13"/>
      <c r="K281" s="13"/>
      <c r="L281" s="13"/>
      <c r="M281" s="13"/>
      <c r="N281" s="13" t="s">
        <v>493</v>
      </c>
      <c r="O281" s="13" t="s">
        <v>28</v>
      </c>
      <c r="P281" s="13" t="s">
        <v>29</v>
      </c>
      <c r="Q281" s="13" t="s">
        <v>30</v>
      </c>
      <c r="R281" s="11" t="b">
        <v>0</v>
      </c>
      <c r="S281" s="11" t="s">
        <v>31</v>
      </c>
      <c r="T281" s="13" t="s">
        <v>49</v>
      </c>
      <c r="U281" s="13" t="s">
        <v>50</v>
      </c>
      <c r="V281" s="13" t="s">
        <v>51</v>
      </c>
      <c r="W281" s="13" t="s">
        <v>35</v>
      </c>
      <c r="X281" s="14">
        <v>45525.86281135416</v>
      </c>
      <c r="Y281" s="14">
        <v>45525.86281135416</v>
      </c>
      <c r="Z281" s="13"/>
      <c r="AA281" s="13"/>
    </row>
    <row r="282" ht="15.75" customHeight="1">
      <c r="A282" s="11" t="str">
        <f>HYPERLINK("https://portal.hubmapconsortium.org/browse/sample/c6648612006af36390855cce2f3220cc", "HBM645.TVFK.956")</f>
        <v>HBM645.TVFK.956</v>
      </c>
      <c r="B282" s="13"/>
      <c r="C282" s="13" t="s">
        <v>413</v>
      </c>
      <c r="D282" s="13" t="s">
        <v>25</v>
      </c>
      <c r="E282" s="7" t="s">
        <v>44</v>
      </c>
      <c r="F282" s="13" t="s">
        <v>427</v>
      </c>
      <c r="G282" s="11" t="b">
        <v>0</v>
      </c>
      <c r="H282" s="11" t="str">
        <f t="shared" si="23"/>
        <v>HBM346.FQHN.263</v>
      </c>
      <c r="I282" s="13" t="s">
        <v>517</v>
      </c>
      <c r="J282" s="13"/>
      <c r="K282" s="13"/>
      <c r="L282" s="13"/>
      <c r="M282" s="13"/>
      <c r="N282" s="13" t="s">
        <v>495</v>
      </c>
      <c r="O282" s="13" t="s">
        <v>28</v>
      </c>
      <c r="P282" s="13" t="s">
        <v>29</v>
      </c>
      <c r="Q282" s="13" t="s">
        <v>30</v>
      </c>
      <c r="R282" s="11" t="b">
        <v>0</v>
      </c>
      <c r="S282" s="11" t="s">
        <v>31</v>
      </c>
      <c r="T282" s="13" t="s">
        <v>49</v>
      </c>
      <c r="U282" s="13" t="s">
        <v>50</v>
      </c>
      <c r="V282" s="13" t="s">
        <v>51</v>
      </c>
      <c r="W282" s="13" t="s">
        <v>35</v>
      </c>
      <c r="X282" s="14">
        <v>45525.8628262963</v>
      </c>
      <c r="Y282" s="14">
        <v>45525.8628262963</v>
      </c>
      <c r="Z282" s="13"/>
      <c r="AA282" s="13"/>
    </row>
    <row r="283" ht="15.75" customHeight="1">
      <c r="A283" s="11" t="str">
        <f>HYPERLINK("https://portal.hubmapconsortium.org/browse/sample/d1af776b3f262477d7c6ae64133f7093", "HBM989.FFXK.849")</f>
        <v>HBM989.FFXK.849</v>
      </c>
      <c r="B283" s="13"/>
      <c r="C283" s="13" t="s">
        <v>413</v>
      </c>
      <c r="D283" s="13" t="s">
        <v>25</v>
      </c>
      <c r="E283" s="7" t="s">
        <v>44</v>
      </c>
      <c r="F283" s="13" t="s">
        <v>427</v>
      </c>
      <c r="G283" s="11" t="b">
        <v>0</v>
      </c>
      <c r="H283" s="11" t="str">
        <f t="shared" si="23"/>
        <v>HBM346.FQHN.263</v>
      </c>
      <c r="I283" s="13" t="s">
        <v>518</v>
      </c>
      <c r="J283" s="13"/>
      <c r="K283" s="13"/>
      <c r="L283" s="13"/>
      <c r="M283" s="13"/>
      <c r="N283" s="13" t="s">
        <v>497</v>
      </c>
      <c r="O283" s="13" t="s">
        <v>28</v>
      </c>
      <c r="P283" s="13" t="s">
        <v>29</v>
      </c>
      <c r="Q283" s="13" t="s">
        <v>30</v>
      </c>
      <c r="R283" s="11" t="b">
        <v>0</v>
      </c>
      <c r="S283" s="11" t="s">
        <v>31</v>
      </c>
      <c r="T283" s="13" t="s">
        <v>49</v>
      </c>
      <c r="U283" s="13" t="s">
        <v>50</v>
      </c>
      <c r="V283" s="13" t="s">
        <v>51</v>
      </c>
      <c r="W283" s="13" t="s">
        <v>35</v>
      </c>
      <c r="X283" s="14">
        <v>45525.86284078703</v>
      </c>
      <c r="Y283" s="14">
        <v>45525.86284078703</v>
      </c>
      <c r="Z283" s="13"/>
      <c r="AA283" s="13"/>
    </row>
    <row r="284" ht="15.75" customHeight="1">
      <c r="A284" s="11" t="str">
        <f>HYPERLINK("https://portal.hubmapconsortium.org/browse/sample/384645539bd17c181e6cddd390c56552", "HBM734.RCCN.968")</f>
        <v>HBM734.RCCN.968</v>
      </c>
      <c r="B284" s="13"/>
      <c r="C284" s="13" t="s">
        <v>413</v>
      </c>
      <c r="D284" s="13" t="s">
        <v>25</v>
      </c>
      <c r="E284" s="7" t="s">
        <v>44</v>
      </c>
      <c r="F284" s="13" t="s">
        <v>427</v>
      </c>
      <c r="G284" s="11" t="b">
        <v>0</v>
      </c>
      <c r="H284" s="11" t="str">
        <f t="shared" si="23"/>
        <v>HBM346.FQHN.263</v>
      </c>
      <c r="I284" s="13" t="s">
        <v>519</v>
      </c>
      <c r="J284" s="13"/>
      <c r="K284" s="13"/>
      <c r="L284" s="13"/>
      <c r="M284" s="13"/>
      <c r="N284" s="13" t="s">
        <v>499</v>
      </c>
      <c r="O284" s="13" t="s">
        <v>28</v>
      </c>
      <c r="P284" s="13" t="s">
        <v>29</v>
      </c>
      <c r="Q284" s="13" t="s">
        <v>30</v>
      </c>
      <c r="R284" s="11" t="b">
        <v>0</v>
      </c>
      <c r="S284" s="11" t="s">
        <v>31</v>
      </c>
      <c r="T284" s="13" t="s">
        <v>32</v>
      </c>
      <c r="U284" s="13" t="s">
        <v>50</v>
      </c>
      <c r="V284" s="13" t="s">
        <v>51</v>
      </c>
      <c r="W284" s="13" t="s">
        <v>35</v>
      </c>
      <c r="X284" s="14">
        <v>45525.86285825232</v>
      </c>
      <c r="Y284" s="14">
        <v>45525.86285825232</v>
      </c>
      <c r="Z284" s="13"/>
      <c r="AA284" s="13"/>
    </row>
    <row r="285" ht="15.75" customHeight="1">
      <c r="A285" s="11" t="str">
        <f>HYPERLINK("https://portal.hubmapconsortium.org/browse/sample/4d5e930f024b6f1e46e6358dce374d56", "HBM624.LRHN.453")</f>
        <v>HBM624.LRHN.453</v>
      </c>
      <c r="B285" s="13"/>
      <c r="C285" s="13" t="s">
        <v>413</v>
      </c>
      <c r="D285" s="13" t="s">
        <v>25</v>
      </c>
      <c r="E285" s="7" t="s">
        <v>44</v>
      </c>
      <c r="F285" s="13" t="s">
        <v>427</v>
      </c>
      <c r="G285" s="11" t="b">
        <v>0</v>
      </c>
      <c r="H285" s="11" t="str">
        <f t="shared" si="23"/>
        <v>HBM346.FQHN.263</v>
      </c>
      <c r="I285" s="13" t="s">
        <v>520</v>
      </c>
      <c r="J285" s="13"/>
      <c r="K285" s="13"/>
      <c r="L285" s="13"/>
      <c r="M285" s="13"/>
      <c r="N285" s="13" t="s">
        <v>501</v>
      </c>
      <c r="O285" s="13" t="s">
        <v>28</v>
      </c>
      <c r="P285" s="13" t="s">
        <v>29</v>
      </c>
      <c r="Q285" s="13" t="s">
        <v>30</v>
      </c>
      <c r="R285" s="11" t="b">
        <v>0</v>
      </c>
      <c r="S285" s="11" t="s">
        <v>31</v>
      </c>
      <c r="T285" s="13" t="s">
        <v>49</v>
      </c>
      <c r="U285" s="13" t="s">
        <v>50</v>
      </c>
      <c r="V285" s="13" t="s">
        <v>51</v>
      </c>
      <c r="W285" s="13" t="s">
        <v>35</v>
      </c>
      <c r="X285" s="14">
        <v>45525.86287384259</v>
      </c>
      <c r="Y285" s="14">
        <v>45525.86287384259</v>
      </c>
      <c r="Z285" s="13"/>
      <c r="AA285" s="13"/>
    </row>
    <row r="286" ht="15.75" customHeight="1">
      <c r="A286" s="11" t="str">
        <f>HYPERLINK("https://portal.hubmapconsortium.org/browse/sample/75478c0b40acf1546ab78e18c9beab51", "HBM625.WMWR.747")</f>
        <v>HBM625.WMWR.747</v>
      </c>
      <c r="B286" s="13"/>
      <c r="C286" s="13" t="s">
        <v>413</v>
      </c>
      <c r="D286" s="13" t="s">
        <v>25</v>
      </c>
      <c r="E286" s="7" t="s">
        <v>44</v>
      </c>
      <c r="F286" s="13" t="s">
        <v>427</v>
      </c>
      <c r="G286" s="11" t="b">
        <v>0</v>
      </c>
      <c r="H286" s="11" t="str">
        <f t="shared" si="23"/>
        <v>HBM346.FQHN.263</v>
      </c>
      <c r="I286" s="13" t="s">
        <v>521</v>
      </c>
      <c r="J286" s="13"/>
      <c r="K286" s="13"/>
      <c r="L286" s="13"/>
      <c r="M286" s="13"/>
      <c r="N286" s="13" t="s">
        <v>503</v>
      </c>
      <c r="O286" s="13" t="s">
        <v>28</v>
      </c>
      <c r="P286" s="13" t="s">
        <v>29</v>
      </c>
      <c r="Q286" s="13" t="s">
        <v>30</v>
      </c>
      <c r="R286" s="11" t="b">
        <v>0</v>
      </c>
      <c r="S286" s="11" t="s">
        <v>31</v>
      </c>
      <c r="T286" s="13" t="s">
        <v>49</v>
      </c>
      <c r="U286" s="13" t="s">
        <v>50</v>
      </c>
      <c r="V286" s="13" t="s">
        <v>51</v>
      </c>
      <c r="W286" s="13" t="s">
        <v>35</v>
      </c>
      <c r="X286" s="14">
        <v>45525.86288851852</v>
      </c>
      <c r="Y286" s="14">
        <v>45525.86288851852</v>
      </c>
      <c r="Z286" s="13"/>
      <c r="AA286" s="13"/>
    </row>
    <row r="287" ht="15.75" customHeight="1">
      <c r="A287" s="11" t="str">
        <f>HYPERLINK("https://portal.hubmapconsortium.org/browse/sample/d3c167b2ae62f5b3f89e072452e24d0d", "HBM666.PPTZ.923")</f>
        <v>HBM666.PPTZ.923</v>
      </c>
      <c r="B287" s="13"/>
      <c r="C287" s="13" t="s">
        <v>413</v>
      </c>
      <c r="D287" s="13" t="s">
        <v>25</v>
      </c>
      <c r="E287" s="7" t="s">
        <v>44</v>
      </c>
      <c r="F287" s="13" t="s">
        <v>427</v>
      </c>
      <c r="G287" s="11" t="b">
        <v>0</v>
      </c>
      <c r="H287" s="11" t="str">
        <f t="shared" si="23"/>
        <v>HBM346.FQHN.263</v>
      </c>
      <c r="I287" s="13" t="s">
        <v>522</v>
      </c>
      <c r="J287" s="13"/>
      <c r="K287" s="13"/>
      <c r="L287" s="13"/>
      <c r="M287" s="13"/>
      <c r="N287" s="13" t="s">
        <v>505</v>
      </c>
      <c r="O287" s="13" t="s">
        <v>28</v>
      </c>
      <c r="P287" s="13" t="s">
        <v>29</v>
      </c>
      <c r="Q287" s="13" t="s">
        <v>30</v>
      </c>
      <c r="R287" s="11" t="b">
        <v>0</v>
      </c>
      <c r="S287" s="11" t="s">
        <v>31</v>
      </c>
      <c r="T287" s="13" t="s">
        <v>49</v>
      </c>
      <c r="U287" s="13" t="s">
        <v>50</v>
      </c>
      <c r="V287" s="13" t="s">
        <v>51</v>
      </c>
      <c r="W287" s="13" t="s">
        <v>35</v>
      </c>
      <c r="X287" s="14">
        <v>45525.86290300926</v>
      </c>
      <c r="Y287" s="14">
        <v>45525.86290300926</v>
      </c>
      <c r="Z287" s="13"/>
      <c r="AA287" s="13"/>
    </row>
    <row r="288" ht="15.75" customHeight="1">
      <c r="A288" s="11" t="str">
        <f>HYPERLINK("https://portal.hubmapconsortium.org/browse/sample/bfe6a2bab87767e529b742a16e2bdaf9", "HBM439.JMHH.997")</f>
        <v>HBM439.JMHH.997</v>
      </c>
      <c r="B288" s="13"/>
      <c r="C288" s="13" t="s">
        <v>413</v>
      </c>
      <c r="D288" s="13" t="s">
        <v>25</v>
      </c>
      <c r="E288" s="7" t="s">
        <v>44</v>
      </c>
      <c r="F288" s="13" t="s">
        <v>427</v>
      </c>
      <c r="G288" s="11" t="b">
        <v>0</v>
      </c>
      <c r="H288" s="11" t="str">
        <f t="shared" si="23"/>
        <v>HBM346.FQHN.263</v>
      </c>
      <c r="I288" s="13" t="s">
        <v>523</v>
      </c>
      <c r="J288" s="13"/>
      <c r="K288" s="13"/>
      <c r="L288" s="13"/>
      <c r="M288" s="13"/>
      <c r="N288" s="13" t="s">
        <v>507</v>
      </c>
      <c r="O288" s="13" t="s">
        <v>28</v>
      </c>
      <c r="P288" s="13" t="s">
        <v>29</v>
      </c>
      <c r="Q288" s="13" t="s">
        <v>30</v>
      </c>
      <c r="R288" s="11" t="b">
        <v>0</v>
      </c>
      <c r="S288" s="11" t="s">
        <v>31</v>
      </c>
      <c r="T288" s="13" t="s">
        <v>32</v>
      </c>
      <c r="U288" s="13" t="s">
        <v>50</v>
      </c>
      <c r="V288" s="13" t="s">
        <v>51</v>
      </c>
      <c r="W288" s="13" t="s">
        <v>35</v>
      </c>
      <c r="X288" s="14">
        <v>45525.86291793981</v>
      </c>
      <c r="Y288" s="14">
        <v>45525.86291793981</v>
      </c>
      <c r="Z288" s="13"/>
      <c r="AA288" s="13"/>
    </row>
    <row r="289" ht="15.75" customHeight="1">
      <c r="A289" s="5" t="str">
        <f>HYPERLINK("https://portal.hubmapconsortium.org/browse/sample/00bc747eec44be6bb67fb5f9a841f851", "HBM229.NVST.455")</f>
        <v>HBM229.NVST.455</v>
      </c>
      <c r="C289" s="7" t="s">
        <v>413</v>
      </c>
      <c r="D289" s="13" t="s">
        <v>25</v>
      </c>
      <c r="E289" s="7" t="s">
        <v>44</v>
      </c>
      <c r="F289" s="7" t="s">
        <v>524</v>
      </c>
      <c r="G289" s="5" t="b">
        <v>0</v>
      </c>
      <c r="H289" s="5" t="str">
        <f t="shared" ref="H289:H296" si="24">HYPERLINK("https://portal.hubmapconsortium.org/browse/sample/7f7f6faf1ed24ed62109de031b99a555", "HBM876.WSJF.893")</f>
        <v>HBM876.WSJF.893</v>
      </c>
      <c r="I289" s="7" t="s">
        <v>525</v>
      </c>
      <c r="J289" s="7" t="s">
        <v>713</v>
      </c>
      <c r="N289" s="7" t="s">
        <v>526</v>
      </c>
      <c r="O289" s="7" t="s">
        <v>28</v>
      </c>
      <c r="P289" s="7" t="s">
        <v>29</v>
      </c>
      <c r="Q289" s="7" t="s">
        <v>30</v>
      </c>
      <c r="R289" s="5" t="b">
        <v>0</v>
      </c>
      <c r="S289" s="5" t="s">
        <v>31</v>
      </c>
      <c r="T289" s="7" t="s">
        <v>49</v>
      </c>
      <c r="U289" s="7" t="s">
        <v>50</v>
      </c>
      <c r="V289" s="7" t="s">
        <v>51</v>
      </c>
      <c r="W289" s="7" t="s">
        <v>35</v>
      </c>
      <c r="X289" s="9">
        <v>45848.84245113426</v>
      </c>
      <c r="Y289" s="9">
        <v>45848.84245113426</v>
      </c>
    </row>
    <row r="290" ht="15.75" customHeight="1">
      <c r="A290" s="5" t="str">
        <f>HYPERLINK("https://portal.hubmapconsortium.org/browse/sample/9246748c828bfb3acd9e987ff32c7ff3", "HBM239.GSPH.578")</f>
        <v>HBM239.GSPH.578</v>
      </c>
      <c r="C290" s="7" t="s">
        <v>413</v>
      </c>
      <c r="D290" s="13" t="s">
        <v>25</v>
      </c>
      <c r="E290" s="7" t="s">
        <v>44</v>
      </c>
      <c r="F290" s="7" t="s">
        <v>524</v>
      </c>
      <c r="G290" s="5" t="b">
        <v>0</v>
      </c>
      <c r="H290" s="5" t="str">
        <f t="shared" si="24"/>
        <v>HBM876.WSJF.893</v>
      </c>
      <c r="I290" s="7" t="s">
        <v>527</v>
      </c>
      <c r="J290" s="7" t="s">
        <v>713</v>
      </c>
      <c r="N290" s="7" t="s">
        <v>526</v>
      </c>
      <c r="O290" s="7" t="s">
        <v>28</v>
      </c>
      <c r="P290" s="7" t="s">
        <v>29</v>
      </c>
      <c r="Q290" s="7" t="s">
        <v>30</v>
      </c>
      <c r="R290" s="5" t="b">
        <v>0</v>
      </c>
      <c r="S290" s="5" t="s">
        <v>31</v>
      </c>
      <c r="T290" s="7" t="s">
        <v>49</v>
      </c>
      <c r="U290" s="7" t="s">
        <v>50</v>
      </c>
      <c r="V290" s="7" t="s">
        <v>51</v>
      </c>
      <c r="W290" s="7" t="s">
        <v>35</v>
      </c>
      <c r="X290" s="9">
        <v>45848.84246583333</v>
      </c>
      <c r="Y290" s="9">
        <v>45848.84246583333</v>
      </c>
    </row>
    <row r="291" ht="15.75" customHeight="1">
      <c r="A291" s="5" t="str">
        <f>HYPERLINK("https://portal.hubmapconsortium.org/browse/sample/1c0797b0b9cb354d812fb7bf7d81e003", "HBM326.ZQZP.668")</f>
        <v>HBM326.ZQZP.668</v>
      </c>
      <c r="C291" s="7" t="s">
        <v>413</v>
      </c>
      <c r="D291" s="13" t="s">
        <v>25</v>
      </c>
      <c r="E291" s="7" t="s">
        <v>44</v>
      </c>
      <c r="F291" s="7" t="s">
        <v>524</v>
      </c>
      <c r="G291" s="5" t="b">
        <v>0</v>
      </c>
      <c r="H291" s="5" t="str">
        <f t="shared" si="24"/>
        <v>HBM876.WSJF.893</v>
      </c>
      <c r="I291" s="7" t="s">
        <v>528</v>
      </c>
      <c r="J291" s="7" t="s">
        <v>713</v>
      </c>
      <c r="N291" s="7" t="s">
        <v>529</v>
      </c>
      <c r="O291" s="7" t="s">
        <v>28</v>
      </c>
      <c r="P291" s="7" t="s">
        <v>29</v>
      </c>
      <c r="Q291" s="7" t="s">
        <v>30</v>
      </c>
      <c r="R291" s="5" t="b">
        <v>0</v>
      </c>
      <c r="S291" s="5" t="s">
        <v>31</v>
      </c>
      <c r="T291" s="7" t="s">
        <v>49</v>
      </c>
      <c r="U291" s="7" t="s">
        <v>50</v>
      </c>
      <c r="V291" s="7" t="s">
        <v>51</v>
      </c>
      <c r="W291" s="7" t="s">
        <v>35</v>
      </c>
      <c r="X291" s="9">
        <v>45819.77854681713</v>
      </c>
      <c r="Y291" s="9">
        <v>45819.77854681713</v>
      </c>
    </row>
    <row r="292" ht="15.75" customHeight="1">
      <c r="A292" s="5" t="str">
        <f>HYPERLINK("https://portal.hubmapconsortium.org/browse/sample/0ac64586cd00faf117880a12baadd946", "HBM769.RDML.796")</f>
        <v>HBM769.RDML.796</v>
      </c>
      <c r="C292" s="7" t="s">
        <v>413</v>
      </c>
      <c r="D292" s="13" t="s">
        <v>25</v>
      </c>
      <c r="E292" s="7" t="s">
        <v>44</v>
      </c>
      <c r="F292" s="7" t="s">
        <v>524</v>
      </c>
      <c r="G292" s="5" t="b">
        <v>0</v>
      </c>
      <c r="H292" s="5" t="str">
        <f t="shared" si="24"/>
        <v>HBM876.WSJF.893</v>
      </c>
      <c r="I292" s="7" t="s">
        <v>530</v>
      </c>
      <c r="J292" s="7" t="s">
        <v>713</v>
      </c>
      <c r="N292" s="7" t="s">
        <v>529</v>
      </c>
      <c r="O292" s="7" t="s">
        <v>28</v>
      </c>
      <c r="P292" s="7" t="s">
        <v>29</v>
      </c>
      <c r="Q292" s="7" t="s">
        <v>30</v>
      </c>
      <c r="R292" s="5" t="b">
        <v>0</v>
      </c>
      <c r="S292" s="5" t="s">
        <v>31</v>
      </c>
      <c r="T292" s="7" t="s">
        <v>49</v>
      </c>
      <c r="U292" s="7" t="s">
        <v>50</v>
      </c>
      <c r="V292" s="7" t="s">
        <v>51</v>
      </c>
      <c r="W292" s="7" t="s">
        <v>35</v>
      </c>
      <c r="X292" s="9">
        <v>45819.77855729167</v>
      </c>
      <c r="Y292" s="9">
        <v>45819.77855729167</v>
      </c>
    </row>
    <row r="293" ht="15.75" customHeight="1">
      <c r="A293" s="5" t="str">
        <f>HYPERLINK("https://portal.hubmapconsortium.org/browse/sample/988a627172a8c6a0f1907cca2f58c705", "HBM859.FBZR.568")</f>
        <v>HBM859.FBZR.568</v>
      </c>
      <c r="C293" s="7" t="s">
        <v>413</v>
      </c>
      <c r="D293" s="13" t="s">
        <v>25</v>
      </c>
      <c r="E293" s="7" t="s">
        <v>44</v>
      </c>
      <c r="F293" s="7" t="s">
        <v>524</v>
      </c>
      <c r="G293" s="5" t="b">
        <v>0</v>
      </c>
      <c r="H293" s="5" t="str">
        <f t="shared" si="24"/>
        <v>HBM876.WSJF.893</v>
      </c>
      <c r="I293" s="7" t="s">
        <v>531</v>
      </c>
      <c r="J293" s="7" t="s">
        <v>713</v>
      </c>
      <c r="N293" s="7" t="s">
        <v>532</v>
      </c>
      <c r="O293" s="7" t="s">
        <v>28</v>
      </c>
      <c r="P293" s="7" t="s">
        <v>29</v>
      </c>
      <c r="Q293" s="7" t="s">
        <v>30</v>
      </c>
      <c r="R293" s="5" t="b">
        <v>0</v>
      </c>
      <c r="S293" s="5" t="s">
        <v>31</v>
      </c>
      <c r="T293" s="7" t="s">
        <v>49</v>
      </c>
      <c r="U293" s="7" t="s">
        <v>50</v>
      </c>
      <c r="V293" s="7" t="s">
        <v>51</v>
      </c>
      <c r="W293" s="7" t="s">
        <v>35</v>
      </c>
      <c r="X293" s="9">
        <v>45848.84252446759</v>
      </c>
      <c r="Y293" s="9">
        <v>45848.84252446759</v>
      </c>
    </row>
    <row r="294" ht="15.75" customHeight="1">
      <c r="A294" s="5" t="str">
        <f>HYPERLINK("https://portal.hubmapconsortium.org/browse/sample/3424d8ee4f3b0bc8ea5050550bd26bd3", "HBM978.QDDG.272")</f>
        <v>HBM978.QDDG.272</v>
      </c>
      <c r="C294" s="7" t="s">
        <v>413</v>
      </c>
      <c r="D294" s="13" t="s">
        <v>25</v>
      </c>
      <c r="E294" s="7" t="s">
        <v>44</v>
      </c>
      <c r="F294" s="7" t="s">
        <v>524</v>
      </c>
      <c r="G294" s="5" t="b">
        <v>0</v>
      </c>
      <c r="H294" s="5" t="str">
        <f t="shared" si="24"/>
        <v>HBM876.WSJF.893</v>
      </c>
      <c r="I294" s="7" t="s">
        <v>533</v>
      </c>
      <c r="J294" s="7" t="s">
        <v>713</v>
      </c>
      <c r="N294" s="7" t="s">
        <v>532</v>
      </c>
      <c r="O294" s="7" t="s">
        <v>28</v>
      </c>
      <c r="P294" s="7" t="s">
        <v>29</v>
      </c>
      <c r="Q294" s="7" t="s">
        <v>30</v>
      </c>
      <c r="R294" s="5" t="b">
        <v>0</v>
      </c>
      <c r="S294" s="5" t="s">
        <v>31</v>
      </c>
      <c r="T294" s="7" t="s">
        <v>49</v>
      </c>
      <c r="U294" s="7" t="s">
        <v>50</v>
      </c>
      <c r="V294" s="7" t="s">
        <v>51</v>
      </c>
      <c r="W294" s="7" t="s">
        <v>35</v>
      </c>
      <c r="X294" s="9">
        <v>45848.84268186343</v>
      </c>
      <c r="Y294" s="9">
        <v>45848.84268186343</v>
      </c>
    </row>
    <row r="295" ht="15.75" customHeight="1">
      <c r="A295" s="5" t="str">
        <f>HYPERLINK("https://portal.hubmapconsortium.org/browse/sample/9a8431409db2e840fd4d0d3dfb2d1681", "HBM873.DTZL.227")</f>
        <v>HBM873.DTZL.227</v>
      </c>
      <c r="C295" s="7" t="s">
        <v>413</v>
      </c>
      <c r="D295" s="13" t="s">
        <v>25</v>
      </c>
      <c r="E295" s="7" t="s">
        <v>44</v>
      </c>
      <c r="F295" s="7" t="s">
        <v>524</v>
      </c>
      <c r="G295" s="5" t="b">
        <v>0</v>
      </c>
      <c r="H295" s="5" t="str">
        <f t="shared" si="24"/>
        <v>HBM876.WSJF.893</v>
      </c>
      <c r="I295" s="7" t="s">
        <v>534</v>
      </c>
      <c r="J295" s="7" t="s">
        <v>713</v>
      </c>
      <c r="N295" s="7" t="s">
        <v>532</v>
      </c>
      <c r="O295" s="7" t="s">
        <v>28</v>
      </c>
      <c r="P295" s="7" t="s">
        <v>29</v>
      </c>
      <c r="Q295" s="7" t="s">
        <v>30</v>
      </c>
      <c r="R295" s="5" t="b">
        <v>0</v>
      </c>
      <c r="S295" s="5" t="s">
        <v>31</v>
      </c>
      <c r="T295" s="7" t="s">
        <v>49</v>
      </c>
      <c r="U295" s="7" t="s">
        <v>50</v>
      </c>
      <c r="V295" s="7" t="s">
        <v>51</v>
      </c>
      <c r="W295" s="7" t="s">
        <v>35</v>
      </c>
      <c r="X295" s="9">
        <v>45848.84275918981</v>
      </c>
      <c r="Y295" s="9">
        <v>45848.84275918981</v>
      </c>
    </row>
    <row r="296" ht="15.75" customHeight="1">
      <c r="A296" s="5" t="str">
        <f>HYPERLINK("https://portal.hubmapconsortium.org/browse/sample/ae029e006d6a79c90160a4f73134cbfb", "HBM734.PQPM.854")</f>
        <v>HBM734.PQPM.854</v>
      </c>
      <c r="C296" s="7" t="s">
        <v>413</v>
      </c>
      <c r="D296" s="13" t="s">
        <v>25</v>
      </c>
      <c r="E296" s="7" t="s">
        <v>44</v>
      </c>
      <c r="F296" s="7" t="s">
        <v>524</v>
      </c>
      <c r="G296" s="5" t="b">
        <v>0</v>
      </c>
      <c r="H296" s="5" t="str">
        <f t="shared" si="24"/>
        <v>HBM876.WSJF.893</v>
      </c>
      <c r="I296" s="7" t="s">
        <v>535</v>
      </c>
      <c r="J296" s="7" t="s">
        <v>713</v>
      </c>
      <c r="N296" s="7" t="s">
        <v>532</v>
      </c>
      <c r="O296" s="7" t="s">
        <v>28</v>
      </c>
      <c r="P296" s="7" t="s">
        <v>29</v>
      </c>
      <c r="Q296" s="7" t="s">
        <v>30</v>
      </c>
      <c r="R296" s="5" t="b">
        <v>0</v>
      </c>
      <c r="S296" s="5" t="s">
        <v>31</v>
      </c>
      <c r="T296" s="7" t="s">
        <v>49</v>
      </c>
      <c r="U296" s="7" t="s">
        <v>50</v>
      </c>
      <c r="V296" s="7" t="s">
        <v>51</v>
      </c>
      <c r="W296" s="7" t="s">
        <v>35</v>
      </c>
      <c r="X296" s="9">
        <v>45848.84285159722</v>
      </c>
      <c r="Y296" s="9">
        <v>45848.84285159722</v>
      </c>
    </row>
    <row r="297" ht="15.75" customHeight="1">
      <c r="A297" s="11" t="str">
        <f>HYPERLINK("https://portal.hubmapconsortium.org/browse/sample/580a16770fe2cc9683e9f5beaeda66f1", "HBM529.BBLJ.439")</f>
        <v>HBM529.BBLJ.439</v>
      </c>
      <c r="B297" s="13"/>
      <c r="C297" s="13" t="s">
        <v>413</v>
      </c>
      <c r="D297" s="13" t="s">
        <v>25</v>
      </c>
      <c r="E297" s="7" t="s">
        <v>44</v>
      </c>
      <c r="F297" s="13" t="s">
        <v>536</v>
      </c>
      <c r="G297" s="11" t="b">
        <v>0</v>
      </c>
      <c r="H297" s="11" t="str">
        <f t="shared" ref="H297:H304" si="25">HYPERLINK("https://portal.hubmapconsortium.org/browse/sample/a71ec2c3319d3c6e51febfd5f115347d", "HBM797.FCBQ.962")</f>
        <v>HBM797.FCBQ.962</v>
      </c>
      <c r="I297" s="13" t="s">
        <v>537</v>
      </c>
      <c r="J297" s="25" t="s">
        <v>290</v>
      </c>
      <c r="K297" s="13"/>
      <c r="L297" s="13"/>
      <c r="M297" s="13"/>
      <c r="N297" s="13" t="s">
        <v>538</v>
      </c>
      <c r="O297" s="13" t="s">
        <v>28</v>
      </c>
      <c r="P297" s="13" t="s">
        <v>29</v>
      </c>
      <c r="Q297" s="13" t="s">
        <v>30</v>
      </c>
      <c r="R297" s="11" t="b">
        <v>0</v>
      </c>
      <c r="S297" s="11" t="s">
        <v>31</v>
      </c>
      <c r="T297" s="13" t="s">
        <v>49</v>
      </c>
      <c r="U297" s="13" t="s">
        <v>50</v>
      </c>
      <c r="V297" s="13" t="s">
        <v>51</v>
      </c>
      <c r="W297" s="13" t="s">
        <v>35</v>
      </c>
      <c r="X297" s="14">
        <v>45525.65148475694</v>
      </c>
      <c r="Y297" s="14">
        <v>45525.65148475694</v>
      </c>
      <c r="Z297" s="13"/>
      <c r="AA297" s="13"/>
    </row>
    <row r="298" ht="15.75" customHeight="1">
      <c r="A298" s="11" t="str">
        <f>HYPERLINK("https://portal.hubmapconsortium.org/browse/sample/8be5f9740b71062d3eeb420ea07b4a9c", "HBM244.DSWJ.575")</f>
        <v>HBM244.DSWJ.575</v>
      </c>
      <c r="B298" s="13"/>
      <c r="C298" s="13" t="s">
        <v>413</v>
      </c>
      <c r="D298" s="13" t="s">
        <v>25</v>
      </c>
      <c r="E298" s="7" t="s">
        <v>44</v>
      </c>
      <c r="F298" s="13" t="s">
        <v>536</v>
      </c>
      <c r="G298" s="11" t="b">
        <v>0</v>
      </c>
      <c r="H298" s="11" t="str">
        <f t="shared" si="25"/>
        <v>HBM797.FCBQ.962</v>
      </c>
      <c r="I298" s="13" t="s">
        <v>539</v>
      </c>
      <c r="J298" s="13"/>
      <c r="K298" s="13"/>
      <c r="L298" s="13"/>
      <c r="M298" s="13"/>
      <c r="N298" s="13" t="s">
        <v>540</v>
      </c>
      <c r="O298" s="13" t="s">
        <v>28</v>
      </c>
      <c r="P298" s="13" t="s">
        <v>29</v>
      </c>
      <c r="Q298" s="13" t="s">
        <v>30</v>
      </c>
      <c r="R298" s="11" t="b">
        <v>0</v>
      </c>
      <c r="S298" s="11" t="s">
        <v>31</v>
      </c>
      <c r="T298" s="13" t="s">
        <v>49</v>
      </c>
      <c r="U298" s="13" t="s">
        <v>50</v>
      </c>
      <c r="V298" s="13" t="s">
        <v>51</v>
      </c>
      <c r="W298" s="13" t="s">
        <v>35</v>
      </c>
      <c r="X298" s="14">
        <v>45525.65149917824</v>
      </c>
      <c r="Y298" s="14">
        <v>45525.65149917824</v>
      </c>
      <c r="Z298" s="13"/>
      <c r="AA298" s="13"/>
    </row>
    <row r="299" ht="15.75" customHeight="1">
      <c r="A299" s="11" t="str">
        <f>HYPERLINK("https://portal.hubmapconsortium.org/browse/sample/5e0cab49161c5499d7c47e17b8017152", "HBM788.CXRT.572")</f>
        <v>HBM788.CXRT.572</v>
      </c>
      <c r="B299" s="13"/>
      <c r="C299" s="13" t="s">
        <v>413</v>
      </c>
      <c r="D299" s="13" t="s">
        <v>25</v>
      </c>
      <c r="E299" s="7" t="s">
        <v>44</v>
      </c>
      <c r="F299" s="13" t="s">
        <v>536</v>
      </c>
      <c r="G299" s="11" t="b">
        <v>0</v>
      </c>
      <c r="H299" s="11" t="str">
        <f t="shared" si="25"/>
        <v>HBM797.FCBQ.962</v>
      </c>
      <c r="I299" s="13" t="s">
        <v>541</v>
      </c>
      <c r="J299" s="13"/>
      <c r="K299" s="13"/>
      <c r="L299" s="13"/>
      <c r="M299" s="13"/>
      <c r="N299" s="13" t="s">
        <v>542</v>
      </c>
      <c r="O299" s="13" t="s">
        <v>28</v>
      </c>
      <c r="P299" s="13" t="s">
        <v>29</v>
      </c>
      <c r="Q299" s="13" t="s">
        <v>30</v>
      </c>
      <c r="R299" s="11" t="b">
        <v>0</v>
      </c>
      <c r="S299" s="11" t="s">
        <v>31</v>
      </c>
      <c r="T299" s="13" t="s">
        <v>49</v>
      </c>
      <c r="U299" s="13" t="s">
        <v>50</v>
      </c>
      <c r="V299" s="13" t="s">
        <v>51</v>
      </c>
      <c r="W299" s="13" t="s">
        <v>35</v>
      </c>
      <c r="X299" s="14">
        <v>45525.65151391204</v>
      </c>
      <c r="Y299" s="14">
        <v>45525.65151391204</v>
      </c>
      <c r="Z299" s="13"/>
      <c r="AA299" s="13"/>
    </row>
    <row r="300" ht="15.75" customHeight="1">
      <c r="A300" s="11" t="str">
        <f>HYPERLINK("https://portal.hubmapconsortium.org/browse/sample/e181c390484e43f492ad4c86b54a2d63", "HBM298.ZKZV.772")</f>
        <v>HBM298.ZKZV.772</v>
      </c>
      <c r="B300" s="13"/>
      <c r="C300" s="13" t="s">
        <v>413</v>
      </c>
      <c r="D300" s="13" t="s">
        <v>25</v>
      </c>
      <c r="E300" s="7" t="s">
        <v>44</v>
      </c>
      <c r="F300" s="13" t="s">
        <v>536</v>
      </c>
      <c r="G300" s="11" t="b">
        <v>0</v>
      </c>
      <c r="H300" s="11" t="str">
        <f t="shared" si="25"/>
        <v>HBM797.FCBQ.962</v>
      </c>
      <c r="I300" s="13" t="s">
        <v>543</v>
      </c>
      <c r="J300" s="13"/>
      <c r="K300" s="13"/>
      <c r="L300" s="13"/>
      <c r="M300" s="13"/>
      <c r="N300" s="13" t="s">
        <v>544</v>
      </c>
      <c r="O300" s="13" t="s">
        <v>28</v>
      </c>
      <c r="P300" s="13" t="s">
        <v>29</v>
      </c>
      <c r="Q300" s="13" t="s">
        <v>30</v>
      </c>
      <c r="R300" s="11" t="b">
        <v>0</v>
      </c>
      <c r="S300" s="11" t="s">
        <v>31</v>
      </c>
      <c r="T300" s="13" t="s">
        <v>32</v>
      </c>
      <c r="U300" s="13" t="s">
        <v>50</v>
      </c>
      <c r="V300" s="13" t="s">
        <v>51</v>
      </c>
      <c r="W300" s="13" t="s">
        <v>35</v>
      </c>
      <c r="X300" s="14">
        <v>45525.65152797454</v>
      </c>
      <c r="Y300" s="14">
        <v>45525.65152797454</v>
      </c>
      <c r="Z300" s="13"/>
      <c r="AA300" s="13"/>
    </row>
    <row r="301" ht="15.75" customHeight="1">
      <c r="A301" s="11" t="str">
        <f>HYPERLINK("https://portal.hubmapconsortium.org/browse/sample/4c70bbe9355e0f22791f2e76f8c9256d", "HBM554.RJKT.329")</f>
        <v>HBM554.RJKT.329</v>
      </c>
      <c r="B301" s="13"/>
      <c r="C301" s="13" t="s">
        <v>413</v>
      </c>
      <c r="D301" s="13" t="s">
        <v>25</v>
      </c>
      <c r="E301" s="7" t="s">
        <v>44</v>
      </c>
      <c r="F301" s="13" t="s">
        <v>536</v>
      </c>
      <c r="G301" s="11" t="b">
        <v>0</v>
      </c>
      <c r="H301" s="11" t="str">
        <f t="shared" si="25"/>
        <v>HBM797.FCBQ.962</v>
      </c>
      <c r="I301" s="13" t="s">
        <v>545</v>
      </c>
      <c r="J301" s="13"/>
      <c r="K301" s="13"/>
      <c r="L301" s="13"/>
      <c r="M301" s="13"/>
      <c r="N301" s="13" t="s">
        <v>538</v>
      </c>
      <c r="O301" s="13" t="s">
        <v>28</v>
      </c>
      <c r="P301" s="13" t="s">
        <v>29</v>
      </c>
      <c r="Q301" s="13" t="s">
        <v>30</v>
      </c>
      <c r="R301" s="11" t="b">
        <v>0</v>
      </c>
      <c r="S301" s="11" t="s">
        <v>31</v>
      </c>
      <c r="T301" s="13" t="s">
        <v>49</v>
      </c>
      <c r="U301" s="13" t="s">
        <v>50</v>
      </c>
      <c r="V301" s="13" t="s">
        <v>51</v>
      </c>
      <c r="W301" s="13" t="s">
        <v>35</v>
      </c>
      <c r="X301" s="14">
        <v>45525.65154203703</v>
      </c>
      <c r="Y301" s="14">
        <v>45525.65154203703</v>
      </c>
      <c r="Z301" s="13"/>
      <c r="AA301" s="13"/>
    </row>
    <row r="302" ht="15.75" customHeight="1">
      <c r="A302" s="11" t="str">
        <f>HYPERLINK("https://portal.hubmapconsortium.org/browse/sample/a25d84c923f37f9803cac9d6641ae78f", "HBM884.WGFX.556")</f>
        <v>HBM884.WGFX.556</v>
      </c>
      <c r="B302" s="13"/>
      <c r="C302" s="13" t="s">
        <v>413</v>
      </c>
      <c r="D302" s="13" t="s">
        <v>25</v>
      </c>
      <c r="E302" s="7" t="s">
        <v>44</v>
      </c>
      <c r="F302" s="13" t="s">
        <v>536</v>
      </c>
      <c r="G302" s="11" t="b">
        <v>0</v>
      </c>
      <c r="H302" s="11" t="str">
        <f t="shared" si="25"/>
        <v>HBM797.FCBQ.962</v>
      </c>
      <c r="I302" s="13" t="s">
        <v>546</v>
      </c>
      <c r="J302" s="13"/>
      <c r="K302" s="13"/>
      <c r="L302" s="13"/>
      <c r="M302" s="13"/>
      <c r="N302" s="13" t="s">
        <v>540</v>
      </c>
      <c r="O302" s="13" t="s">
        <v>28</v>
      </c>
      <c r="P302" s="13" t="s">
        <v>29</v>
      </c>
      <c r="Q302" s="13" t="s">
        <v>30</v>
      </c>
      <c r="R302" s="11" t="b">
        <v>0</v>
      </c>
      <c r="S302" s="11" t="s">
        <v>31</v>
      </c>
      <c r="T302" s="13" t="s">
        <v>49</v>
      </c>
      <c r="U302" s="13" t="s">
        <v>50</v>
      </c>
      <c r="V302" s="13" t="s">
        <v>51</v>
      </c>
      <c r="W302" s="13" t="s">
        <v>35</v>
      </c>
      <c r="X302" s="14">
        <v>45525.65155681713</v>
      </c>
      <c r="Y302" s="14">
        <v>45525.65155681713</v>
      </c>
      <c r="Z302" s="13"/>
      <c r="AA302" s="13"/>
    </row>
    <row r="303" ht="15.75" customHeight="1">
      <c r="A303" s="11" t="str">
        <f>HYPERLINK("https://portal.hubmapconsortium.org/browse/sample/83ea151ecde7529b21628c5454dcadf9", "HBM383.NJXL.495")</f>
        <v>HBM383.NJXL.495</v>
      </c>
      <c r="B303" s="13"/>
      <c r="C303" s="13" t="s">
        <v>413</v>
      </c>
      <c r="D303" s="13" t="s">
        <v>25</v>
      </c>
      <c r="E303" s="7" t="s">
        <v>44</v>
      </c>
      <c r="F303" s="13" t="s">
        <v>536</v>
      </c>
      <c r="G303" s="11" t="b">
        <v>0</v>
      </c>
      <c r="H303" s="11" t="str">
        <f t="shared" si="25"/>
        <v>HBM797.FCBQ.962</v>
      </c>
      <c r="I303" s="13" t="s">
        <v>547</v>
      </c>
      <c r="J303" s="13"/>
      <c r="K303" s="13"/>
      <c r="L303" s="13"/>
      <c r="M303" s="13"/>
      <c r="N303" s="13" t="s">
        <v>542</v>
      </c>
      <c r="O303" s="13" t="s">
        <v>28</v>
      </c>
      <c r="P303" s="13" t="s">
        <v>29</v>
      </c>
      <c r="Q303" s="13" t="s">
        <v>30</v>
      </c>
      <c r="R303" s="11" t="b">
        <v>0</v>
      </c>
      <c r="S303" s="11" t="s">
        <v>31</v>
      </c>
      <c r="T303" s="13" t="s">
        <v>49</v>
      </c>
      <c r="U303" s="13" t="s">
        <v>50</v>
      </c>
      <c r="V303" s="13" t="s">
        <v>51</v>
      </c>
      <c r="W303" s="13" t="s">
        <v>35</v>
      </c>
      <c r="X303" s="14">
        <v>45525.65157178241</v>
      </c>
      <c r="Y303" s="14">
        <v>45525.65157178241</v>
      </c>
      <c r="Z303" s="13"/>
      <c r="AA303" s="13"/>
    </row>
    <row r="304" ht="15.75" customHeight="1">
      <c r="A304" s="11" t="str">
        <f>HYPERLINK("https://portal.hubmapconsortium.org/browse/sample/611e232869eb92c748ae35367c8e7750", "HBM923.NPJQ.767")</f>
        <v>HBM923.NPJQ.767</v>
      </c>
      <c r="B304" s="13"/>
      <c r="C304" s="13" t="s">
        <v>413</v>
      </c>
      <c r="D304" s="13" t="s">
        <v>25</v>
      </c>
      <c r="E304" s="7" t="s">
        <v>44</v>
      </c>
      <c r="F304" s="13" t="s">
        <v>536</v>
      </c>
      <c r="G304" s="11" t="b">
        <v>0</v>
      </c>
      <c r="H304" s="11" t="str">
        <f t="shared" si="25"/>
        <v>HBM797.FCBQ.962</v>
      </c>
      <c r="I304" s="13" t="s">
        <v>548</v>
      </c>
      <c r="J304" s="13"/>
      <c r="K304" s="13"/>
      <c r="L304" s="13"/>
      <c r="M304" s="13"/>
      <c r="N304" s="13" t="s">
        <v>544</v>
      </c>
      <c r="O304" s="13" t="s">
        <v>28</v>
      </c>
      <c r="P304" s="13" t="s">
        <v>29</v>
      </c>
      <c r="Q304" s="13" t="s">
        <v>30</v>
      </c>
      <c r="R304" s="11" t="b">
        <v>0</v>
      </c>
      <c r="S304" s="11" t="s">
        <v>31</v>
      </c>
      <c r="T304" s="13" t="s">
        <v>32</v>
      </c>
      <c r="U304" s="13" t="s">
        <v>50</v>
      </c>
      <c r="V304" s="13" t="s">
        <v>51</v>
      </c>
      <c r="W304" s="13" t="s">
        <v>35</v>
      </c>
      <c r="X304" s="14">
        <v>45525.65158587963</v>
      </c>
      <c r="Y304" s="14">
        <v>45525.65158587963</v>
      </c>
      <c r="Z304" s="13"/>
      <c r="AA304" s="13"/>
    </row>
    <row r="305" ht="15.75" customHeight="1">
      <c r="A305" s="11" t="str">
        <f>HYPERLINK("https://portal.hubmapconsortium.org/browse/sample/d270d79b5a50c411851607fa9d53a12a", "HBM894.LLTJ.532")</f>
        <v>HBM894.LLTJ.532</v>
      </c>
      <c r="B305" s="13"/>
      <c r="C305" s="13" t="s">
        <v>549</v>
      </c>
      <c r="D305" s="13" t="s">
        <v>25</v>
      </c>
      <c r="E305" s="7" t="s">
        <v>44</v>
      </c>
      <c r="F305" s="13" t="s">
        <v>550</v>
      </c>
      <c r="G305" s="11" t="b">
        <v>0</v>
      </c>
      <c r="H305" s="11" t="str">
        <f t="shared" ref="H305:H312" si="26">HYPERLINK("https://portal.hubmapconsortium.org/browse/sample/fbc0f117563df0ca324dd2001e9b7df6", "HBM387.FLPV.658")</f>
        <v>HBM387.FLPV.658</v>
      </c>
      <c r="I305" s="13" t="s">
        <v>551</v>
      </c>
      <c r="J305" s="13"/>
      <c r="K305" s="13"/>
      <c r="L305" s="13"/>
      <c r="M305" s="13"/>
      <c r="N305" s="13" t="s">
        <v>552</v>
      </c>
      <c r="O305" s="13" t="s">
        <v>28</v>
      </c>
      <c r="P305" s="13" t="s">
        <v>29</v>
      </c>
      <c r="Q305" s="13" t="s">
        <v>30</v>
      </c>
      <c r="R305" s="11" t="b">
        <v>0</v>
      </c>
      <c r="S305" s="11" t="s">
        <v>553</v>
      </c>
      <c r="T305" s="13" t="s">
        <v>49</v>
      </c>
      <c r="U305" s="13" t="s">
        <v>33</v>
      </c>
      <c r="V305" s="13" t="s">
        <v>34</v>
      </c>
      <c r="W305" s="13" t="s">
        <v>35</v>
      </c>
      <c r="X305" s="14">
        <v>45726.68560628472</v>
      </c>
      <c r="Y305" s="14">
        <v>45726.68560628472</v>
      </c>
      <c r="Z305" s="13"/>
      <c r="AA305" s="13"/>
    </row>
    <row r="306" ht="15.75" customHeight="1">
      <c r="A306" s="11" t="str">
        <f>HYPERLINK("https://portal.hubmapconsortium.org/browse/sample/0a191f77274786ff4f4f5a404a46c798", "HBM867.VBNC.459")</f>
        <v>HBM867.VBNC.459</v>
      </c>
      <c r="B306" s="13"/>
      <c r="C306" s="13" t="s">
        <v>549</v>
      </c>
      <c r="D306" s="13" t="s">
        <v>25</v>
      </c>
      <c r="E306" s="7" t="s">
        <v>44</v>
      </c>
      <c r="F306" s="13" t="s">
        <v>550</v>
      </c>
      <c r="G306" s="11" t="b">
        <v>0</v>
      </c>
      <c r="H306" s="11" t="str">
        <f t="shared" si="26"/>
        <v>HBM387.FLPV.658</v>
      </c>
      <c r="I306" s="13" t="s">
        <v>554</v>
      </c>
      <c r="J306" s="13"/>
      <c r="K306" s="13"/>
      <c r="L306" s="13"/>
      <c r="M306" s="13"/>
      <c r="N306" s="13" t="s">
        <v>555</v>
      </c>
      <c r="O306" s="13" t="s">
        <v>28</v>
      </c>
      <c r="P306" s="13" t="s">
        <v>29</v>
      </c>
      <c r="Q306" s="13" t="s">
        <v>30</v>
      </c>
      <c r="R306" s="11" t="b">
        <v>0</v>
      </c>
      <c r="S306" s="11" t="s">
        <v>553</v>
      </c>
      <c r="T306" s="13" t="s">
        <v>49</v>
      </c>
      <c r="U306" s="13" t="s">
        <v>33</v>
      </c>
      <c r="V306" s="13" t="s">
        <v>34</v>
      </c>
      <c r="W306" s="13" t="s">
        <v>35</v>
      </c>
      <c r="X306" s="14">
        <v>45726.68562972223</v>
      </c>
      <c r="Y306" s="14">
        <v>45726.68562972223</v>
      </c>
      <c r="Z306" s="13"/>
      <c r="AA306" s="13"/>
    </row>
    <row r="307" ht="15.75" customHeight="1">
      <c r="A307" s="11" t="str">
        <f>HYPERLINK("https://portal.hubmapconsortium.org/browse/sample/b41a28fe7ed4d547f2844a556171c020", "HBM834.DTLS.928")</f>
        <v>HBM834.DTLS.928</v>
      </c>
      <c r="B307" s="13"/>
      <c r="C307" s="13" t="s">
        <v>549</v>
      </c>
      <c r="D307" s="13" t="s">
        <v>25</v>
      </c>
      <c r="E307" s="7" t="s">
        <v>44</v>
      </c>
      <c r="F307" s="13" t="s">
        <v>550</v>
      </c>
      <c r="G307" s="11" t="b">
        <v>0</v>
      </c>
      <c r="H307" s="11" t="str">
        <f t="shared" si="26"/>
        <v>HBM387.FLPV.658</v>
      </c>
      <c r="I307" s="13" t="s">
        <v>556</v>
      </c>
      <c r="J307" s="13"/>
      <c r="K307" s="13"/>
      <c r="L307" s="13"/>
      <c r="M307" s="13"/>
      <c r="N307" s="13" t="s">
        <v>557</v>
      </c>
      <c r="O307" s="13" t="s">
        <v>28</v>
      </c>
      <c r="P307" s="13" t="s">
        <v>29</v>
      </c>
      <c r="Q307" s="13" t="s">
        <v>30</v>
      </c>
      <c r="R307" s="11" t="b">
        <v>0</v>
      </c>
      <c r="S307" s="11" t="s">
        <v>553</v>
      </c>
      <c r="T307" s="13" t="s">
        <v>49</v>
      </c>
      <c r="U307" s="13" t="s">
        <v>33</v>
      </c>
      <c r="V307" s="13" t="s">
        <v>34</v>
      </c>
      <c r="W307" s="13" t="s">
        <v>35</v>
      </c>
      <c r="X307" s="14">
        <v>45726.68565243055</v>
      </c>
      <c r="Y307" s="14">
        <v>45726.68565243055</v>
      </c>
      <c r="Z307" s="13"/>
      <c r="AA307" s="13"/>
    </row>
    <row r="308" ht="15.75" customHeight="1">
      <c r="A308" s="11" t="str">
        <f>HYPERLINK("https://portal.hubmapconsortium.org/browse/sample/db2d21f65dea4cdb41fff83df2c37481", "HBM323.VXCD.463")</f>
        <v>HBM323.VXCD.463</v>
      </c>
      <c r="B308" s="13"/>
      <c r="C308" s="13" t="s">
        <v>549</v>
      </c>
      <c r="D308" s="13" t="s">
        <v>25</v>
      </c>
      <c r="E308" s="7" t="s">
        <v>44</v>
      </c>
      <c r="F308" s="13" t="s">
        <v>550</v>
      </c>
      <c r="G308" s="11" t="b">
        <v>0</v>
      </c>
      <c r="H308" s="11" t="str">
        <f t="shared" si="26"/>
        <v>HBM387.FLPV.658</v>
      </c>
      <c r="I308" s="13" t="s">
        <v>558</v>
      </c>
      <c r="J308" s="13"/>
      <c r="K308" s="13"/>
      <c r="L308" s="13"/>
      <c r="M308" s="13"/>
      <c r="N308" s="13" t="s">
        <v>299</v>
      </c>
      <c r="O308" s="13" t="s">
        <v>28</v>
      </c>
      <c r="P308" s="13" t="s">
        <v>29</v>
      </c>
      <c r="Q308" s="13" t="s">
        <v>30</v>
      </c>
      <c r="R308" s="11" t="b">
        <v>0</v>
      </c>
      <c r="S308" s="11" t="s">
        <v>553</v>
      </c>
      <c r="T308" s="13" t="s">
        <v>32</v>
      </c>
      <c r="U308" s="13" t="s">
        <v>33</v>
      </c>
      <c r="V308" s="13" t="s">
        <v>34</v>
      </c>
      <c r="W308" s="13" t="s">
        <v>35</v>
      </c>
      <c r="X308" s="14">
        <v>45726.68567237269</v>
      </c>
      <c r="Y308" s="14">
        <v>45726.68567237269</v>
      </c>
      <c r="Z308" s="13"/>
      <c r="AA308" s="13"/>
    </row>
    <row r="309" ht="15.75" customHeight="1">
      <c r="A309" s="11" t="str">
        <f>HYPERLINK("https://portal.hubmapconsortium.org/browse/sample/164b4a33fdbfcb47dbd716dcfec19835", "HBM579.BCKS.947")</f>
        <v>HBM579.BCKS.947</v>
      </c>
      <c r="B309" s="13"/>
      <c r="C309" s="13" t="s">
        <v>549</v>
      </c>
      <c r="D309" s="13" t="s">
        <v>25</v>
      </c>
      <c r="E309" s="7" t="s">
        <v>44</v>
      </c>
      <c r="F309" s="13" t="s">
        <v>550</v>
      </c>
      <c r="G309" s="11" t="b">
        <v>0</v>
      </c>
      <c r="H309" s="11" t="str">
        <f t="shared" si="26"/>
        <v>HBM387.FLPV.658</v>
      </c>
      <c r="I309" s="13" t="s">
        <v>559</v>
      </c>
      <c r="J309" s="13"/>
      <c r="K309" s="13"/>
      <c r="L309" s="13"/>
      <c r="M309" s="13"/>
      <c r="N309" s="13" t="s">
        <v>552</v>
      </c>
      <c r="O309" s="13" t="s">
        <v>28</v>
      </c>
      <c r="P309" s="13" t="s">
        <v>29</v>
      </c>
      <c r="Q309" s="13" t="s">
        <v>30</v>
      </c>
      <c r="R309" s="11" t="b">
        <v>0</v>
      </c>
      <c r="S309" s="11" t="s">
        <v>553</v>
      </c>
      <c r="T309" s="13" t="s">
        <v>49</v>
      </c>
      <c r="U309" s="13" t="s">
        <v>33</v>
      </c>
      <c r="V309" s="13" t="s">
        <v>34</v>
      </c>
      <c r="W309" s="13" t="s">
        <v>35</v>
      </c>
      <c r="X309" s="14">
        <v>45726.68569641204</v>
      </c>
      <c r="Y309" s="14">
        <v>45726.68569641204</v>
      </c>
      <c r="Z309" s="13"/>
      <c r="AA309" s="13"/>
    </row>
    <row r="310" ht="15.75" customHeight="1">
      <c r="A310" s="11" t="str">
        <f>HYPERLINK("https://portal.hubmapconsortium.org/browse/sample/8ce8e3ded04746345a6feb8000ba8d63", "HBM839.WPFM.642")</f>
        <v>HBM839.WPFM.642</v>
      </c>
      <c r="B310" s="13"/>
      <c r="C310" s="13" t="s">
        <v>549</v>
      </c>
      <c r="D310" s="13" t="s">
        <v>25</v>
      </c>
      <c r="E310" s="7" t="s">
        <v>44</v>
      </c>
      <c r="F310" s="13" t="s">
        <v>550</v>
      </c>
      <c r="G310" s="11" t="b">
        <v>0</v>
      </c>
      <c r="H310" s="11" t="str">
        <f t="shared" si="26"/>
        <v>HBM387.FLPV.658</v>
      </c>
      <c r="I310" s="13" t="s">
        <v>560</v>
      </c>
      <c r="J310" s="13"/>
      <c r="K310" s="13"/>
      <c r="L310" s="13"/>
      <c r="M310" s="13"/>
      <c r="N310" s="13" t="s">
        <v>555</v>
      </c>
      <c r="O310" s="13" t="s">
        <v>28</v>
      </c>
      <c r="P310" s="13" t="s">
        <v>29</v>
      </c>
      <c r="Q310" s="13" t="s">
        <v>30</v>
      </c>
      <c r="R310" s="11" t="b">
        <v>0</v>
      </c>
      <c r="S310" s="11" t="s">
        <v>553</v>
      </c>
      <c r="T310" s="13" t="s">
        <v>49</v>
      </c>
      <c r="U310" s="13" t="s">
        <v>33</v>
      </c>
      <c r="V310" s="13" t="s">
        <v>34</v>
      </c>
      <c r="W310" s="13" t="s">
        <v>35</v>
      </c>
      <c r="X310" s="14">
        <v>45726.68572087963</v>
      </c>
      <c r="Y310" s="14">
        <v>45726.68572087963</v>
      </c>
      <c r="Z310" s="13"/>
      <c r="AA310" s="13"/>
    </row>
    <row r="311" ht="15.75" customHeight="1">
      <c r="A311" s="11" t="str">
        <f>HYPERLINK("https://portal.hubmapconsortium.org/browse/sample/88f8b551dcb06d979c380e5b45767963", "HBM977.RVNW.268")</f>
        <v>HBM977.RVNW.268</v>
      </c>
      <c r="B311" s="13"/>
      <c r="C311" s="13" t="s">
        <v>549</v>
      </c>
      <c r="D311" s="13" t="s">
        <v>25</v>
      </c>
      <c r="E311" s="7" t="s">
        <v>44</v>
      </c>
      <c r="F311" s="13" t="s">
        <v>550</v>
      </c>
      <c r="G311" s="11" t="b">
        <v>0</v>
      </c>
      <c r="H311" s="11" t="str">
        <f t="shared" si="26"/>
        <v>HBM387.FLPV.658</v>
      </c>
      <c r="I311" s="13" t="s">
        <v>561</v>
      </c>
      <c r="J311" s="13"/>
      <c r="K311" s="13"/>
      <c r="L311" s="13"/>
      <c r="M311" s="13"/>
      <c r="N311" s="13" t="s">
        <v>557</v>
      </c>
      <c r="O311" s="13" t="s">
        <v>28</v>
      </c>
      <c r="P311" s="13" t="s">
        <v>29</v>
      </c>
      <c r="Q311" s="13" t="s">
        <v>30</v>
      </c>
      <c r="R311" s="11" t="b">
        <v>0</v>
      </c>
      <c r="S311" s="11" t="s">
        <v>553</v>
      </c>
      <c r="T311" s="13" t="s">
        <v>49</v>
      </c>
      <c r="U311" s="13" t="s">
        <v>33</v>
      </c>
      <c r="V311" s="13" t="s">
        <v>34</v>
      </c>
      <c r="W311" s="13" t="s">
        <v>35</v>
      </c>
      <c r="X311" s="14">
        <v>45726.68574642361</v>
      </c>
      <c r="Y311" s="14">
        <v>45726.68574642361</v>
      </c>
      <c r="Z311" s="13"/>
      <c r="AA311" s="13"/>
    </row>
    <row r="312" ht="15.75" customHeight="1">
      <c r="A312" s="11" t="str">
        <f>HYPERLINK("https://portal.hubmapconsortium.org/browse/sample/474e2a00aed43002bda1c22a75e7a4b3", "HBM392.XTCF.759")</f>
        <v>HBM392.XTCF.759</v>
      </c>
      <c r="B312" s="13"/>
      <c r="C312" s="13" t="s">
        <v>549</v>
      </c>
      <c r="D312" s="13" t="s">
        <v>25</v>
      </c>
      <c r="E312" s="7" t="s">
        <v>44</v>
      </c>
      <c r="F312" s="13" t="s">
        <v>550</v>
      </c>
      <c r="G312" s="11" t="b">
        <v>0</v>
      </c>
      <c r="H312" s="11" t="str">
        <f t="shared" si="26"/>
        <v>HBM387.FLPV.658</v>
      </c>
      <c r="I312" s="13" t="s">
        <v>562</v>
      </c>
      <c r="J312" s="13"/>
      <c r="K312" s="13"/>
      <c r="L312" s="13"/>
      <c r="M312" s="13"/>
      <c r="N312" s="13" t="s">
        <v>299</v>
      </c>
      <c r="O312" s="13" t="s">
        <v>28</v>
      </c>
      <c r="P312" s="13" t="s">
        <v>29</v>
      </c>
      <c r="Q312" s="13" t="s">
        <v>30</v>
      </c>
      <c r="R312" s="11" t="b">
        <v>0</v>
      </c>
      <c r="S312" s="11" t="s">
        <v>553</v>
      </c>
      <c r="T312" s="13" t="s">
        <v>32</v>
      </c>
      <c r="U312" s="13" t="s">
        <v>33</v>
      </c>
      <c r="V312" s="13" t="s">
        <v>34</v>
      </c>
      <c r="W312" s="13" t="s">
        <v>35</v>
      </c>
      <c r="X312" s="14">
        <v>45726.68577142361</v>
      </c>
      <c r="Y312" s="14">
        <v>45726.68577142361</v>
      </c>
      <c r="Z312" s="13"/>
      <c r="AA312" s="13"/>
    </row>
    <row r="313" ht="15.75" customHeight="1">
      <c r="A313" s="11" t="str">
        <f>HYPERLINK("https://portal.hubmapconsortium.org/browse/sample/f583c88f020fdd3fdd5e78e47d0af716", "HBM632.LPKH.747")</f>
        <v>HBM632.LPKH.747</v>
      </c>
      <c r="B313" s="13"/>
      <c r="C313" s="13" t="s">
        <v>549</v>
      </c>
      <c r="D313" s="13" t="s">
        <v>25</v>
      </c>
      <c r="E313" s="7" t="s">
        <v>44</v>
      </c>
      <c r="F313" s="13" t="s">
        <v>563</v>
      </c>
      <c r="G313" s="11" t="b">
        <v>0</v>
      </c>
      <c r="H313" s="11" t="str">
        <f t="shared" ref="H313:H376" si="27">HYPERLINK("https://portal.hubmapconsortium.org/browse/sample/76b132346676d19ecc52dd0e7f6ec220", "HBM758.PXTF.453")</f>
        <v>HBM758.PXTF.453</v>
      </c>
      <c r="I313" s="13" t="s">
        <v>564</v>
      </c>
      <c r="J313" s="13"/>
      <c r="K313" s="13"/>
      <c r="L313" s="13"/>
      <c r="M313" s="13"/>
      <c r="N313" s="13" t="s">
        <v>565</v>
      </c>
      <c r="O313" s="13" t="s">
        <v>28</v>
      </c>
      <c r="P313" s="13" t="s">
        <v>29</v>
      </c>
      <c r="Q313" s="13" t="s">
        <v>30</v>
      </c>
      <c r="R313" s="11" t="b">
        <v>0</v>
      </c>
      <c r="S313" s="11" t="s">
        <v>553</v>
      </c>
      <c r="T313" s="13" t="s">
        <v>49</v>
      </c>
      <c r="U313" s="13" t="s">
        <v>33</v>
      </c>
      <c r="V313" s="13" t="s">
        <v>34</v>
      </c>
      <c r="W313" s="13" t="s">
        <v>35</v>
      </c>
      <c r="X313" s="14">
        <v>45726.70084053241</v>
      </c>
      <c r="Y313" s="14">
        <v>45726.70084053241</v>
      </c>
      <c r="Z313" s="13"/>
      <c r="AA313" s="13"/>
    </row>
    <row r="314" ht="15.75" customHeight="1">
      <c r="A314" s="11" t="str">
        <f>HYPERLINK("https://portal.hubmapconsortium.org/browse/sample/fdc84e6caf3816718f1070120d65bec5", "HBM879.WFZP.765")</f>
        <v>HBM879.WFZP.765</v>
      </c>
      <c r="B314" s="13"/>
      <c r="C314" s="13" t="s">
        <v>549</v>
      </c>
      <c r="D314" s="13" t="s">
        <v>25</v>
      </c>
      <c r="E314" s="7" t="s">
        <v>44</v>
      </c>
      <c r="F314" s="13" t="s">
        <v>563</v>
      </c>
      <c r="G314" s="11" t="b">
        <v>0</v>
      </c>
      <c r="H314" s="11" t="str">
        <f t="shared" si="27"/>
        <v>HBM758.PXTF.453</v>
      </c>
      <c r="I314" s="13" t="s">
        <v>566</v>
      </c>
      <c r="J314" s="13"/>
      <c r="K314" s="13"/>
      <c r="L314" s="13"/>
      <c r="M314" s="13"/>
      <c r="N314" s="13" t="s">
        <v>567</v>
      </c>
      <c r="O314" s="13" t="s">
        <v>28</v>
      </c>
      <c r="P314" s="13" t="s">
        <v>29</v>
      </c>
      <c r="Q314" s="13" t="s">
        <v>30</v>
      </c>
      <c r="R314" s="11" t="b">
        <v>0</v>
      </c>
      <c r="S314" s="11" t="s">
        <v>553</v>
      </c>
      <c r="T314" s="13" t="s">
        <v>49</v>
      </c>
      <c r="U314" s="13" t="s">
        <v>33</v>
      </c>
      <c r="V314" s="13" t="s">
        <v>34</v>
      </c>
      <c r="W314" s="13" t="s">
        <v>35</v>
      </c>
      <c r="X314" s="14">
        <v>45726.7008597801</v>
      </c>
      <c r="Y314" s="14">
        <v>45726.7008597801</v>
      </c>
      <c r="Z314" s="13"/>
      <c r="AA314" s="13"/>
    </row>
    <row r="315" ht="15.75" customHeight="1">
      <c r="A315" s="11" t="str">
        <f>HYPERLINK("https://portal.hubmapconsortium.org/browse/sample/b498c0d33b7c4b96eecebdf59bb51002", "HBM294.CDRV.327")</f>
        <v>HBM294.CDRV.327</v>
      </c>
      <c r="B315" s="13"/>
      <c r="C315" s="13" t="s">
        <v>549</v>
      </c>
      <c r="D315" s="13" t="s">
        <v>25</v>
      </c>
      <c r="E315" s="7" t="s">
        <v>44</v>
      </c>
      <c r="F315" s="13" t="s">
        <v>563</v>
      </c>
      <c r="G315" s="11" t="b">
        <v>0</v>
      </c>
      <c r="H315" s="11" t="str">
        <f t="shared" si="27"/>
        <v>HBM758.PXTF.453</v>
      </c>
      <c r="I315" s="13" t="s">
        <v>568</v>
      </c>
      <c r="J315" s="13"/>
      <c r="K315" s="13"/>
      <c r="L315" s="13"/>
      <c r="M315" s="13"/>
      <c r="N315" s="13" t="s">
        <v>569</v>
      </c>
      <c r="O315" s="13" t="s">
        <v>28</v>
      </c>
      <c r="P315" s="13" t="s">
        <v>29</v>
      </c>
      <c r="Q315" s="13" t="s">
        <v>30</v>
      </c>
      <c r="R315" s="11" t="b">
        <v>0</v>
      </c>
      <c r="S315" s="11" t="s">
        <v>553</v>
      </c>
      <c r="T315" s="13" t="s">
        <v>49</v>
      </c>
      <c r="U315" s="13" t="s">
        <v>33</v>
      </c>
      <c r="V315" s="13" t="s">
        <v>34</v>
      </c>
      <c r="W315" s="13" t="s">
        <v>35</v>
      </c>
      <c r="X315" s="14">
        <v>45726.70087984954</v>
      </c>
      <c r="Y315" s="14">
        <v>45726.70087984954</v>
      </c>
      <c r="Z315" s="13"/>
      <c r="AA315" s="13"/>
    </row>
    <row r="316" ht="15.75" customHeight="1">
      <c r="A316" s="11" t="str">
        <f>HYPERLINK("https://portal.hubmapconsortium.org/browse/sample/029031d89e3a9a22f357f23ad7ad8569", "HBM733.GHHT.994")</f>
        <v>HBM733.GHHT.994</v>
      </c>
      <c r="B316" s="13"/>
      <c r="C316" s="13" t="s">
        <v>549</v>
      </c>
      <c r="D316" s="13" t="s">
        <v>25</v>
      </c>
      <c r="E316" s="7" t="s">
        <v>44</v>
      </c>
      <c r="F316" s="13" t="s">
        <v>563</v>
      </c>
      <c r="G316" s="11" t="b">
        <v>0</v>
      </c>
      <c r="H316" s="11" t="str">
        <f t="shared" si="27"/>
        <v>HBM758.PXTF.453</v>
      </c>
      <c r="I316" s="13" t="s">
        <v>570</v>
      </c>
      <c r="J316" s="13"/>
      <c r="K316" s="13"/>
      <c r="L316" s="13"/>
      <c r="M316" s="13"/>
      <c r="N316" s="13" t="s">
        <v>312</v>
      </c>
      <c r="O316" s="13" t="s">
        <v>28</v>
      </c>
      <c r="P316" s="13" t="s">
        <v>29</v>
      </c>
      <c r="Q316" s="13" t="s">
        <v>30</v>
      </c>
      <c r="R316" s="11" t="b">
        <v>0</v>
      </c>
      <c r="S316" s="11" t="s">
        <v>553</v>
      </c>
      <c r="T316" s="13" t="s">
        <v>32</v>
      </c>
      <c r="U316" s="13" t="s">
        <v>33</v>
      </c>
      <c r="V316" s="13" t="s">
        <v>34</v>
      </c>
      <c r="W316" s="13" t="s">
        <v>35</v>
      </c>
      <c r="X316" s="14">
        <v>45726.70089947917</v>
      </c>
      <c r="Y316" s="14">
        <v>45726.70089947917</v>
      </c>
      <c r="Z316" s="13"/>
      <c r="AA316" s="13"/>
    </row>
    <row r="317" ht="15.75" customHeight="1">
      <c r="A317" s="11" t="str">
        <f>HYPERLINK("https://portal.hubmapconsortium.org/browse/sample/0c7972676e993c59f7d3facaa6bff018", "HBM259.LLGN.592")</f>
        <v>HBM259.LLGN.592</v>
      </c>
      <c r="B317" s="13"/>
      <c r="C317" s="13" t="s">
        <v>549</v>
      </c>
      <c r="D317" s="13" t="s">
        <v>25</v>
      </c>
      <c r="E317" s="7" t="s">
        <v>44</v>
      </c>
      <c r="F317" s="13" t="s">
        <v>563</v>
      </c>
      <c r="G317" s="11" t="b">
        <v>0</v>
      </c>
      <c r="H317" s="11" t="str">
        <f t="shared" si="27"/>
        <v>HBM758.PXTF.453</v>
      </c>
      <c r="I317" s="13" t="s">
        <v>571</v>
      </c>
      <c r="J317" s="13"/>
      <c r="K317" s="13"/>
      <c r="L317" s="13"/>
      <c r="M317" s="13"/>
      <c r="N317" s="13" t="s">
        <v>572</v>
      </c>
      <c r="O317" s="13" t="s">
        <v>28</v>
      </c>
      <c r="P317" s="13" t="s">
        <v>29</v>
      </c>
      <c r="Q317" s="13" t="s">
        <v>30</v>
      </c>
      <c r="R317" s="11" t="b">
        <v>0</v>
      </c>
      <c r="S317" s="11" t="s">
        <v>553</v>
      </c>
      <c r="T317" s="13" t="s">
        <v>49</v>
      </c>
      <c r="U317" s="13" t="s">
        <v>33</v>
      </c>
      <c r="V317" s="13" t="s">
        <v>34</v>
      </c>
      <c r="W317" s="13" t="s">
        <v>35</v>
      </c>
      <c r="X317" s="14">
        <v>45726.70091984954</v>
      </c>
      <c r="Y317" s="14">
        <v>45726.70091984954</v>
      </c>
      <c r="Z317" s="13"/>
      <c r="AA317" s="13"/>
    </row>
    <row r="318" ht="15.75" customHeight="1">
      <c r="A318" s="11" t="str">
        <f>HYPERLINK("https://portal.hubmapconsortium.org/browse/sample/4077db05f9ff4097a1dbe5d4eb0632ef", "HBM275.LTQX.937")</f>
        <v>HBM275.LTQX.937</v>
      </c>
      <c r="B318" s="13"/>
      <c r="C318" s="13" t="s">
        <v>549</v>
      </c>
      <c r="D318" s="13" t="s">
        <v>25</v>
      </c>
      <c r="E318" s="7" t="s">
        <v>44</v>
      </c>
      <c r="F318" s="13" t="s">
        <v>563</v>
      </c>
      <c r="G318" s="11" t="b">
        <v>0</v>
      </c>
      <c r="H318" s="11" t="str">
        <f t="shared" si="27"/>
        <v>HBM758.PXTF.453</v>
      </c>
      <c r="I318" s="13" t="s">
        <v>573</v>
      </c>
      <c r="J318" s="13"/>
      <c r="K318" s="13"/>
      <c r="L318" s="13"/>
      <c r="M318" s="13"/>
      <c r="N318" s="13" t="s">
        <v>574</v>
      </c>
      <c r="O318" s="13" t="s">
        <v>28</v>
      </c>
      <c r="P318" s="13" t="s">
        <v>29</v>
      </c>
      <c r="Q318" s="13" t="s">
        <v>30</v>
      </c>
      <c r="R318" s="11" t="b">
        <v>0</v>
      </c>
      <c r="S318" s="11" t="s">
        <v>553</v>
      </c>
      <c r="T318" s="13" t="s">
        <v>49</v>
      </c>
      <c r="U318" s="13" t="s">
        <v>33</v>
      </c>
      <c r="V318" s="13" t="s">
        <v>34</v>
      </c>
      <c r="W318" s="13" t="s">
        <v>35</v>
      </c>
      <c r="X318" s="14">
        <v>45726.70094130787</v>
      </c>
      <c r="Y318" s="14">
        <v>45726.70094130787</v>
      </c>
      <c r="Z318" s="13"/>
      <c r="AA318" s="13"/>
    </row>
    <row r="319" ht="15.75" customHeight="1">
      <c r="A319" s="11" t="str">
        <f>HYPERLINK("https://portal.hubmapconsortium.org/browse/sample/f3c0a28837ee674382eee501d40bef71", "HBM767.DTRP.663")</f>
        <v>HBM767.DTRP.663</v>
      </c>
      <c r="B319" s="13"/>
      <c r="C319" s="13" t="s">
        <v>549</v>
      </c>
      <c r="D319" s="13" t="s">
        <v>25</v>
      </c>
      <c r="E319" s="7" t="s">
        <v>44</v>
      </c>
      <c r="F319" s="13" t="s">
        <v>563</v>
      </c>
      <c r="G319" s="11" t="b">
        <v>0</v>
      </c>
      <c r="H319" s="11" t="str">
        <f t="shared" si="27"/>
        <v>HBM758.PXTF.453</v>
      </c>
      <c r="I319" s="13" t="s">
        <v>575</v>
      </c>
      <c r="J319" s="13"/>
      <c r="K319" s="13"/>
      <c r="L319" s="13"/>
      <c r="M319" s="13"/>
      <c r="N319" s="13" t="s">
        <v>576</v>
      </c>
      <c r="O319" s="13" t="s">
        <v>28</v>
      </c>
      <c r="P319" s="13" t="s">
        <v>29</v>
      </c>
      <c r="Q319" s="13" t="s">
        <v>30</v>
      </c>
      <c r="R319" s="11" t="b">
        <v>0</v>
      </c>
      <c r="S319" s="11" t="s">
        <v>553</v>
      </c>
      <c r="T319" s="13" t="s">
        <v>49</v>
      </c>
      <c r="U319" s="13" t="s">
        <v>33</v>
      </c>
      <c r="V319" s="13" t="s">
        <v>34</v>
      </c>
      <c r="W319" s="13" t="s">
        <v>35</v>
      </c>
      <c r="X319" s="14">
        <v>45726.70095995371</v>
      </c>
      <c r="Y319" s="14">
        <v>45726.70095995371</v>
      </c>
      <c r="Z319" s="13"/>
      <c r="AA319" s="13"/>
    </row>
    <row r="320" ht="15.75" customHeight="1">
      <c r="A320" s="11" t="str">
        <f>HYPERLINK("https://portal.hubmapconsortium.org/browse/sample/9e4a2e02b51dd46978ff15f246cd5646", "HBM498.LZHN.484")</f>
        <v>HBM498.LZHN.484</v>
      </c>
      <c r="B320" s="13"/>
      <c r="C320" s="13" t="s">
        <v>549</v>
      </c>
      <c r="D320" s="13" t="s">
        <v>25</v>
      </c>
      <c r="E320" s="7" t="s">
        <v>44</v>
      </c>
      <c r="F320" s="13" t="s">
        <v>563</v>
      </c>
      <c r="G320" s="11" t="b">
        <v>0</v>
      </c>
      <c r="H320" s="11" t="str">
        <f t="shared" si="27"/>
        <v>HBM758.PXTF.453</v>
      </c>
      <c r="I320" s="13" t="s">
        <v>577</v>
      </c>
      <c r="J320" s="13"/>
      <c r="K320" s="13"/>
      <c r="L320" s="13"/>
      <c r="M320" s="13"/>
      <c r="N320" s="13" t="s">
        <v>320</v>
      </c>
      <c r="O320" s="13" t="s">
        <v>28</v>
      </c>
      <c r="P320" s="13" t="s">
        <v>29</v>
      </c>
      <c r="Q320" s="13" t="s">
        <v>30</v>
      </c>
      <c r="R320" s="11" t="b">
        <v>0</v>
      </c>
      <c r="S320" s="11" t="s">
        <v>553</v>
      </c>
      <c r="T320" s="13" t="s">
        <v>32</v>
      </c>
      <c r="U320" s="13" t="s">
        <v>33</v>
      </c>
      <c r="V320" s="13" t="s">
        <v>34</v>
      </c>
      <c r="W320" s="13" t="s">
        <v>35</v>
      </c>
      <c r="X320" s="14">
        <v>45726.70098101852</v>
      </c>
      <c r="Y320" s="14">
        <v>45726.70098101852</v>
      </c>
      <c r="Z320" s="13"/>
      <c r="AA320" s="13"/>
    </row>
    <row r="321" ht="15.75" customHeight="1">
      <c r="A321" s="11" t="str">
        <f>HYPERLINK("https://portal.hubmapconsortium.org/browse/sample/6310ad325bb162a5d081114758fd6c4c", "HBM797.VMLR.565")</f>
        <v>HBM797.VMLR.565</v>
      </c>
      <c r="B321" s="13"/>
      <c r="C321" s="13" t="s">
        <v>549</v>
      </c>
      <c r="D321" s="13" t="s">
        <v>25</v>
      </c>
      <c r="E321" s="7" t="s">
        <v>44</v>
      </c>
      <c r="F321" s="13" t="s">
        <v>563</v>
      </c>
      <c r="G321" s="11" t="b">
        <v>0</v>
      </c>
      <c r="H321" s="11" t="str">
        <f t="shared" si="27"/>
        <v>HBM758.PXTF.453</v>
      </c>
      <c r="I321" s="13" t="s">
        <v>578</v>
      </c>
      <c r="J321" s="13"/>
      <c r="K321" s="13"/>
      <c r="L321" s="13"/>
      <c r="M321" s="13"/>
      <c r="N321" s="13" t="s">
        <v>579</v>
      </c>
      <c r="O321" s="13" t="s">
        <v>28</v>
      </c>
      <c r="P321" s="13" t="s">
        <v>29</v>
      </c>
      <c r="Q321" s="13" t="s">
        <v>30</v>
      </c>
      <c r="R321" s="11" t="b">
        <v>0</v>
      </c>
      <c r="S321" s="11" t="s">
        <v>553</v>
      </c>
      <c r="T321" s="13" t="s">
        <v>49</v>
      </c>
      <c r="U321" s="13" t="s">
        <v>33</v>
      </c>
      <c r="V321" s="13" t="s">
        <v>34</v>
      </c>
      <c r="W321" s="13" t="s">
        <v>35</v>
      </c>
      <c r="X321" s="14">
        <v>45726.70100094908</v>
      </c>
      <c r="Y321" s="14">
        <v>45726.70100094908</v>
      </c>
      <c r="Z321" s="13"/>
      <c r="AA321" s="13"/>
    </row>
    <row r="322" ht="15.75" customHeight="1">
      <c r="A322" s="11" t="str">
        <f>HYPERLINK("https://portal.hubmapconsortium.org/browse/sample/f1f74418f040a5def71636970ae0284c", "HBM645.LMSN.866")</f>
        <v>HBM645.LMSN.866</v>
      </c>
      <c r="B322" s="13"/>
      <c r="C322" s="13" t="s">
        <v>549</v>
      </c>
      <c r="D322" s="13" t="s">
        <v>25</v>
      </c>
      <c r="E322" s="7" t="s">
        <v>44</v>
      </c>
      <c r="F322" s="13" t="s">
        <v>563</v>
      </c>
      <c r="G322" s="11" t="b">
        <v>0</v>
      </c>
      <c r="H322" s="11" t="str">
        <f t="shared" si="27"/>
        <v>HBM758.PXTF.453</v>
      </c>
      <c r="I322" s="13" t="s">
        <v>580</v>
      </c>
      <c r="J322" s="13"/>
      <c r="K322" s="13"/>
      <c r="L322" s="13"/>
      <c r="M322" s="13"/>
      <c r="N322" s="13" t="s">
        <v>581</v>
      </c>
      <c r="O322" s="13" t="s">
        <v>28</v>
      </c>
      <c r="P322" s="13" t="s">
        <v>29</v>
      </c>
      <c r="Q322" s="13" t="s">
        <v>30</v>
      </c>
      <c r="R322" s="11" t="b">
        <v>0</v>
      </c>
      <c r="S322" s="11" t="s">
        <v>553</v>
      </c>
      <c r="T322" s="13" t="s">
        <v>49</v>
      </c>
      <c r="U322" s="13" t="s">
        <v>33</v>
      </c>
      <c r="V322" s="13" t="s">
        <v>34</v>
      </c>
      <c r="W322" s="13" t="s">
        <v>35</v>
      </c>
      <c r="X322" s="14">
        <v>45726.70101946759</v>
      </c>
      <c r="Y322" s="14">
        <v>45726.70101946759</v>
      </c>
      <c r="Z322" s="13"/>
      <c r="AA322" s="13"/>
    </row>
    <row r="323" ht="15.75" customHeight="1">
      <c r="A323" s="11" t="str">
        <f>HYPERLINK("https://portal.hubmapconsortium.org/browse/sample/085b8ca54946d7017eac6d2fc191e0dc", "HBM572.FVCS.756")</f>
        <v>HBM572.FVCS.756</v>
      </c>
      <c r="B323" s="13"/>
      <c r="C323" s="13" t="s">
        <v>549</v>
      </c>
      <c r="D323" s="13" t="s">
        <v>25</v>
      </c>
      <c r="E323" s="7" t="s">
        <v>44</v>
      </c>
      <c r="F323" s="13" t="s">
        <v>563</v>
      </c>
      <c r="G323" s="11" t="b">
        <v>0</v>
      </c>
      <c r="H323" s="11" t="str">
        <f t="shared" si="27"/>
        <v>HBM758.PXTF.453</v>
      </c>
      <c r="I323" s="13" t="s">
        <v>582</v>
      </c>
      <c r="J323" s="13"/>
      <c r="K323" s="13"/>
      <c r="L323" s="13"/>
      <c r="M323" s="13"/>
      <c r="N323" s="13" t="s">
        <v>583</v>
      </c>
      <c r="O323" s="13" t="s">
        <v>28</v>
      </c>
      <c r="P323" s="13" t="s">
        <v>29</v>
      </c>
      <c r="Q323" s="13" t="s">
        <v>30</v>
      </c>
      <c r="R323" s="11" t="b">
        <v>0</v>
      </c>
      <c r="S323" s="11" t="s">
        <v>553</v>
      </c>
      <c r="T323" s="13" t="s">
        <v>49</v>
      </c>
      <c r="U323" s="13" t="s">
        <v>33</v>
      </c>
      <c r="V323" s="13" t="s">
        <v>34</v>
      </c>
      <c r="W323" s="13" t="s">
        <v>35</v>
      </c>
      <c r="X323" s="14">
        <v>45726.70103692129</v>
      </c>
      <c r="Y323" s="14">
        <v>45726.70103692129</v>
      </c>
      <c r="Z323" s="13"/>
      <c r="AA323" s="13"/>
    </row>
    <row r="324" ht="15.75" customHeight="1">
      <c r="A324" s="11" t="str">
        <f>HYPERLINK("https://portal.hubmapconsortium.org/browse/sample/33b97402e4d0a8f1d6d2ddeb9d603504", "HBM838.HWXK.327")</f>
        <v>HBM838.HWXK.327</v>
      </c>
      <c r="B324" s="13"/>
      <c r="C324" s="13" t="s">
        <v>549</v>
      </c>
      <c r="D324" s="13" t="s">
        <v>25</v>
      </c>
      <c r="E324" s="7" t="s">
        <v>44</v>
      </c>
      <c r="F324" s="13" t="s">
        <v>563</v>
      </c>
      <c r="G324" s="11" t="b">
        <v>0</v>
      </c>
      <c r="H324" s="11" t="str">
        <f t="shared" si="27"/>
        <v>HBM758.PXTF.453</v>
      </c>
      <c r="I324" s="13" t="s">
        <v>584</v>
      </c>
      <c r="J324" s="13"/>
      <c r="K324" s="13"/>
      <c r="L324" s="13"/>
      <c r="M324" s="13"/>
      <c r="N324" s="13" t="s">
        <v>328</v>
      </c>
      <c r="O324" s="13" t="s">
        <v>28</v>
      </c>
      <c r="P324" s="13" t="s">
        <v>29</v>
      </c>
      <c r="Q324" s="13" t="s">
        <v>30</v>
      </c>
      <c r="R324" s="11" t="b">
        <v>0</v>
      </c>
      <c r="S324" s="11" t="s">
        <v>553</v>
      </c>
      <c r="T324" s="13" t="s">
        <v>32</v>
      </c>
      <c r="U324" s="13" t="s">
        <v>33</v>
      </c>
      <c r="V324" s="13" t="s">
        <v>34</v>
      </c>
      <c r="W324" s="13" t="s">
        <v>35</v>
      </c>
      <c r="X324" s="14">
        <v>45726.70105756944</v>
      </c>
      <c r="Y324" s="14">
        <v>45726.70105756944</v>
      </c>
      <c r="Z324" s="13"/>
      <c r="AA324" s="13"/>
    </row>
    <row r="325" ht="15.75" customHeight="1">
      <c r="A325" s="11" t="str">
        <f>HYPERLINK("https://portal.hubmapconsortium.org/browse/sample/1052760ecb2e2d1ac2bb2d3412012652", "HBM372.BHKD.438")</f>
        <v>HBM372.BHKD.438</v>
      </c>
      <c r="B325" s="13"/>
      <c r="C325" s="13" t="s">
        <v>549</v>
      </c>
      <c r="D325" s="13" t="s">
        <v>25</v>
      </c>
      <c r="E325" s="7" t="s">
        <v>44</v>
      </c>
      <c r="F325" s="13" t="s">
        <v>563</v>
      </c>
      <c r="G325" s="11" t="b">
        <v>0</v>
      </c>
      <c r="H325" s="11" t="str">
        <f t="shared" si="27"/>
        <v>HBM758.PXTF.453</v>
      </c>
      <c r="I325" s="13" t="s">
        <v>585</v>
      </c>
      <c r="J325" s="13"/>
      <c r="K325" s="13"/>
      <c r="L325" s="13"/>
      <c r="M325" s="13"/>
      <c r="N325" s="13" t="s">
        <v>586</v>
      </c>
      <c r="O325" s="13" t="s">
        <v>28</v>
      </c>
      <c r="P325" s="13" t="s">
        <v>29</v>
      </c>
      <c r="Q325" s="13" t="s">
        <v>30</v>
      </c>
      <c r="R325" s="11" t="b">
        <v>0</v>
      </c>
      <c r="S325" s="11" t="s">
        <v>553</v>
      </c>
      <c r="T325" s="13" t="s">
        <v>49</v>
      </c>
      <c r="U325" s="13" t="s">
        <v>33</v>
      </c>
      <c r="V325" s="13" t="s">
        <v>34</v>
      </c>
      <c r="W325" s="13" t="s">
        <v>35</v>
      </c>
      <c r="X325" s="14">
        <v>45726.70107682871</v>
      </c>
      <c r="Y325" s="14">
        <v>45726.70107682871</v>
      </c>
      <c r="Z325" s="13"/>
      <c r="AA325" s="13"/>
    </row>
    <row r="326" ht="15.75" customHeight="1">
      <c r="A326" s="11" t="str">
        <f>HYPERLINK("https://portal.hubmapconsortium.org/browse/sample/5e6e8101528bb82c9f85d15601736e93", "HBM657.FDRV.875")</f>
        <v>HBM657.FDRV.875</v>
      </c>
      <c r="B326" s="13"/>
      <c r="C326" s="13" t="s">
        <v>549</v>
      </c>
      <c r="D326" s="13" t="s">
        <v>25</v>
      </c>
      <c r="E326" s="7" t="s">
        <v>44</v>
      </c>
      <c r="F326" s="13" t="s">
        <v>563</v>
      </c>
      <c r="G326" s="11" t="b">
        <v>0</v>
      </c>
      <c r="H326" s="11" t="str">
        <f t="shared" si="27"/>
        <v>HBM758.PXTF.453</v>
      </c>
      <c r="I326" s="13" t="s">
        <v>587</v>
      </c>
      <c r="J326" s="13"/>
      <c r="K326" s="13"/>
      <c r="L326" s="13"/>
      <c r="M326" s="13"/>
      <c r="N326" s="13" t="s">
        <v>588</v>
      </c>
      <c r="O326" s="13" t="s">
        <v>28</v>
      </c>
      <c r="P326" s="13" t="s">
        <v>29</v>
      </c>
      <c r="Q326" s="13" t="s">
        <v>30</v>
      </c>
      <c r="R326" s="11" t="b">
        <v>0</v>
      </c>
      <c r="S326" s="11" t="s">
        <v>553</v>
      </c>
      <c r="T326" s="13" t="s">
        <v>49</v>
      </c>
      <c r="U326" s="13" t="s">
        <v>33</v>
      </c>
      <c r="V326" s="13" t="s">
        <v>34</v>
      </c>
      <c r="W326" s="13" t="s">
        <v>35</v>
      </c>
      <c r="X326" s="14">
        <v>45726.70109771991</v>
      </c>
      <c r="Y326" s="14">
        <v>45726.70109771991</v>
      </c>
      <c r="Z326" s="13"/>
      <c r="AA326" s="13"/>
    </row>
    <row r="327" ht="15.75" customHeight="1">
      <c r="A327" s="11" t="str">
        <f>HYPERLINK("https://portal.hubmapconsortium.org/browse/sample/5bbb2d61384d2cb2cd1e77e86261792f", "HBM395.CCCZ.997")</f>
        <v>HBM395.CCCZ.997</v>
      </c>
      <c r="B327" s="13"/>
      <c r="C327" s="13" t="s">
        <v>549</v>
      </c>
      <c r="D327" s="13" t="s">
        <v>25</v>
      </c>
      <c r="E327" s="7" t="s">
        <v>44</v>
      </c>
      <c r="F327" s="13" t="s">
        <v>563</v>
      </c>
      <c r="G327" s="11" t="b">
        <v>0</v>
      </c>
      <c r="H327" s="11" t="str">
        <f t="shared" si="27"/>
        <v>HBM758.PXTF.453</v>
      </c>
      <c r="I327" s="13" t="s">
        <v>589</v>
      </c>
      <c r="J327" s="13"/>
      <c r="K327" s="13"/>
      <c r="L327" s="13"/>
      <c r="M327" s="13"/>
      <c r="N327" s="13" t="s">
        <v>590</v>
      </c>
      <c r="O327" s="13" t="s">
        <v>28</v>
      </c>
      <c r="P327" s="13" t="s">
        <v>29</v>
      </c>
      <c r="Q327" s="13" t="s">
        <v>30</v>
      </c>
      <c r="R327" s="11" t="b">
        <v>0</v>
      </c>
      <c r="S327" s="11" t="s">
        <v>553</v>
      </c>
      <c r="T327" s="13" t="s">
        <v>49</v>
      </c>
      <c r="U327" s="13" t="s">
        <v>33</v>
      </c>
      <c r="V327" s="13" t="s">
        <v>34</v>
      </c>
      <c r="W327" s="13" t="s">
        <v>35</v>
      </c>
      <c r="X327" s="14">
        <v>45726.70111837963</v>
      </c>
      <c r="Y327" s="14">
        <v>45726.70111837963</v>
      </c>
      <c r="Z327" s="13"/>
      <c r="AA327" s="13"/>
    </row>
    <row r="328" ht="15.75" customHeight="1">
      <c r="A328" s="11" t="str">
        <f>HYPERLINK("https://portal.hubmapconsortium.org/browse/sample/b31afcbae826467cb08bb9570b68ebfa", "HBM838.LCGG.839")</f>
        <v>HBM838.LCGG.839</v>
      </c>
      <c r="B328" s="13"/>
      <c r="C328" s="13" t="s">
        <v>549</v>
      </c>
      <c r="D328" s="13" t="s">
        <v>25</v>
      </c>
      <c r="E328" s="7" t="s">
        <v>44</v>
      </c>
      <c r="F328" s="13" t="s">
        <v>563</v>
      </c>
      <c r="G328" s="11" t="b">
        <v>0</v>
      </c>
      <c r="H328" s="11" t="str">
        <f t="shared" si="27"/>
        <v>HBM758.PXTF.453</v>
      </c>
      <c r="I328" s="13" t="s">
        <v>591</v>
      </c>
      <c r="J328" s="13"/>
      <c r="K328" s="13"/>
      <c r="L328" s="13"/>
      <c r="M328" s="13"/>
      <c r="N328" s="13" t="s">
        <v>336</v>
      </c>
      <c r="O328" s="13" t="s">
        <v>28</v>
      </c>
      <c r="P328" s="13" t="s">
        <v>29</v>
      </c>
      <c r="Q328" s="13" t="s">
        <v>30</v>
      </c>
      <c r="R328" s="11" t="b">
        <v>0</v>
      </c>
      <c r="S328" s="11" t="s">
        <v>553</v>
      </c>
      <c r="T328" s="13" t="s">
        <v>32</v>
      </c>
      <c r="U328" s="13" t="s">
        <v>33</v>
      </c>
      <c r="V328" s="13" t="s">
        <v>34</v>
      </c>
      <c r="W328" s="13" t="s">
        <v>35</v>
      </c>
      <c r="X328" s="14">
        <v>45726.70113847222</v>
      </c>
      <c r="Y328" s="14">
        <v>45726.70113847222</v>
      </c>
      <c r="Z328" s="13"/>
      <c r="AA328" s="13"/>
    </row>
    <row r="329" ht="15.75" customHeight="1">
      <c r="A329" s="11" t="str">
        <f>HYPERLINK("https://portal.hubmapconsortium.org/browse/sample/bc9f34ae876a1c145a4b59ac8d6d872d", "HBM624.JGBB.838")</f>
        <v>HBM624.JGBB.838</v>
      </c>
      <c r="B329" s="13"/>
      <c r="C329" s="13" t="s">
        <v>549</v>
      </c>
      <c r="D329" s="13" t="s">
        <v>25</v>
      </c>
      <c r="E329" s="7" t="s">
        <v>44</v>
      </c>
      <c r="F329" s="13" t="s">
        <v>563</v>
      </c>
      <c r="G329" s="11" t="b">
        <v>0</v>
      </c>
      <c r="H329" s="11" t="str">
        <f t="shared" si="27"/>
        <v>HBM758.PXTF.453</v>
      </c>
      <c r="I329" s="13" t="s">
        <v>592</v>
      </c>
      <c r="J329" s="13"/>
      <c r="K329" s="13"/>
      <c r="L329" s="13"/>
      <c r="M329" s="13"/>
      <c r="N329" s="13" t="s">
        <v>565</v>
      </c>
      <c r="O329" s="13" t="s">
        <v>28</v>
      </c>
      <c r="P329" s="13" t="s">
        <v>29</v>
      </c>
      <c r="Q329" s="13" t="s">
        <v>30</v>
      </c>
      <c r="R329" s="11" t="b">
        <v>0</v>
      </c>
      <c r="S329" s="11" t="s">
        <v>553</v>
      </c>
      <c r="T329" s="13" t="s">
        <v>49</v>
      </c>
      <c r="U329" s="13" t="s">
        <v>33</v>
      </c>
      <c r="V329" s="13" t="s">
        <v>34</v>
      </c>
      <c r="W329" s="13" t="s">
        <v>35</v>
      </c>
      <c r="X329" s="14">
        <v>45726.70115993056</v>
      </c>
      <c r="Y329" s="14">
        <v>45726.70115993056</v>
      </c>
      <c r="Z329" s="13"/>
      <c r="AA329" s="13"/>
    </row>
    <row r="330" ht="15.75" customHeight="1">
      <c r="A330" s="11" t="str">
        <f>HYPERLINK("https://portal.hubmapconsortium.org/browse/sample/fc137d3e9ab7321045a16cd49ad867b3", "HBM369.KKCB.279")</f>
        <v>HBM369.KKCB.279</v>
      </c>
      <c r="B330" s="13"/>
      <c r="C330" s="13" t="s">
        <v>549</v>
      </c>
      <c r="D330" s="13" t="s">
        <v>25</v>
      </c>
      <c r="E330" s="7" t="s">
        <v>44</v>
      </c>
      <c r="F330" s="13" t="s">
        <v>563</v>
      </c>
      <c r="G330" s="11" t="b">
        <v>0</v>
      </c>
      <c r="H330" s="11" t="str">
        <f t="shared" si="27"/>
        <v>HBM758.PXTF.453</v>
      </c>
      <c r="I330" s="13" t="s">
        <v>593</v>
      </c>
      <c r="J330" s="13"/>
      <c r="K330" s="13"/>
      <c r="L330" s="13"/>
      <c r="M330" s="13"/>
      <c r="N330" s="13" t="s">
        <v>567</v>
      </c>
      <c r="O330" s="13" t="s">
        <v>28</v>
      </c>
      <c r="P330" s="13" t="s">
        <v>29</v>
      </c>
      <c r="Q330" s="13" t="s">
        <v>30</v>
      </c>
      <c r="R330" s="11" t="b">
        <v>0</v>
      </c>
      <c r="S330" s="11" t="s">
        <v>553</v>
      </c>
      <c r="T330" s="13" t="s">
        <v>49</v>
      </c>
      <c r="U330" s="13" t="s">
        <v>33</v>
      </c>
      <c r="V330" s="13" t="s">
        <v>34</v>
      </c>
      <c r="W330" s="13" t="s">
        <v>35</v>
      </c>
      <c r="X330" s="14">
        <v>45726.70117907407</v>
      </c>
      <c r="Y330" s="14">
        <v>45726.70117907407</v>
      </c>
      <c r="Z330" s="13"/>
      <c r="AA330" s="13"/>
    </row>
    <row r="331" ht="15.75" customHeight="1">
      <c r="A331" s="11" t="str">
        <f>HYPERLINK("https://portal.hubmapconsortium.org/browse/sample/da1d44f6dd31b7c651c04315baedcae4", "HBM739.DZTS.746")</f>
        <v>HBM739.DZTS.746</v>
      </c>
      <c r="B331" s="13"/>
      <c r="C331" s="13" t="s">
        <v>549</v>
      </c>
      <c r="D331" s="13" t="s">
        <v>25</v>
      </c>
      <c r="E331" s="7" t="s">
        <v>44</v>
      </c>
      <c r="F331" s="13" t="s">
        <v>563</v>
      </c>
      <c r="G331" s="11" t="b">
        <v>0</v>
      </c>
      <c r="H331" s="11" t="str">
        <f t="shared" si="27"/>
        <v>HBM758.PXTF.453</v>
      </c>
      <c r="I331" s="13" t="s">
        <v>594</v>
      </c>
      <c r="J331" s="13"/>
      <c r="K331" s="13"/>
      <c r="L331" s="13"/>
      <c r="M331" s="13"/>
      <c r="N331" s="13" t="s">
        <v>569</v>
      </c>
      <c r="O331" s="13" t="s">
        <v>28</v>
      </c>
      <c r="P331" s="13" t="s">
        <v>29</v>
      </c>
      <c r="Q331" s="13" t="s">
        <v>30</v>
      </c>
      <c r="R331" s="11" t="b">
        <v>0</v>
      </c>
      <c r="S331" s="11" t="s">
        <v>553</v>
      </c>
      <c r="T331" s="13" t="s">
        <v>49</v>
      </c>
      <c r="U331" s="13" t="s">
        <v>33</v>
      </c>
      <c r="V331" s="13" t="s">
        <v>34</v>
      </c>
      <c r="W331" s="13" t="s">
        <v>35</v>
      </c>
      <c r="X331" s="14">
        <v>45726.70120017361</v>
      </c>
      <c r="Y331" s="14">
        <v>45726.70120017361</v>
      </c>
      <c r="Z331" s="13"/>
      <c r="AA331" s="13"/>
    </row>
    <row r="332" ht="15.75" customHeight="1">
      <c r="A332" s="11" t="str">
        <f>HYPERLINK("https://portal.hubmapconsortium.org/browse/sample/e20f8a04b5c410fb2fbf7edd9f3f8f25", "HBM392.MBWR.547")</f>
        <v>HBM392.MBWR.547</v>
      </c>
      <c r="B332" s="13"/>
      <c r="C332" s="13" t="s">
        <v>549</v>
      </c>
      <c r="D332" s="13" t="s">
        <v>25</v>
      </c>
      <c r="E332" s="7" t="s">
        <v>44</v>
      </c>
      <c r="F332" s="13" t="s">
        <v>563</v>
      </c>
      <c r="G332" s="11" t="b">
        <v>0</v>
      </c>
      <c r="H332" s="11" t="str">
        <f t="shared" si="27"/>
        <v>HBM758.PXTF.453</v>
      </c>
      <c r="I332" s="13" t="s">
        <v>595</v>
      </c>
      <c r="J332" s="13"/>
      <c r="K332" s="13"/>
      <c r="L332" s="13"/>
      <c r="M332" s="13"/>
      <c r="N332" s="13" t="s">
        <v>312</v>
      </c>
      <c r="O332" s="13" t="s">
        <v>28</v>
      </c>
      <c r="P332" s="13" t="s">
        <v>29</v>
      </c>
      <c r="Q332" s="13" t="s">
        <v>30</v>
      </c>
      <c r="R332" s="11" t="b">
        <v>0</v>
      </c>
      <c r="S332" s="11" t="s">
        <v>553</v>
      </c>
      <c r="T332" s="13" t="s">
        <v>32</v>
      </c>
      <c r="U332" s="13" t="s">
        <v>33</v>
      </c>
      <c r="V332" s="13" t="s">
        <v>34</v>
      </c>
      <c r="W332" s="13" t="s">
        <v>35</v>
      </c>
      <c r="X332" s="14">
        <v>45726.70121835648</v>
      </c>
      <c r="Y332" s="14">
        <v>45726.70121835648</v>
      </c>
      <c r="Z332" s="13"/>
      <c r="AA332" s="13"/>
    </row>
    <row r="333" ht="15.75" customHeight="1">
      <c r="A333" s="11" t="str">
        <f>HYPERLINK("https://portal.hubmapconsortium.org/browse/sample/ae754d2047e1e46c83b25c4eab9c9919", "HBM397.JJXL.374")</f>
        <v>HBM397.JJXL.374</v>
      </c>
      <c r="B333" s="13"/>
      <c r="C333" s="13" t="s">
        <v>549</v>
      </c>
      <c r="D333" s="13" t="s">
        <v>25</v>
      </c>
      <c r="E333" s="7" t="s">
        <v>44</v>
      </c>
      <c r="F333" s="13" t="s">
        <v>563</v>
      </c>
      <c r="G333" s="11" t="b">
        <v>0</v>
      </c>
      <c r="H333" s="11" t="str">
        <f t="shared" si="27"/>
        <v>HBM758.PXTF.453</v>
      </c>
      <c r="I333" s="13" t="s">
        <v>596</v>
      </c>
      <c r="J333" s="13"/>
      <c r="K333" s="13"/>
      <c r="L333" s="13"/>
      <c r="M333" s="13"/>
      <c r="N333" s="13" t="s">
        <v>572</v>
      </c>
      <c r="O333" s="13" t="s">
        <v>28</v>
      </c>
      <c r="P333" s="13" t="s">
        <v>29</v>
      </c>
      <c r="Q333" s="13" t="s">
        <v>30</v>
      </c>
      <c r="R333" s="11" t="b">
        <v>0</v>
      </c>
      <c r="S333" s="11" t="s">
        <v>553</v>
      </c>
      <c r="T333" s="13" t="s">
        <v>49</v>
      </c>
      <c r="U333" s="13" t="s">
        <v>33</v>
      </c>
      <c r="V333" s="13" t="s">
        <v>34</v>
      </c>
      <c r="W333" s="13" t="s">
        <v>35</v>
      </c>
      <c r="X333" s="14">
        <v>45726.70123770833</v>
      </c>
      <c r="Y333" s="14">
        <v>45726.70123770833</v>
      </c>
      <c r="Z333" s="13"/>
      <c r="AA333" s="13"/>
    </row>
    <row r="334" ht="15.75" customHeight="1">
      <c r="A334" s="11" t="str">
        <f>HYPERLINK("https://portal.hubmapconsortium.org/browse/sample/6d694df002685d64b4e69eb3acd8d058", "HBM889.PCQD.535")</f>
        <v>HBM889.PCQD.535</v>
      </c>
      <c r="B334" s="13"/>
      <c r="C334" s="13" t="s">
        <v>549</v>
      </c>
      <c r="D334" s="13" t="s">
        <v>25</v>
      </c>
      <c r="E334" s="7" t="s">
        <v>44</v>
      </c>
      <c r="F334" s="13" t="s">
        <v>563</v>
      </c>
      <c r="G334" s="11" t="b">
        <v>0</v>
      </c>
      <c r="H334" s="11" t="str">
        <f t="shared" si="27"/>
        <v>HBM758.PXTF.453</v>
      </c>
      <c r="I334" s="13" t="s">
        <v>597</v>
      </c>
      <c r="J334" s="13"/>
      <c r="K334" s="13"/>
      <c r="L334" s="13"/>
      <c r="M334" s="13"/>
      <c r="N334" s="13" t="s">
        <v>574</v>
      </c>
      <c r="O334" s="13" t="s">
        <v>28</v>
      </c>
      <c r="P334" s="13" t="s">
        <v>29</v>
      </c>
      <c r="Q334" s="13" t="s">
        <v>30</v>
      </c>
      <c r="R334" s="11" t="b">
        <v>0</v>
      </c>
      <c r="S334" s="11" t="s">
        <v>553</v>
      </c>
      <c r="T334" s="13" t="s">
        <v>49</v>
      </c>
      <c r="U334" s="13" t="s">
        <v>33</v>
      </c>
      <c r="V334" s="13" t="s">
        <v>34</v>
      </c>
      <c r="W334" s="13" t="s">
        <v>35</v>
      </c>
      <c r="X334" s="14">
        <v>45726.70125898148</v>
      </c>
      <c r="Y334" s="14">
        <v>45726.70125898148</v>
      </c>
      <c r="Z334" s="13"/>
      <c r="AA334" s="13"/>
    </row>
    <row r="335" ht="15.75" customHeight="1">
      <c r="A335" s="11" t="str">
        <f>HYPERLINK("https://portal.hubmapconsortium.org/browse/sample/146015660ca74408564b0ad1be502e3b", "HBM637.BPSB.287")</f>
        <v>HBM637.BPSB.287</v>
      </c>
      <c r="B335" s="13"/>
      <c r="C335" s="13" t="s">
        <v>549</v>
      </c>
      <c r="D335" s="13" t="s">
        <v>25</v>
      </c>
      <c r="E335" s="7" t="s">
        <v>44</v>
      </c>
      <c r="F335" s="13" t="s">
        <v>563</v>
      </c>
      <c r="G335" s="11" t="b">
        <v>0</v>
      </c>
      <c r="H335" s="11" t="str">
        <f t="shared" si="27"/>
        <v>HBM758.PXTF.453</v>
      </c>
      <c r="I335" s="13" t="s">
        <v>598</v>
      </c>
      <c r="J335" s="13"/>
      <c r="K335" s="13"/>
      <c r="L335" s="13"/>
      <c r="M335" s="13"/>
      <c r="N335" s="13" t="s">
        <v>576</v>
      </c>
      <c r="O335" s="13" t="s">
        <v>28</v>
      </c>
      <c r="P335" s="13" t="s">
        <v>29</v>
      </c>
      <c r="Q335" s="13" t="s">
        <v>30</v>
      </c>
      <c r="R335" s="11" t="b">
        <v>0</v>
      </c>
      <c r="S335" s="11" t="s">
        <v>553</v>
      </c>
      <c r="T335" s="13" t="s">
        <v>49</v>
      </c>
      <c r="U335" s="13" t="s">
        <v>33</v>
      </c>
      <c r="V335" s="13" t="s">
        <v>34</v>
      </c>
      <c r="W335" s="13" t="s">
        <v>35</v>
      </c>
      <c r="X335" s="14">
        <v>45726.70128010416</v>
      </c>
      <c r="Y335" s="14">
        <v>45726.70128010416</v>
      </c>
      <c r="Z335" s="13"/>
      <c r="AA335" s="13"/>
    </row>
    <row r="336" ht="15.75" customHeight="1">
      <c r="A336" s="11" t="str">
        <f>HYPERLINK("https://portal.hubmapconsortium.org/browse/sample/3582e6228a4b56ae713760813c12e65b", "HBM695.WRHD.967")</f>
        <v>HBM695.WRHD.967</v>
      </c>
      <c r="B336" s="13"/>
      <c r="C336" s="13" t="s">
        <v>549</v>
      </c>
      <c r="D336" s="13" t="s">
        <v>25</v>
      </c>
      <c r="E336" s="7" t="s">
        <v>44</v>
      </c>
      <c r="F336" s="13" t="s">
        <v>563</v>
      </c>
      <c r="G336" s="11" t="b">
        <v>0</v>
      </c>
      <c r="H336" s="11" t="str">
        <f t="shared" si="27"/>
        <v>HBM758.PXTF.453</v>
      </c>
      <c r="I336" s="13" t="s">
        <v>599</v>
      </c>
      <c r="J336" s="13"/>
      <c r="K336" s="13"/>
      <c r="L336" s="13"/>
      <c r="M336" s="13"/>
      <c r="N336" s="13" t="s">
        <v>320</v>
      </c>
      <c r="O336" s="13" t="s">
        <v>28</v>
      </c>
      <c r="P336" s="13" t="s">
        <v>29</v>
      </c>
      <c r="Q336" s="13" t="s">
        <v>30</v>
      </c>
      <c r="R336" s="11" t="b">
        <v>0</v>
      </c>
      <c r="S336" s="11" t="s">
        <v>553</v>
      </c>
      <c r="T336" s="13" t="s">
        <v>32</v>
      </c>
      <c r="U336" s="13" t="s">
        <v>33</v>
      </c>
      <c r="V336" s="13" t="s">
        <v>34</v>
      </c>
      <c r="W336" s="13" t="s">
        <v>35</v>
      </c>
      <c r="X336" s="14">
        <v>45726.70130535879</v>
      </c>
      <c r="Y336" s="14">
        <v>45726.70130535879</v>
      </c>
      <c r="Z336" s="13"/>
      <c r="AA336" s="13"/>
    </row>
    <row r="337" ht="15.75" customHeight="1">
      <c r="A337" s="11" t="str">
        <f>HYPERLINK("https://portal.hubmapconsortium.org/browse/sample/d6e37bdab2f6d714f8a000b976776e4e", "HBM886.RDCK.722")</f>
        <v>HBM886.RDCK.722</v>
      </c>
      <c r="B337" s="13"/>
      <c r="C337" s="13" t="s">
        <v>549</v>
      </c>
      <c r="D337" s="13" t="s">
        <v>25</v>
      </c>
      <c r="E337" s="7" t="s">
        <v>44</v>
      </c>
      <c r="F337" s="13" t="s">
        <v>563</v>
      </c>
      <c r="G337" s="11" t="b">
        <v>0</v>
      </c>
      <c r="H337" s="11" t="str">
        <f t="shared" si="27"/>
        <v>HBM758.PXTF.453</v>
      </c>
      <c r="I337" s="13" t="s">
        <v>600</v>
      </c>
      <c r="J337" s="13"/>
      <c r="K337" s="13"/>
      <c r="L337" s="13"/>
      <c r="M337" s="13"/>
      <c r="N337" s="13" t="s">
        <v>579</v>
      </c>
      <c r="O337" s="13" t="s">
        <v>28</v>
      </c>
      <c r="P337" s="13" t="s">
        <v>29</v>
      </c>
      <c r="Q337" s="13" t="s">
        <v>30</v>
      </c>
      <c r="R337" s="11" t="b">
        <v>0</v>
      </c>
      <c r="S337" s="11" t="s">
        <v>553</v>
      </c>
      <c r="T337" s="13" t="s">
        <v>49</v>
      </c>
      <c r="U337" s="13" t="s">
        <v>33</v>
      </c>
      <c r="V337" s="13" t="s">
        <v>34</v>
      </c>
      <c r="W337" s="13" t="s">
        <v>35</v>
      </c>
      <c r="X337" s="14">
        <v>45726.70132371528</v>
      </c>
      <c r="Y337" s="14">
        <v>45726.70132371528</v>
      </c>
      <c r="Z337" s="13"/>
      <c r="AA337" s="13"/>
    </row>
    <row r="338" ht="15.75" customHeight="1">
      <c r="A338" s="11" t="str">
        <f>HYPERLINK("https://portal.hubmapconsortium.org/browse/sample/5e8465a4355e7a2a20cfa7ae09b7b52c", "HBM996.HBHN.528")</f>
        <v>HBM996.HBHN.528</v>
      </c>
      <c r="B338" s="13"/>
      <c r="C338" s="13" t="s">
        <v>549</v>
      </c>
      <c r="D338" s="13" t="s">
        <v>25</v>
      </c>
      <c r="E338" s="7" t="s">
        <v>44</v>
      </c>
      <c r="F338" s="13" t="s">
        <v>563</v>
      </c>
      <c r="G338" s="11" t="b">
        <v>0</v>
      </c>
      <c r="H338" s="11" t="str">
        <f t="shared" si="27"/>
        <v>HBM758.PXTF.453</v>
      </c>
      <c r="I338" s="13" t="s">
        <v>601</v>
      </c>
      <c r="J338" s="13"/>
      <c r="K338" s="13"/>
      <c r="L338" s="13"/>
      <c r="M338" s="13"/>
      <c r="N338" s="13" t="s">
        <v>581</v>
      </c>
      <c r="O338" s="13" t="s">
        <v>28</v>
      </c>
      <c r="P338" s="13" t="s">
        <v>29</v>
      </c>
      <c r="Q338" s="13" t="s">
        <v>30</v>
      </c>
      <c r="R338" s="11" t="b">
        <v>0</v>
      </c>
      <c r="S338" s="11" t="s">
        <v>553</v>
      </c>
      <c r="T338" s="13" t="s">
        <v>49</v>
      </c>
      <c r="U338" s="13" t="s">
        <v>33</v>
      </c>
      <c r="V338" s="13" t="s">
        <v>34</v>
      </c>
      <c r="W338" s="13" t="s">
        <v>35</v>
      </c>
      <c r="X338" s="14">
        <v>45726.70134388889</v>
      </c>
      <c r="Y338" s="14">
        <v>45726.70134388889</v>
      </c>
      <c r="Z338" s="13"/>
      <c r="AA338" s="13"/>
    </row>
    <row r="339" ht="15.75" customHeight="1">
      <c r="A339" s="11" t="str">
        <f>HYPERLINK("https://portal.hubmapconsortium.org/browse/sample/e982278e8863bfa5a0b480ae6fa63637", "HBM526.LMZW.847")</f>
        <v>HBM526.LMZW.847</v>
      </c>
      <c r="B339" s="13"/>
      <c r="C339" s="13" t="s">
        <v>549</v>
      </c>
      <c r="D339" s="13" t="s">
        <v>25</v>
      </c>
      <c r="E339" s="7" t="s">
        <v>44</v>
      </c>
      <c r="F339" s="13" t="s">
        <v>563</v>
      </c>
      <c r="G339" s="11" t="b">
        <v>0</v>
      </c>
      <c r="H339" s="11" t="str">
        <f t="shared" si="27"/>
        <v>HBM758.PXTF.453</v>
      </c>
      <c r="I339" s="13" t="s">
        <v>602</v>
      </c>
      <c r="J339" s="13"/>
      <c r="K339" s="13"/>
      <c r="L339" s="13"/>
      <c r="M339" s="13"/>
      <c r="N339" s="13" t="s">
        <v>583</v>
      </c>
      <c r="O339" s="13" t="s">
        <v>28</v>
      </c>
      <c r="P339" s="13" t="s">
        <v>29</v>
      </c>
      <c r="Q339" s="13" t="s">
        <v>30</v>
      </c>
      <c r="R339" s="11" t="b">
        <v>0</v>
      </c>
      <c r="S339" s="11" t="s">
        <v>553</v>
      </c>
      <c r="T339" s="13" t="s">
        <v>49</v>
      </c>
      <c r="U339" s="13" t="s">
        <v>33</v>
      </c>
      <c r="V339" s="13" t="s">
        <v>34</v>
      </c>
      <c r="W339" s="13" t="s">
        <v>35</v>
      </c>
      <c r="X339" s="14">
        <v>45726.70136290509</v>
      </c>
      <c r="Y339" s="14">
        <v>45726.70136290509</v>
      </c>
      <c r="Z339" s="13"/>
      <c r="AA339" s="13"/>
    </row>
    <row r="340" ht="15.75" customHeight="1">
      <c r="A340" s="11" t="str">
        <f>HYPERLINK("https://portal.hubmapconsortium.org/browse/sample/5e429cd3236d7b493849779056f3abbb", "HBM928.JSSN.243")</f>
        <v>HBM928.JSSN.243</v>
      </c>
      <c r="B340" s="13"/>
      <c r="C340" s="13" t="s">
        <v>549</v>
      </c>
      <c r="D340" s="13" t="s">
        <v>25</v>
      </c>
      <c r="E340" s="7" t="s">
        <v>44</v>
      </c>
      <c r="F340" s="13" t="s">
        <v>563</v>
      </c>
      <c r="G340" s="11" t="b">
        <v>0</v>
      </c>
      <c r="H340" s="11" t="str">
        <f t="shared" si="27"/>
        <v>HBM758.PXTF.453</v>
      </c>
      <c r="I340" s="13" t="s">
        <v>603</v>
      </c>
      <c r="J340" s="13"/>
      <c r="K340" s="13"/>
      <c r="L340" s="13"/>
      <c r="M340" s="13"/>
      <c r="N340" s="13" t="s">
        <v>328</v>
      </c>
      <c r="O340" s="13" t="s">
        <v>28</v>
      </c>
      <c r="P340" s="13" t="s">
        <v>29</v>
      </c>
      <c r="Q340" s="13" t="s">
        <v>30</v>
      </c>
      <c r="R340" s="11" t="b">
        <v>0</v>
      </c>
      <c r="S340" s="11" t="s">
        <v>553</v>
      </c>
      <c r="T340" s="13" t="s">
        <v>32</v>
      </c>
      <c r="U340" s="13" t="s">
        <v>33</v>
      </c>
      <c r="V340" s="13" t="s">
        <v>34</v>
      </c>
      <c r="W340" s="13" t="s">
        <v>35</v>
      </c>
      <c r="X340" s="14">
        <v>45726.70138160879</v>
      </c>
      <c r="Y340" s="14">
        <v>45726.70138160879</v>
      </c>
      <c r="Z340" s="13"/>
      <c r="AA340" s="13"/>
    </row>
    <row r="341" ht="15.75" customHeight="1">
      <c r="A341" s="11" t="str">
        <f>HYPERLINK("https://portal.hubmapconsortium.org/browse/sample/71777cfdc0b03dd52523787c447645be", "HBM896.VNGQ.329")</f>
        <v>HBM896.VNGQ.329</v>
      </c>
      <c r="B341" s="13"/>
      <c r="C341" s="13" t="s">
        <v>549</v>
      </c>
      <c r="D341" s="13" t="s">
        <v>25</v>
      </c>
      <c r="E341" s="7" t="s">
        <v>44</v>
      </c>
      <c r="F341" s="13" t="s">
        <v>563</v>
      </c>
      <c r="G341" s="11" t="b">
        <v>0</v>
      </c>
      <c r="H341" s="11" t="str">
        <f t="shared" si="27"/>
        <v>HBM758.PXTF.453</v>
      </c>
      <c r="I341" s="13" t="s">
        <v>604</v>
      </c>
      <c r="J341" s="13"/>
      <c r="K341" s="13"/>
      <c r="L341" s="13"/>
      <c r="M341" s="13"/>
      <c r="N341" s="13" t="s">
        <v>586</v>
      </c>
      <c r="O341" s="13" t="s">
        <v>28</v>
      </c>
      <c r="P341" s="13" t="s">
        <v>29</v>
      </c>
      <c r="Q341" s="13" t="s">
        <v>30</v>
      </c>
      <c r="R341" s="11" t="b">
        <v>0</v>
      </c>
      <c r="S341" s="11" t="s">
        <v>553</v>
      </c>
      <c r="T341" s="13" t="s">
        <v>49</v>
      </c>
      <c r="U341" s="13" t="s">
        <v>33</v>
      </c>
      <c r="V341" s="13" t="s">
        <v>34</v>
      </c>
      <c r="W341" s="13" t="s">
        <v>35</v>
      </c>
      <c r="X341" s="14">
        <v>45726.70140216436</v>
      </c>
      <c r="Y341" s="14">
        <v>45726.70140216436</v>
      </c>
      <c r="Z341" s="13"/>
      <c r="AA341" s="13"/>
    </row>
    <row r="342" ht="15.75" customHeight="1">
      <c r="A342" s="11" t="str">
        <f>HYPERLINK("https://portal.hubmapconsortium.org/browse/sample/bcc81c54566950e15f79c246bcbceb51", "HBM985.THXL.898")</f>
        <v>HBM985.THXL.898</v>
      </c>
      <c r="B342" s="13"/>
      <c r="C342" s="13" t="s">
        <v>549</v>
      </c>
      <c r="D342" s="13" t="s">
        <v>25</v>
      </c>
      <c r="E342" s="7" t="s">
        <v>44</v>
      </c>
      <c r="F342" s="13" t="s">
        <v>563</v>
      </c>
      <c r="G342" s="11" t="b">
        <v>0</v>
      </c>
      <c r="H342" s="11" t="str">
        <f t="shared" si="27"/>
        <v>HBM758.PXTF.453</v>
      </c>
      <c r="I342" s="13" t="s">
        <v>605</v>
      </c>
      <c r="J342" s="13"/>
      <c r="K342" s="13"/>
      <c r="L342" s="13"/>
      <c r="M342" s="13"/>
      <c r="N342" s="13" t="s">
        <v>588</v>
      </c>
      <c r="O342" s="13" t="s">
        <v>28</v>
      </c>
      <c r="P342" s="13" t="s">
        <v>29</v>
      </c>
      <c r="Q342" s="13" t="s">
        <v>30</v>
      </c>
      <c r="R342" s="11" t="b">
        <v>0</v>
      </c>
      <c r="S342" s="11" t="s">
        <v>553</v>
      </c>
      <c r="T342" s="13" t="s">
        <v>49</v>
      </c>
      <c r="U342" s="13" t="s">
        <v>33</v>
      </c>
      <c r="V342" s="13" t="s">
        <v>34</v>
      </c>
      <c r="W342" s="13" t="s">
        <v>35</v>
      </c>
      <c r="X342" s="14">
        <v>45726.70142319444</v>
      </c>
      <c r="Y342" s="14">
        <v>45726.70142319444</v>
      </c>
      <c r="Z342" s="13"/>
      <c r="AA342" s="13"/>
    </row>
    <row r="343" ht="15.75" customHeight="1">
      <c r="A343" s="11" t="str">
        <f>HYPERLINK("https://portal.hubmapconsortium.org/browse/sample/2dc3050efbb28093ff0391842bc5c7a6", "HBM323.SMBF.993")</f>
        <v>HBM323.SMBF.993</v>
      </c>
      <c r="B343" s="13"/>
      <c r="C343" s="13" t="s">
        <v>549</v>
      </c>
      <c r="D343" s="13" t="s">
        <v>25</v>
      </c>
      <c r="E343" s="7" t="s">
        <v>44</v>
      </c>
      <c r="F343" s="13" t="s">
        <v>563</v>
      </c>
      <c r="G343" s="11" t="b">
        <v>0</v>
      </c>
      <c r="H343" s="11" t="str">
        <f t="shared" si="27"/>
        <v>HBM758.PXTF.453</v>
      </c>
      <c r="I343" s="13" t="s">
        <v>606</v>
      </c>
      <c r="J343" s="13"/>
      <c r="K343" s="13"/>
      <c r="L343" s="13"/>
      <c r="M343" s="13"/>
      <c r="N343" s="13" t="s">
        <v>590</v>
      </c>
      <c r="O343" s="13" t="s">
        <v>28</v>
      </c>
      <c r="P343" s="13" t="s">
        <v>29</v>
      </c>
      <c r="Q343" s="13" t="s">
        <v>30</v>
      </c>
      <c r="R343" s="11" t="b">
        <v>0</v>
      </c>
      <c r="S343" s="11" t="s">
        <v>553</v>
      </c>
      <c r="T343" s="13" t="s">
        <v>49</v>
      </c>
      <c r="U343" s="13" t="s">
        <v>33</v>
      </c>
      <c r="V343" s="13" t="s">
        <v>34</v>
      </c>
      <c r="W343" s="13" t="s">
        <v>35</v>
      </c>
      <c r="X343" s="14">
        <v>45726.70144417824</v>
      </c>
      <c r="Y343" s="14">
        <v>45726.70144417824</v>
      </c>
      <c r="Z343" s="13"/>
      <c r="AA343" s="13"/>
    </row>
    <row r="344" ht="15.75" customHeight="1">
      <c r="A344" s="11" t="str">
        <f>HYPERLINK("https://portal.hubmapconsortium.org/browse/sample/fe74aa5bf2e9cf74caa08d068182d6bb", "HBM288.HMLN.437")</f>
        <v>HBM288.HMLN.437</v>
      </c>
      <c r="B344" s="13"/>
      <c r="C344" s="13" t="s">
        <v>549</v>
      </c>
      <c r="D344" s="13" t="s">
        <v>25</v>
      </c>
      <c r="E344" s="7" t="s">
        <v>44</v>
      </c>
      <c r="F344" s="13" t="s">
        <v>563</v>
      </c>
      <c r="G344" s="11" t="b">
        <v>0</v>
      </c>
      <c r="H344" s="11" t="str">
        <f t="shared" si="27"/>
        <v>HBM758.PXTF.453</v>
      </c>
      <c r="I344" s="13" t="s">
        <v>607</v>
      </c>
      <c r="J344" s="13"/>
      <c r="K344" s="13"/>
      <c r="L344" s="13"/>
      <c r="M344" s="13"/>
      <c r="N344" s="13" t="s">
        <v>336</v>
      </c>
      <c r="O344" s="13" t="s">
        <v>28</v>
      </c>
      <c r="P344" s="13" t="s">
        <v>29</v>
      </c>
      <c r="Q344" s="13" t="s">
        <v>30</v>
      </c>
      <c r="R344" s="11" t="b">
        <v>0</v>
      </c>
      <c r="S344" s="11" t="s">
        <v>553</v>
      </c>
      <c r="T344" s="13" t="s">
        <v>32</v>
      </c>
      <c r="U344" s="13" t="s">
        <v>33</v>
      </c>
      <c r="V344" s="13" t="s">
        <v>34</v>
      </c>
      <c r="W344" s="13" t="s">
        <v>35</v>
      </c>
      <c r="X344" s="14">
        <v>45726.70146395834</v>
      </c>
      <c r="Y344" s="14">
        <v>45726.70146395834</v>
      </c>
      <c r="Z344" s="13"/>
      <c r="AA344" s="13"/>
    </row>
    <row r="345" ht="15.75" customHeight="1">
      <c r="A345" s="11" t="str">
        <f>HYPERLINK("https://portal.hubmapconsortium.org/browse/sample/7dad5940848bcc0847ea545511849485", "HBM333.HWPG.777")</f>
        <v>HBM333.HWPG.777</v>
      </c>
      <c r="B345" s="13"/>
      <c r="C345" s="13" t="s">
        <v>549</v>
      </c>
      <c r="D345" s="13" t="s">
        <v>25</v>
      </c>
      <c r="E345" s="7" t="s">
        <v>44</v>
      </c>
      <c r="F345" s="13" t="s">
        <v>563</v>
      </c>
      <c r="G345" s="11" t="b">
        <v>0</v>
      </c>
      <c r="H345" s="11" t="str">
        <f t="shared" si="27"/>
        <v>HBM758.PXTF.453</v>
      </c>
      <c r="I345" s="13" t="s">
        <v>608</v>
      </c>
      <c r="J345" s="13"/>
      <c r="K345" s="13"/>
      <c r="L345" s="13"/>
      <c r="M345" s="13"/>
      <c r="N345" s="13" t="s">
        <v>609</v>
      </c>
      <c r="O345" s="13" t="s">
        <v>28</v>
      </c>
      <c r="P345" s="13" t="s">
        <v>29</v>
      </c>
      <c r="Q345" s="13" t="s">
        <v>30</v>
      </c>
      <c r="R345" s="11" t="b">
        <v>0</v>
      </c>
      <c r="S345" s="11" t="s">
        <v>553</v>
      </c>
      <c r="T345" s="13" t="s">
        <v>49</v>
      </c>
      <c r="U345" s="13" t="s">
        <v>33</v>
      </c>
      <c r="V345" s="13" t="s">
        <v>34</v>
      </c>
      <c r="W345" s="13" t="s">
        <v>35</v>
      </c>
      <c r="X345" s="14">
        <v>45726.69033359954</v>
      </c>
      <c r="Y345" s="14">
        <v>45726.69033359954</v>
      </c>
      <c r="Z345" s="13"/>
      <c r="AA345" s="13"/>
    </row>
    <row r="346" ht="15.75" customHeight="1">
      <c r="A346" s="11" t="str">
        <f>HYPERLINK("https://portal.hubmapconsortium.org/browse/sample/6acb0c4de309282c607a714994e64bac", "HBM366.XMHW.964")</f>
        <v>HBM366.XMHW.964</v>
      </c>
      <c r="B346" s="13"/>
      <c r="C346" s="13" t="s">
        <v>549</v>
      </c>
      <c r="D346" s="13" t="s">
        <v>25</v>
      </c>
      <c r="E346" s="7" t="s">
        <v>44</v>
      </c>
      <c r="F346" s="13" t="s">
        <v>563</v>
      </c>
      <c r="G346" s="11" t="b">
        <v>0</v>
      </c>
      <c r="H346" s="11" t="str">
        <f t="shared" si="27"/>
        <v>HBM758.PXTF.453</v>
      </c>
      <c r="I346" s="13" t="s">
        <v>610</v>
      </c>
      <c r="J346" s="13"/>
      <c r="K346" s="13"/>
      <c r="L346" s="13"/>
      <c r="M346" s="13"/>
      <c r="N346" s="13" t="s">
        <v>611</v>
      </c>
      <c r="O346" s="13" t="s">
        <v>28</v>
      </c>
      <c r="P346" s="13" t="s">
        <v>29</v>
      </c>
      <c r="Q346" s="13" t="s">
        <v>30</v>
      </c>
      <c r="R346" s="11" t="b">
        <v>0</v>
      </c>
      <c r="S346" s="11" t="s">
        <v>553</v>
      </c>
      <c r="T346" s="13" t="s">
        <v>49</v>
      </c>
      <c r="U346" s="13" t="s">
        <v>33</v>
      </c>
      <c r="V346" s="13" t="s">
        <v>34</v>
      </c>
      <c r="W346" s="13" t="s">
        <v>35</v>
      </c>
      <c r="X346" s="14">
        <v>45726.69035313658</v>
      </c>
      <c r="Y346" s="14">
        <v>45726.69035313658</v>
      </c>
      <c r="Z346" s="13"/>
      <c r="AA346" s="13"/>
    </row>
    <row r="347" ht="15.75" customHeight="1">
      <c r="A347" s="11" t="str">
        <f>HYPERLINK("https://portal.hubmapconsortium.org/browse/sample/90c8496e727ca7840570706029ae49f4", "HBM972.CWQZ.485")</f>
        <v>HBM972.CWQZ.485</v>
      </c>
      <c r="B347" s="13"/>
      <c r="C347" s="13" t="s">
        <v>549</v>
      </c>
      <c r="D347" s="13" t="s">
        <v>25</v>
      </c>
      <c r="E347" s="7" t="s">
        <v>44</v>
      </c>
      <c r="F347" s="13" t="s">
        <v>563</v>
      </c>
      <c r="G347" s="11" t="b">
        <v>0</v>
      </c>
      <c r="H347" s="11" t="str">
        <f t="shared" si="27"/>
        <v>HBM758.PXTF.453</v>
      </c>
      <c r="I347" s="13" t="s">
        <v>612</v>
      </c>
      <c r="J347" s="13"/>
      <c r="K347" s="13"/>
      <c r="L347" s="13"/>
      <c r="M347" s="13"/>
      <c r="N347" s="13" t="s">
        <v>613</v>
      </c>
      <c r="O347" s="13" t="s">
        <v>28</v>
      </c>
      <c r="P347" s="13" t="s">
        <v>29</v>
      </c>
      <c r="Q347" s="13" t="s">
        <v>30</v>
      </c>
      <c r="R347" s="11" t="b">
        <v>0</v>
      </c>
      <c r="S347" s="11" t="s">
        <v>553</v>
      </c>
      <c r="T347" s="13" t="s">
        <v>49</v>
      </c>
      <c r="U347" s="13" t="s">
        <v>33</v>
      </c>
      <c r="V347" s="13" t="s">
        <v>34</v>
      </c>
      <c r="W347" s="13" t="s">
        <v>35</v>
      </c>
      <c r="X347" s="14">
        <v>45726.69037320602</v>
      </c>
      <c r="Y347" s="14">
        <v>45726.69037320602</v>
      </c>
      <c r="Z347" s="13"/>
      <c r="AA347" s="13"/>
    </row>
    <row r="348" ht="15.75" customHeight="1">
      <c r="A348" s="11" t="str">
        <f>HYPERLINK("https://portal.hubmapconsortium.org/browse/sample/bd10944c087c8fa7f6b5a81c3d8d8382", "HBM882.QGHQ.643")</f>
        <v>HBM882.QGHQ.643</v>
      </c>
      <c r="B348" s="13"/>
      <c r="C348" s="13" t="s">
        <v>549</v>
      </c>
      <c r="D348" s="13" t="s">
        <v>25</v>
      </c>
      <c r="E348" s="7" t="s">
        <v>44</v>
      </c>
      <c r="F348" s="13" t="s">
        <v>563</v>
      </c>
      <c r="G348" s="11" t="b">
        <v>0</v>
      </c>
      <c r="H348" s="11" t="str">
        <f t="shared" si="27"/>
        <v>HBM758.PXTF.453</v>
      </c>
      <c r="I348" s="13" t="s">
        <v>614</v>
      </c>
      <c r="J348" s="13"/>
      <c r="K348" s="13"/>
      <c r="L348" s="13"/>
      <c r="M348" s="13"/>
      <c r="N348" s="13" t="s">
        <v>360</v>
      </c>
      <c r="O348" s="13" t="s">
        <v>28</v>
      </c>
      <c r="P348" s="13" t="s">
        <v>29</v>
      </c>
      <c r="Q348" s="13" t="s">
        <v>30</v>
      </c>
      <c r="R348" s="11" t="b">
        <v>0</v>
      </c>
      <c r="S348" s="11" t="s">
        <v>553</v>
      </c>
      <c r="T348" s="13" t="s">
        <v>32</v>
      </c>
      <c r="U348" s="13" t="s">
        <v>33</v>
      </c>
      <c r="V348" s="13" t="s">
        <v>34</v>
      </c>
      <c r="W348" s="13" t="s">
        <v>35</v>
      </c>
      <c r="X348" s="14">
        <v>45726.69039418981</v>
      </c>
      <c r="Y348" s="14">
        <v>45726.69039418981</v>
      </c>
      <c r="Z348" s="13"/>
      <c r="AA348" s="13"/>
    </row>
    <row r="349" ht="15.75" customHeight="1">
      <c r="A349" s="11" t="str">
        <f>HYPERLINK("https://portal.hubmapconsortium.org/browse/sample/20acbc758407319f570d44bbba50e50f", "HBM967.MQMM.678")</f>
        <v>HBM967.MQMM.678</v>
      </c>
      <c r="B349" s="13"/>
      <c r="C349" s="13" t="s">
        <v>549</v>
      </c>
      <c r="D349" s="13" t="s">
        <v>25</v>
      </c>
      <c r="E349" s="7" t="s">
        <v>44</v>
      </c>
      <c r="F349" s="13" t="s">
        <v>563</v>
      </c>
      <c r="G349" s="11" t="b">
        <v>0</v>
      </c>
      <c r="H349" s="11" t="str">
        <f t="shared" si="27"/>
        <v>HBM758.PXTF.453</v>
      </c>
      <c r="I349" s="13" t="s">
        <v>615</v>
      </c>
      <c r="J349" s="13"/>
      <c r="K349" s="13"/>
      <c r="L349" s="13"/>
      <c r="M349" s="13"/>
      <c r="N349" s="13" t="s">
        <v>616</v>
      </c>
      <c r="O349" s="13" t="s">
        <v>28</v>
      </c>
      <c r="P349" s="13" t="s">
        <v>29</v>
      </c>
      <c r="Q349" s="13" t="s">
        <v>30</v>
      </c>
      <c r="R349" s="11" t="b">
        <v>0</v>
      </c>
      <c r="S349" s="11" t="s">
        <v>553</v>
      </c>
      <c r="T349" s="13" t="s">
        <v>49</v>
      </c>
      <c r="U349" s="13" t="s">
        <v>33</v>
      </c>
      <c r="V349" s="13" t="s">
        <v>34</v>
      </c>
      <c r="W349" s="13" t="s">
        <v>35</v>
      </c>
      <c r="X349" s="14">
        <v>45726.69041733797</v>
      </c>
      <c r="Y349" s="14">
        <v>45726.69041733797</v>
      </c>
      <c r="Z349" s="13"/>
      <c r="AA349" s="13"/>
    </row>
    <row r="350" ht="15.75" customHeight="1">
      <c r="A350" s="11" t="str">
        <f>HYPERLINK("https://portal.hubmapconsortium.org/browse/sample/f6a6bacc6b3a3c1227afd295cfb54fde", "HBM298.RKQV.869")</f>
        <v>HBM298.RKQV.869</v>
      </c>
      <c r="B350" s="13"/>
      <c r="C350" s="13" t="s">
        <v>549</v>
      </c>
      <c r="D350" s="13" t="s">
        <v>25</v>
      </c>
      <c r="E350" s="7" t="s">
        <v>44</v>
      </c>
      <c r="F350" s="13" t="s">
        <v>563</v>
      </c>
      <c r="G350" s="11" t="b">
        <v>0</v>
      </c>
      <c r="H350" s="11" t="str">
        <f t="shared" si="27"/>
        <v>HBM758.PXTF.453</v>
      </c>
      <c r="I350" s="13" t="s">
        <v>617</v>
      </c>
      <c r="J350" s="13"/>
      <c r="K350" s="13"/>
      <c r="L350" s="13"/>
      <c r="M350" s="13"/>
      <c r="N350" s="13" t="s">
        <v>618</v>
      </c>
      <c r="O350" s="13" t="s">
        <v>28</v>
      </c>
      <c r="P350" s="13" t="s">
        <v>29</v>
      </c>
      <c r="Q350" s="13" t="s">
        <v>30</v>
      </c>
      <c r="R350" s="11" t="b">
        <v>0</v>
      </c>
      <c r="S350" s="11" t="s">
        <v>553</v>
      </c>
      <c r="T350" s="13" t="s">
        <v>49</v>
      </c>
      <c r="U350" s="13" t="s">
        <v>33</v>
      </c>
      <c r="V350" s="13" t="s">
        <v>34</v>
      </c>
      <c r="W350" s="13" t="s">
        <v>35</v>
      </c>
      <c r="X350" s="14">
        <v>45726.69044005787</v>
      </c>
      <c r="Y350" s="14">
        <v>45726.69044005787</v>
      </c>
      <c r="Z350" s="13"/>
      <c r="AA350" s="13"/>
    </row>
    <row r="351" ht="15.75" customHeight="1">
      <c r="A351" s="11" t="str">
        <f>HYPERLINK("https://portal.hubmapconsortium.org/browse/sample/b871f362b9fd0b0c251405fffcdd2c8c", "HBM236.FSMV.489")</f>
        <v>HBM236.FSMV.489</v>
      </c>
      <c r="B351" s="13"/>
      <c r="C351" s="13" t="s">
        <v>549</v>
      </c>
      <c r="D351" s="13" t="s">
        <v>25</v>
      </c>
      <c r="E351" s="7" t="s">
        <v>44</v>
      </c>
      <c r="F351" s="13" t="s">
        <v>563</v>
      </c>
      <c r="G351" s="11" t="b">
        <v>0</v>
      </c>
      <c r="H351" s="11" t="str">
        <f t="shared" si="27"/>
        <v>HBM758.PXTF.453</v>
      </c>
      <c r="I351" s="13" t="s">
        <v>619</v>
      </c>
      <c r="J351" s="13"/>
      <c r="K351" s="13"/>
      <c r="L351" s="13"/>
      <c r="M351" s="13"/>
      <c r="N351" s="13" t="s">
        <v>620</v>
      </c>
      <c r="O351" s="13" t="s">
        <v>28</v>
      </c>
      <c r="P351" s="13" t="s">
        <v>29</v>
      </c>
      <c r="Q351" s="13" t="s">
        <v>30</v>
      </c>
      <c r="R351" s="11" t="b">
        <v>0</v>
      </c>
      <c r="S351" s="11" t="s">
        <v>553</v>
      </c>
      <c r="T351" s="13" t="s">
        <v>49</v>
      </c>
      <c r="U351" s="13" t="s">
        <v>33</v>
      </c>
      <c r="V351" s="13" t="s">
        <v>34</v>
      </c>
      <c r="W351" s="13" t="s">
        <v>35</v>
      </c>
      <c r="X351" s="14">
        <v>45726.69046318287</v>
      </c>
      <c r="Y351" s="14">
        <v>45726.69046318287</v>
      </c>
      <c r="Z351" s="13"/>
      <c r="AA351" s="13"/>
    </row>
    <row r="352" ht="15.75" customHeight="1">
      <c r="A352" s="11" t="str">
        <f>HYPERLINK("https://portal.hubmapconsortium.org/browse/sample/b2faa32c6d742e5ddc97a05e419fd5f7", "HBM954.DZCK.864")</f>
        <v>HBM954.DZCK.864</v>
      </c>
      <c r="B352" s="13"/>
      <c r="C352" s="13" t="s">
        <v>549</v>
      </c>
      <c r="D352" s="13" t="s">
        <v>25</v>
      </c>
      <c r="E352" s="7" t="s">
        <v>44</v>
      </c>
      <c r="F352" s="13" t="s">
        <v>563</v>
      </c>
      <c r="G352" s="11" t="b">
        <v>0</v>
      </c>
      <c r="H352" s="11" t="str">
        <f t="shared" si="27"/>
        <v>HBM758.PXTF.453</v>
      </c>
      <c r="I352" s="13" t="s">
        <v>621</v>
      </c>
      <c r="J352" s="13"/>
      <c r="K352" s="13"/>
      <c r="L352" s="13"/>
      <c r="M352" s="13"/>
      <c r="N352" s="13" t="s">
        <v>368</v>
      </c>
      <c r="O352" s="13" t="s">
        <v>28</v>
      </c>
      <c r="P352" s="13" t="s">
        <v>29</v>
      </c>
      <c r="Q352" s="13" t="s">
        <v>30</v>
      </c>
      <c r="R352" s="11" t="b">
        <v>0</v>
      </c>
      <c r="S352" s="11" t="s">
        <v>553</v>
      </c>
      <c r="T352" s="13" t="s">
        <v>32</v>
      </c>
      <c r="U352" s="13" t="s">
        <v>33</v>
      </c>
      <c r="V352" s="13" t="s">
        <v>34</v>
      </c>
      <c r="W352" s="13" t="s">
        <v>35</v>
      </c>
      <c r="X352" s="14">
        <v>45726.69048484954</v>
      </c>
      <c r="Y352" s="14">
        <v>45726.69048484954</v>
      </c>
      <c r="Z352" s="13"/>
      <c r="AA352" s="13"/>
    </row>
    <row r="353" ht="15.75" customHeight="1">
      <c r="A353" s="11" t="str">
        <f>HYPERLINK("https://portal.hubmapconsortium.org/browse/sample/97660fcbd82f2ecf2fb0ac1a3594ee82", "HBM287.RVBW.874")</f>
        <v>HBM287.RVBW.874</v>
      </c>
      <c r="B353" s="13"/>
      <c r="C353" s="13" t="s">
        <v>549</v>
      </c>
      <c r="D353" s="13" t="s">
        <v>25</v>
      </c>
      <c r="E353" s="7" t="s">
        <v>44</v>
      </c>
      <c r="F353" s="13" t="s">
        <v>563</v>
      </c>
      <c r="G353" s="11" t="b">
        <v>0</v>
      </c>
      <c r="H353" s="11" t="str">
        <f t="shared" si="27"/>
        <v>HBM758.PXTF.453</v>
      </c>
      <c r="I353" s="13" t="s">
        <v>622</v>
      </c>
      <c r="J353" s="13"/>
      <c r="K353" s="13"/>
      <c r="L353" s="13"/>
      <c r="M353" s="13"/>
      <c r="N353" s="13" t="s">
        <v>623</v>
      </c>
      <c r="O353" s="13" t="s">
        <v>28</v>
      </c>
      <c r="P353" s="13" t="s">
        <v>29</v>
      </c>
      <c r="Q353" s="13" t="s">
        <v>30</v>
      </c>
      <c r="R353" s="11" t="b">
        <v>0</v>
      </c>
      <c r="S353" s="11" t="s">
        <v>553</v>
      </c>
      <c r="T353" s="13" t="s">
        <v>49</v>
      </c>
      <c r="U353" s="13" t="s">
        <v>33</v>
      </c>
      <c r="V353" s="13" t="s">
        <v>34</v>
      </c>
      <c r="W353" s="13" t="s">
        <v>35</v>
      </c>
      <c r="X353" s="14">
        <v>45726.69050684028</v>
      </c>
      <c r="Y353" s="14">
        <v>45726.69050684028</v>
      </c>
      <c r="Z353" s="13"/>
      <c r="AA353" s="13"/>
    </row>
    <row r="354" ht="15.75" customHeight="1">
      <c r="A354" s="11" t="str">
        <f>HYPERLINK("https://portal.hubmapconsortium.org/browse/sample/44040daec9b12df81f8b121c9f74fe15", "HBM329.XDLP.379")</f>
        <v>HBM329.XDLP.379</v>
      </c>
      <c r="B354" s="13"/>
      <c r="C354" s="13" t="s">
        <v>549</v>
      </c>
      <c r="D354" s="13" t="s">
        <v>25</v>
      </c>
      <c r="E354" s="7" t="s">
        <v>44</v>
      </c>
      <c r="F354" s="13" t="s">
        <v>563</v>
      </c>
      <c r="G354" s="11" t="b">
        <v>0</v>
      </c>
      <c r="H354" s="11" t="str">
        <f t="shared" si="27"/>
        <v>HBM758.PXTF.453</v>
      </c>
      <c r="I354" s="13" t="s">
        <v>624</v>
      </c>
      <c r="J354" s="13"/>
      <c r="K354" s="13"/>
      <c r="L354" s="13"/>
      <c r="M354" s="13"/>
      <c r="N354" s="13" t="s">
        <v>625</v>
      </c>
      <c r="O354" s="13" t="s">
        <v>28</v>
      </c>
      <c r="P354" s="13" t="s">
        <v>29</v>
      </c>
      <c r="Q354" s="13" t="s">
        <v>30</v>
      </c>
      <c r="R354" s="11" t="b">
        <v>0</v>
      </c>
      <c r="S354" s="11" t="s">
        <v>553</v>
      </c>
      <c r="T354" s="13" t="s">
        <v>49</v>
      </c>
      <c r="U354" s="13" t="s">
        <v>33</v>
      </c>
      <c r="V354" s="13" t="s">
        <v>34</v>
      </c>
      <c r="W354" s="13" t="s">
        <v>35</v>
      </c>
      <c r="X354" s="14">
        <v>45726.69052844907</v>
      </c>
      <c r="Y354" s="14">
        <v>45726.69052844907</v>
      </c>
      <c r="Z354" s="13"/>
      <c r="AA354" s="13"/>
    </row>
    <row r="355" ht="15.75" customHeight="1">
      <c r="A355" s="11" t="str">
        <f>HYPERLINK("https://portal.hubmapconsortium.org/browse/sample/cd9d5b2b42af877d8fd258b5304be3b0", "HBM882.XJVX.478")</f>
        <v>HBM882.XJVX.478</v>
      </c>
      <c r="B355" s="13"/>
      <c r="C355" s="13" t="s">
        <v>549</v>
      </c>
      <c r="D355" s="13" t="s">
        <v>25</v>
      </c>
      <c r="E355" s="7" t="s">
        <v>44</v>
      </c>
      <c r="F355" s="13" t="s">
        <v>563</v>
      </c>
      <c r="G355" s="11" t="b">
        <v>0</v>
      </c>
      <c r="H355" s="11" t="str">
        <f t="shared" si="27"/>
        <v>HBM758.PXTF.453</v>
      </c>
      <c r="I355" s="13" t="s">
        <v>626</v>
      </c>
      <c r="J355" s="13"/>
      <c r="K355" s="13"/>
      <c r="L355" s="13"/>
      <c r="M355" s="13"/>
      <c r="N355" s="13" t="s">
        <v>627</v>
      </c>
      <c r="O355" s="13" t="s">
        <v>28</v>
      </c>
      <c r="P355" s="13" t="s">
        <v>29</v>
      </c>
      <c r="Q355" s="13" t="s">
        <v>30</v>
      </c>
      <c r="R355" s="11" t="b">
        <v>0</v>
      </c>
      <c r="S355" s="11" t="s">
        <v>553</v>
      </c>
      <c r="T355" s="13" t="s">
        <v>49</v>
      </c>
      <c r="U355" s="13" t="s">
        <v>33</v>
      </c>
      <c r="V355" s="13" t="s">
        <v>34</v>
      </c>
      <c r="W355" s="13" t="s">
        <v>35</v>
      </c>
      <c r="X355" s="14">
        <v>45726.69055107639</v>
      </c>
      <c r="Y355" s="14">
        <v>45726.69055107639</v>
      </c>
      <c r="Z355" s="13"/>
      <c r="AA355" s="13"/>
    </row>
    <row r="356" ht="15.75" customHeight="1">
      <c r="A356" s="11" t="str">
        <f>HYPERLINK("https://portal.hubmapconsortium.org/browse/sample/1b05e576b65b80f0acd450f033835222", "HBM395.SCBR.226")</f>
        <v>HBM395.SCBR.226</v>
      </c>
      <c r="B356" s="13"/>
      <c r="C356" s="13" t="s">
        <v>549</v>
      </c>
      <c r="D356" s="13" t="s">
        <v>25</v>
      </c>
      <c r="E356" s="7" t="s">
        <v>44</v>
      </c>
      <c r="F356" s="13" t="s">
        <v>563</v>
      </c>
      <c r="G356" s="11" t="b">
        <v>0</v>
      </c>
      <c r="H356" s="11" t="str">
        <f t="shared" si="27"/>
        <v>HBM758.PXTF.453</v>
      </c>
      <c r="I356" s="13" t="s">
        <v>628</v>
      </c>
      <c r="J356" s="13"/>
      <c r="K356" s="13"/>
      <c r="L356" s="13"/>
      <c r="M356" s="13"/>
      <c r="N356" s="13" t="s">
        <v>629</v>
      </c>
      <c r="O356" s="13" t="s">
        <v>28</v>
      </c>
      <c r="P356" s="13" t="s">
        <v>29</v>
      </c>
      <c r="Q356" s="13" t="s">
        <v>30</v>
      </c>
      <c r="R356" s="11" t="b">
        <v>0</v>
      </c>
      <c r="S356" s="11" t="s">
        <v>553</v>
      </c>
      <c r="T356" s="13" t="s">
        <v>32</v>
      </c>
      <c r="U356" s="13" t="s">
        <v>33</v>
      </c>
      <c r="V356" s="13" t="s">
        <v>34</v>
      </c>
      <c r="W356" s="13" t="s">
        <v>35</v>
      </c>
      <c r="X356" s="14">
        <v>45726.69057332176</v>
      </c>
      <c r="Y356" s="14">
        <v>45726.69057332176</v>
      </c>
      <c r="Z356" s="13"/>
      <c r="AA356" s="13"/>
    </row>
    <row r="357" ht="15.75" customHeight="1">
      <c r="A357" s="11" t="str">
        <f>HYPERLINK("https://portal.hubmapconsortium.org/browse/sample/2ea28d640bbf4badf11f50488ef58520", "HBM562.QXWT.859")</f>
        <v>HBM562.QXWT.859</v>
      </c>
      <c r="B357" s="13"/>
      <c r="C357" s="13" t="s">
        <v>549</v>
      </c>
      <c r="D357" s="13" t="s">
        <v>25</v>
      </c>
      <c r="E357" s="7" t="s">
        <v>44</v>
      </c>
      <c r="F357" s="13" t="s">
        <v>563</v>
      </c>
      <c r="G357" s="11" t="b">
        <v>0</v>
      </c>
      <c r="H357" s="11" t="str">
        <f t="shared" si="27"/>
        <v>HBM758.PXTF.453</v>
      </c>
      <c r="I357" s="13" t="s">
        <v>630</v>
      </c>
      <c r="J357" s="13"/>
      <c r="K357" s="13"/>
      <c r="L357" s="13"/>
      <c r="M357" s="13"/>
      <c r="N357" s="13" t="s">
        <v>631</v>
      </c>
      <c r="O357" s="13" t="s">
        <v>28</v>
      </c>
      <c r="P357" s="13" t="s">
        <v>29</v>
      </c>
      <c r="Q357" s="13" t="s">
        <v>30</v>
      </c>
      <c r="R357" s="11" t="b">
        <v>0</v>
      </c>
      <c r="S357" s="11" t="s">
        <v>553</v>
      </c>
      <c r="T357" s="13" t="s">
        <v>49</v>
      </c>
      <c r="U357" s="13" t="s">
        <v>33</v>
      </c>
      <c r="V357" s="13" t="s">
        <v>34</v>
      </c>
      <c r="W357" s="13" t="s">
        <v>35</v>
      </c>
      <c r="X357" s="14">
        <v>45726.69059392361</v>
      </c>
      <c r="Y357" s="14">
        <v>45726.69059392361</v>
      </c>
      <c r="Z357" s="13"/>
      <c r="AA357" s="13"/>
    </row>
    <row r="358" ht="15.75" customHeight="1">
      <c r="A358" s="11" t="str">
        <f>HYPERLINK("https://portal.hubmapconsortium.org/browse/sample/347b007ea8358995c91c702c382ad3f8", "HBM567.GXTQ.228")</f>
        <v>HBM567.GXTQ.228</v>
      </c>
      <c r="B358" s="13"/>
      <c r="C358" s="13" t="s">
        <v>549</v>
      </c>
      <c r="D358" s="13" t="s">
        <v>25</v>
      </c>
      <c r="E358" s="7" t="s">
        <v>44</v>
      </c>
      <c r="F358" s="13" t="s">
        <v>563</v>
      </c>
      <c r="G358" s="11" t="b">
        <v>0</v>
      </c>
      <c r="H358" s="11" t="str">
        <f t="shared" si="27"/>
        <v>HBM758.PXTF.453</v>
      </c>
      <c r="I358" s="13" t="s">
        <v>632</v>
      </c>
      <c r="J358" s="13"/>
      <c r="K358" s="13"/>
      <c r="L358" s="13"/>
      <c r="M358" s="13"/>
      <c r="N358" s="13" t="s">
        <v>633</v>
      </c>
      <c r="O358" s="13" t="s">
        <v>28</v>
      </c>
      <c r="P358" s="13" t="s">
        <v>29</v>
      </c>
      <c r="Q358" s="13" t="s">
        <v>30</v>
      </c>
      <c r="R358" s="11" t="b">
        <v>0</v>
      </c>
      <c r="S358" s="11" t="s">
        <v>553</v>
      </c>
      <c r="T358" s="13" t="s">
        <v>49</v>
      </c>
      <c r="U358" s="13" t="s">
        <v>33</v>
      </c>
      <c r="V358" s="13" t="s">
        <v>34</v>
      </c>
      <c r="W358" s="13" t="s">
        <v>35</v>
      </c>
      <c r="X358" s="14">
        <v>45726.69061616898</v>
      </c>
      <c r="Y358" s="14">
        <v>45726.69061616898</v>
      </c>
      <c r="Z358" s="13"/>
      <c r="AA358" s="13"/>
    </row>
    <row r="359" ht="15.75" customHeight="1">
      <c r="A359" s="11" t="str">
        <f>HYPERLINK("https://portal.hubmapconsortium.org/browse/sample/b511af7d9d9ac40d84b297a3cffa42d6", "HBM377.ZCFN.836")</f>
        <v>HBM377.ZCFN.836</v>
      </c>
      <c r="B359" s="13"/>
      <c r="C359" s="13" t="s">
        <v>549</v>
      </c>
      <c r="D359" s="13" t="s">
        <v>25</v>
      </c>
      <c r="E359" s="7" t="s">
        <v>44</v>
      </c>
      <c r="F359" s="13" t="s">
        <v>563</v>
      </c>
      <c r="G359" s="11" t="b">
        <v>0</v>
      </c>
      <c r="H359" s="11" t="str">
        <f t="shared" si="27"/>
        <v>HBM758.PXTF.453</v>
      </c>
      <c r="I359" s="13" t="s">
        <v>634</v>
      </c>
      <c r="J359" s="13"/>
      <c r="K359" s="13"/>
      <c r="L359" s="13"/>
      <c r="M359" s="13"/>
      <c r="N359" s="13" t="s">
        <v>635</v>
      </c>
      <c r="O359" s="13" t="s">
        <v>28</v>
      </c>
      <c r="P359" s="13" t="s">
        <v>29</v>
      </c>
      <c r="Q359" s="13" t="s">
        <v>30</v>
      </c>
      <c r="R359" s="11" t="b">
        <v>0</v>
      </c>
      <c r="S359" s="11" t="s">
        <v>553</v>
      </c>
      <c r="T359" s="13" t="s">
        <v>49</v>
      </c>
      <c r="U359" s="13" t="s">
        <v>33</v>
      </c>
      <c r="V359" s="13" t="s">
        <v>34</v>
      </c>
      <c r="W359" s="13" t="s">
        <v>35</v>
      </c>
      <c r="X359" s="14">
        <v>45726.69063706019</v>
      </c>
      <c r="Y359" s="14">
        <v>45726.69063706019</v>
      </c>
      <c r="Z359" s="13"/>
      <c r="AA359" s="13"/>
    </row>
    <row r="360" ht="15.75" customHeight="1">
      <c r="A360" s="11" t="str">
        <f>HYPERLINK("https://portal.hubmapconsortium.org/browse/sample/033a20a600ce885358b2b2b00176c992", "HBM489.LPPX.848")</f>
        <v>HBM489.LPPX.848</v>
      </c>
      <c r="B360" s="13"/>
      <c r="C360" s="13" t="s">
        <v>549</v>
      </c>
      <c r="D360" s="13" t="s">
        <v>25</v>
      </c>
      <c r="E360" s="7" t="s">
        <v>44</v>
      </c>
      <c r="F360" s="13" t="s">
        <v>563</v>
      </c>
      <c r="G360" s="11" t="b">
        <v>0</v>
      </c>
      <c r="H360" s="11" t="str">
        <f t="shared" si="27"/>
        <v>HBM758.PXTF.453</v>
      </c>
      <c r="I360" s="13" t="s">
        <v>636</v>
      </c>
      <c r="J360" s="13"/>
      <c r="K360" s="13"/>
      <c r="L360" s="13"/>
      <c r="M360" s="13"/>
      <c r="N360" s="13" t="s">
        <v>384</v>
      </c>
      <c r="O360" s="13" t="s">
        <v>28</v>
      </c>
      <c r="P360" s="13" t="s">
        <v>29</v>
      </c>
      <c r="Q360" s="13" t="s">
        <v>30</v>
      </c>
      <c r="R360" s="11" t="b">
        <v>0</v>
      </c>
      <c r="S360" s="11" t="s">
        <v>553</v>
      </c>
      <c r="T360" s="13" t="s">
        <v>32</v>
      </c>
      <c r="U360" s="13" t="s">
        <v>33</v>
      </c>
      <c r="V360" s="13" t="s">
        <v>34</v>
      </c>
      <c r="W360" s="13" t="s">
        <v>35</v>
      </c>
      <c r="X360" s="14">
        <v>45726.6906575</v>
      </c>
      <c r="Y360" s="14">
        <v>45726.6906575</v>
      </c>
      <c r="Z360" s="13"/>
      <c r="AA360" s="13"/>
    </row>
    <row r="361" ht="15.75" customHeight="1">
      <c r="A361" s="11" t="str">
        <f>HYPERLINK("https://portal.hubmapconsortium.org/browse/sample/83f0f28ca96b4500e9dce5a1294ac280", "HBM633.KLQB.384")</f>
        <v>HBM633.KLQB.384</v>
      </c>
      <c r="B361" s="13"/>
      <c r="C361" s="13" t="s">
        <v>549</v>
      </c>
      <c r="D361" s="13" t="s">
        <v>25</v>
      </c>
      <c r="E361" s="7" t="s">
        <v>44</v>
      </c>
      <c r="F361" s="13" t="s">
        <v>563</v>
      </c>
      <c r="G361" s="11" t="b">
        <v>0</v>
      </c>
      <c r="H361" s="11" t="str">
        <f t="shared" si="27"/>
        <v>HBM758.PXTF.453</v>
      </c>
      <c r="I361" s="13" t="s">
        <v>637</v>
      </c>
      <c r="J361" s="13"/>
      <c r="K361" s="13"/>
      <c r="L361" s="13"/>
      <c r="M361" s="13"/>
      <c r="N361" s="13" t="s">
        <v>609</v>
      </c>
      <c r="O361" s="13" t="s">
        <v>28</v>
      </c>
      <c r="P361" s="13" t="s">
        <v>29</v>
      </c>
      <c r="Q361" s="13" t="s">
        <v>30</v>
      </c>
      <c r="R361" s="11" t="b">
        <v>0</v>
      </c>
      <c r="S361" s="11" t="s">
        <v>553</v>
      </c>
      <c r="T361" s="13" t="s">
        <v>49</v>
      </c>
      <c r="U361" s="13" t="s">
        <v>33</v>
      </c>
      <c r="V361" s="13" t="s">
        <v>34</v>
      </c>
      <c r="W361" s="13" t="s">
        <v>35</v>
      </c>
      <c r="X361" s="14">
        <v>45726.6906775463</v>
      </c>
      <c r="Y361" s="14">
        <v>45726.6906775463</v>
      </c>
      <c r="Z361" s="13"/>
      <c r="AA361" s="13"/>
    </row>
    <row r="362" ht="15.75" customHeight="1">
      <c r="A362" s="11" t="str">
        <f>HYPERLINK("https://portal.hubmapconsortium.org/browse/sample/95f0c5d785585c752608349acaf69be0", "HBM736.BPZP.596")</f>
        <v>HBM736.BPZP.596</v>
      </c>
      <c r="B362" s="13"/>
      <c r="C362" s="13" t="s">
        <v>549</v>
      </c>
      <c r="D362" s="13" t="s">
        <v>25</v>
      </c>
      <c r="E362" s="7" t="s">
        <v>44</v>
      </c>
      <c r="F362" s="13" t="s">
        <v>563</v>
      </c>
      <c r="G362" s="11" t="b">
        <v>0</v>
      </c>
      <c r="H362" s="11" t="str">
        <f t="shared" si="27"/>
        <v>HBM758.PXTF.453</v>
      </c>
      <c r="I362" s="13" t="s">
        <v>638</v>
      </c>
      <c r="J362" s="13"/>
      <c r="K362" s="13"/>
      <c r="L362" s="13"/>
      <c r="M362" s="13"/>
      <c r="N362" s="13" t="s">
        <v>611</v>
      </c>
      <c r="O362" s="13" t="s">
        <v>28</v>
      </c>
      <c r="P362" s="13" t="s">
        <v>29</v>
      </c>
      <c r="Q362" s="13" t="s">
        <v>30</v>
      </c>
      <c r="R362" s="11" t="b">
        <v>0</v>
      </c>
      <c r="S362" s="11" t="s">
        <v>553</v>
      </c>
      <c r="T362" s="13" t="s">
        <v>49</v>
      </c>
      <c r="U362" s="13" t="s">
        <v>33</v>
      </c>
      <c r="V362" s="13" t="s">
        <v>34</v>
      </c>
      <c r="W362" s="13" t="s">
        <v>35</v>
      </c>
      <c r="X362" s="14">
        <v>45726.69069944444</v>
      </c>
      <c r="Y362" s="14">
        <v>45726.69069944444</v>
      </c>
      <c r="Z362" s="13"/>
      <c r="AA362" s="13"/>
    </row>
    <row r="363" ht="15.75" customHeight="1">
      <c r="A363" s="11" t="str">
        <f>HYPERLINK("https://portal.hubmapconsortium.org/browse/sample/77316b4449b76adcb3de42f21948c704", "HBM465.DVKC.693")</f>
        <v>HBM465.DVKC.693</v>
      </c>
      <c r="B363" s="13"/>
      <c r="C363" s="13" t="s">
        <v>549</v>
      </c>
      <c r="D363" s="13" t="s">
        <v>25</v>
      </c>
      <c r="E363" s="7" t="s">
        <v>44</v>
      </c>
      <c r="F363" s="13" t="s">
        <v>563</v>
      </c>
      <c r="G363" s="11" t="b">
        <v>0</v>
      </c>
      <c r="H363" s="11" t="str">
        <f t="shared" si="27"/>
        <v>HBM758.PXTF.453</v>
      </c>
      <c r="I363" s="13" t="s">
        <v>639</v>
      </c>
      <c r="J363" s="13"/>
      <c r="K363" s="13"/>
      <c r="L363" s="13"/>
      <c r="M363" s="13"/>
      <c r="N363" s="13" t="s">
        <v>613</v>
      </c>
      <c r="O363" s="13" t="s">
        <v>28</v>
      </c>
      <c r="P363" s="13" t="s">
        <v>29</v>
      </c>
      <c r="Q363" s="13" t="s">
        <v>30</v>
      </c>
      <c r="R363" s="11" t="b">
        <v>0</v>
      </c>
      <c r="S363" s="11" t="s">
        <v>553</v>
      </c>
      <c r="T363" s="13" t="s">
        <v>49</v>
      </c>
      <c r="U363" s="13" t="s">
        <v>33</v>
      </c>
      <c r="V363" s="13" t="s">
        <v>34</v>
      </c>
      <c r="W363" s="13" t="s">
        <v>35</v>
      </c>
      <c r="X363" s="14">
        <v>45726.69071984954</v>
      </c>
      <c r="Y363" s="14">
        <v>45726.69071984954</v>
      </c>
      <c r="Z363" s="13"/>
      <c r="AA363" s="13"/>
    </row>
    <row r="364" ht="15.75" customHeight="1">
      <c r="A364" s="11" t="str">
        <f>HYPERLINK("https://portal.hubmapconsortium.org/browse/sample/a5430e1400533c42cd7374913169dd89", "HBM552.XBBV.597")</f>
        <v>HBM552.XBBV.597</v>
      </c>
      <c r="B364" s="13"/>
      <c r="C364" s="13" t="s">
        <v>549</v>
      </c>
      <c r="D364" s="13" t="s">
        <v>25</v>
      </c>
      <c r="E364" s="7" t="s">
        <v>44</v>
      </c>
      <c r="F364" s="13" t="s">
        <v>563</v>
      </c>
      <c r="G364" s="11" t="b">
        <v>0</v>
      </c>
      <c r="H364" s="11" t="str">
        <f t="shared" si="27"/>
        <v>HBM758.PXTF.453</v>
      </c>
      <c r="I364" s="13" t="s">
        <v>640</v>
      </c>
      <c r="J364" s="13"/>
      <c r="K364" s="13"/>
      <c r="L364" s="13"/>
      <c r="M364" s="13"/>
      <c r="N364" s="13" t="s">
        <v>641</v>
      </c>
      <c r="O364" s="13" t="s">
        <v>28</v>
      </c>
      <c r="P364" s="13" t="s">
        <v>29</v>
      </c>
      <c r="Q364" s="13" t="s">
        <v>30</v>
      </c>
      <c r="R364" s="11" t="b">
        <v>0</v>
      </c>
      <c r="S364" s="11" t="s">
        <v>553</v>
      </c>
      <c r="T364" s="13" t="s">
        <v>32</v>
      </c>
      <c r="U364" s="13" t="s">
        <v>33</v>
      </c>
      <c r="V364" s="13" t="s">
        <v>34</v>
      </c>
      <c r="W364" s="13" t="s">
        <v>35</v>
      </c>
      <c r="X364" s="14">
        <v>45726.69074293981</v>
      </c>
      <c r="Y364" s="14">
        <v>45726.69074293981</v>
      </c>
      <c r="Z364" s="13"/>
      <c r="AA364" s="13"/>
    </row>
    <row r="365" ht="15.75" customHeight="1">
      <c r="A365" s="11" t="str">
        <f>HYPERLINK("https://portal.hubmapconsortium.org/browse/sample/d35dc7e2665324fdc2d1bb4fbe1fb292", "HBM975.VCDS.432")</f>
        <v>HBM975.VCDS.432</v>
      </c>
      <c r="B365" s="13"/>
      <c r="C365" s="13" t="s">
        <v>549</v>
      </c>
      <c r="D365" s="13" t="s">
        <v>25</v>
      </c>
      <c r="E365" s="7" t="s">
        <v>44</v>
      </c>
      <c r="F365" s="13" t="s">
        <v>563</v>
      </c>
      <c r="G365" s="11" t="b">
        <v>0</v>
      </c>
      <c r="H365" s="11" t="str">
        <f t="shared" si="27"/>
        <v>HBM758.PXTF.453</v>
      </c>
      <c r="I365" s="13" t="s">
        <v>642</v>
      </c>
      <c r="J365" s="13"/>
      <c r="K365" s="13"/>
      <c r="L365" s="13"/>
      <c r="M365" s="13"/>
      <c r="N365" s="13" t="s">
        <v>616</v>
      </c>
      <c r="O365" s="13" t="s">
        <v>28</v>
      </c>
      <c r="P365" s="13" t="s">
        <v>29</v>
      </c>
      <c r="Q365" s="13" t="s">
        <v>30</v>
      </c>
      <c r="R365" s="11" t="b">
        <v>0</v>
      </c>
      <c r="S365" s="11" t="s">
        <v>553</v>
      </c>
      <c r="T365" s="13" t="s">
        <v>49</v>
      </c>
      <c r="U365" s="13" t="s">
        <v>33</v>
      </c>
      <c r="V365" s="13" t="s">
        <v>34</v>
      </c>
      <c r="W365" s="13" t="s">
        <v>35</v>
      </c>
      <c r="X365" s="14">
        <v>45726.69076225694</v>
      </c>
      <c r="Y365" s="14">
        <v>45726.69076225694</v>
      </c>
      <c r="Z365" s="13"/>
      <c r="AA365" s="13"/>
    </row>
    <row r="366" ht="15.75" customHeight="1">
      <c r="A366" s="11" t="str">
        <f>HYPERLINK("https://portal.hubmapconsortium.org/browse/sample/0ead5575b0aca239a532f0459c840de5", "HBM372.PCPN.425")</f>
        <v>HBM372.PCPN.425</v>
      </c>
      <c r="B366" s="13"/>
      <c r="C366" s="13" t="s">
        <v>549</v>
      </c>
      <c r="D366" s="13" t="s">
        <v>25</v>
      </c>
      <c r="E366" s="7" t="s">
        <v>44</v>
      </c>
      <c r="F366" s="13" t="s">
        <v>563</v>
      </c>
      <c r="G366" s="11" t="b">
        <v>0</v>
      </c>
      <c r="H366" s="11" t="str">
        <f t="shared" si="27"/>
        <v>HBM758.PXTF.453</v>
      </c>
      <c r="I366" s="13" t="s">
        <v>643</v>
      </c>
      <c r="J366" s="13"/>
      <c r="K366" s="13"/>
      <c r="L366" s="13"/>
      <c r="M366" s="13"/>
      <c r="N366" s="13" t="s">
        <v>618</v>
      </c>
      <c r="O366" s="13" t="s">
        <v>28</v>
      </c>
      <c r="P366" s="13" t="s">
        <v>29</v>
      </c>
      <c r="Q366" s="13" t="s">
        <v>30</v>
      </c>
      <c r="R366" s="11" t="b">
        <v>0</v>
      </c>
      <c r="S366" s="11" t="s">
        <v>553</v>
      </c>
      <c r="T366" s="13" t="s">
        <v>49</v>
      </c>
      <c r="U366" s="13" t="s">
        <v>33</v>
      </c>
      <c r="V366" s="13" t="s">
        <v>34</v>
      </c>
      <c r="W366" s="13" t="s">
        <v>35</v>
      </c>
      <c r="X366" s="14">
        <v>45726.6907797801</v>
      </c>
      <c r="Y366" s="14">
        <v>45726.6907797801</v>
      </c>
      <c r="Z366" s="13"/>
      <c r="AA366" s="13"/>
    </row>
    <row r="367" ht="15.75" customHeight="1">
      <c r="A367" s="11" t="str">
        <f>HYPERLINK("https://portal.hubmapconsortium.org/browse/sample/ee7587f4e34006a8cfc2bb2a2e2eee7c", "HBM598.NVVL.654")</f>
        <v>HBM598.NVVL.654</v>
      </c>
      <c r="B367" s="13"/>
      <c r="C367" s="13" t="s">
        <v>549</v>
      </c>
      <c r="D367" s="13" t="s">
        <v>25</v>
      </c>
      <c r="E367" s="7" t="s">
        <v>44</v>
      </c>
      <c r="F367" s="13" t="s">
        <v>563</v>
      </c>
      <c r="G367" s="11" t="b">
        <v>0</v>
      </c>
      <c r="H367" s="11" t="str">
        <f t="shared" si="27"/>
        <v>HBM758.PXTF.453</v>
      </c>
      <c r="I367" s="13" t="s">
        <v>644</v>
      </c>
      <c r="J367" s="13"/>
      <c r="K367" s="13"/>
      <c r="L367" s="13"/>
      <c r="M367" s="13"/>
      <c r="N367" s="13" t="s">
        <v>620</v>
      </c>
      <c r="O367" s="13" t="s">
        <v>28</v>
      </c>
      <c r="P367" s="13" t="s">
        <v>29</v>
      </c>
      <c r="Q367" s="13" t="s">
        <v>30</v>
      </c>
      <c r="R367" s="11" t="b">
        <v>0</v>
      </c>
      <c r="S367" s="11" t="s">
        <v>553</v>
      </c>
      <c r="T367" s="13" t="s">
        <v>49</v>
      </c>
      <c r="U367" s="13" t="s">
        <v>33</v>
      </c>
      <c r="V367" s="13" t="s">
        <v>34</v>
      </c>
      <c r="W367" s="13" t="s">
        <v>35</v>
      </c>
      <c r="X367" s="14">
        <v>45726.69079788194</v>
      </c>
      <c r="Y367" s="14">
        <v>45726.69079788194</v>
      </c>
      <c r="Z367" s="13"/>
      <c r="AA367" s="13"/>
    </row>
    <row r="368" ht="15.75" customHeight="1">
      <c r="A368" s="11" t="str">
        <f>HYPERLINK("https://portal.hubmapconsortium.org/browse/sample/13b393418952e9d5fad5bc305eff1ce3", "HBM598.NXLG.884")</f>
        <v>HBM598.NXLG.884</v>
      </c>
      <c r="B368" s="13"/>
      <c r="C368" s="13" t="s">
        <v>549</v>
      </c>
      <c r="D368" s="13" t="s">
        <v>25</v>
      </c>
      <c r="E368" s="7" t="s">
        <v>44</v>
      </c>
      <c r="F368" s="13" t="s">
        <v>563</v>
      </c>
      <c r="G368" s="11" t="b">
        <v>0</v>
      </c>
      <c r="H368" s="11" t="str">
        <f t="shared" si="27"/>
        <v>HBM758.PXTF.453</v>
      </c>
      <c r="I368" s="13" t="s">
        <v>645</v>
      </c>
      <c r="J368" s="13"/>
      <c r="K368" s="13"/>
      <c r="L368" s="13"/>
      <c r="M368" s="13"/>
      <c r="N368" s="13" t="s">
        <v>368</v>
      </c>
      <c r="O368" s="13" t="s">
        <v>28</v>
      </c>
      <c r="P368" s="13" t="s">
        <v>29</v>
      </c>
      <c r="Q368" s="13" t="s">
        <v>30</v>
      </c>
      <c r="R368" s="11" t="b">
        <v>0</v>
      </c>
      <c r="S368" s="11" t="s">
        <v>553</v>
      </c>
      <c r="T368" s="13" t="s">
        <v>32</v>
      </c>
      <c r="U368" s="13" t="s">
        <v>33</v>
      </c>
      <c r="V368" s="13" t="s">
        <v>34</v>
      </c>
      <c r="W368" s="13" t="s">
        <v>35</v>
      </c>
      <c r="X368" s="14">
        <v>45726.6908194213</v>
      </c>
      <c r="Y368" s="14">
        <v>45726.6908194213</v>
      </c>
      <c r="Z368" s="13"/>
      <c r="AA368" s="13"/>
    </row>
    <row r="369" ht="15.75" customHeight="1">
      <c r="A369" s="11" t="str">
        <f>HYPERLINK("https://portal.hubmapconsortium.org/browse/sample/7c0596e5bd564c6dbc9ec2f0b3a04424", "HBM766.JMHD.754")</f>
        <v>HBM766.JMHD.754</v>
      </c>
      <c r="B369" s="13"/>
      <c r="C369" s="13" t="s">
        <v>549</v>
      </c>
      <c r="D369" s="13" t="s">
        <v>25</v>
      </c>
      <c r="E369" s="7" t="s">
        <v>44</v>
      </c>
      <c r="F369" s="13" t="s">
        <v>563</v>
      </c>
      <c r="G369" s="11" t="b">
        <v>0</v>
      </c>
      <c r="H369" s="11" t="str">
        <f t="shared" si="27"/>
        <v>HBM758.PXTF.453</v>
      </c>
      <c r="I369" s="13" t="s">
        <v>646</v>
      </c>
      <c r="J369" s="13"/>
      <c r="K369" s="13"/>
      <c r="L369" s="13"/>
      <c r="M369" s="13"/>
      <c r="N369" s="13" t="s">
        <v>623</v>
      </c>
      <c r="O369" s="13" t="s">
        <v>28</v>
      </c>
      <c r="P369" s="13" t="s">
        <v>29</v>
      </c>
      <c r="Q369" s="13" t="s">
        <v>30</v>
      </c>
      <c r="R369" s="11" t="b">
        <v>0</v>
      </c>
      <c r="S369" s="11" t="s">
        <v>553</v>
      </c>
      <c r="T369" s="13" t="s">
        <v>49</v>
      </c>
      <c r="U369" s="13" t="s">
        <v>33</v>
      </c>
      <c r="V369" s="13" t="s">
        <v>34</v>
      </c>
      <c r="W369" s="13" t="s">
        <v>35</v>
      </c>
      <c r="X369" s="14">
        <v>45726.69083802083</v>
      </c>
      <c r="Y369" s="14">
        <v>45726.69083802083</v>
      </c>
      <c r="Z369" s="13"/>
      <c r="AA369" s="13"/>
    </row>
    <row r="370" ht="15.75" customHeight="1">
      <c r="A370" s="11" t="str">
        <f>HYPERLINK("https://portal.hubmapconsortium.org/browse/sample/eeb5d4d8c0018b4ff0cbb7cccdd06626", "HBM796.BCXS.676")</f>
        <v>HBM796.BCXS.676</v>
      </c>
      <c r="B370" s="13"/>
      <c r="C370" s="13" t="s">
        <v>549</v>
      </c>
      <c r="D370" s="13" t="s">
        <v>25</v>
      </c>
      <c r="E370" s="7" t="s">
        <v>44</v>
      </c>
      <c r="F370" s="13" t="s">
        <v>563</v>
      </c>
      <c r="G370" s="11" t="b">
        <v>0</v>
      </c>
      <c r="H370" s="11" t="str">
        <f t="shared" si="27"/>
        <v>HBM758.PXTF.453</v>
      </c>
      <c r="I370" s="13" t="s">
        <v>647</v>
      </c>
      <c r="J370" s="13"/>
      <c r="K370" s="13"/>
      <c r="L370" s="13"/>
      <c r="M370" s="13"/>
      <c r="N370" s="13" t="s">
        <v>625</v>
      </c>
      <c r="O370" s="13" t="s">
        <v>28</v>
      </c>
      <c r="P370" s="13" t="s">
        <v>29</v>
      </c>
      <c r="Q370" s="13" t="s">
        <v>30</v>
      </c>
      <c r="R370" s="11" t="b">
        <v>0</v>
      </c>
      <c r="S370" s="11" t="s">
        <v>553</v>
      </c>
      <c r="T370" s="13" t="s">
        <v>49</v>
      </c>
      <c r="U370" s="13" t="s">
        <v>33</v>
      </c>
      <c r="V370" s="13" t="s">
        <v>34</v>
      </c>
      <c r="W370" s="13" t="s">
        <v>35</v>
      </c>
      <c r="X370" s="14">
        <v>45726.69085722222</v>
      </c>
      <c r="Y370" s="14">
        <v>45726.69085722222</v>
      </c>
      <c r="Z370" s="13"/>
      <c r="AA370" s="13"/>
    </row>
    <row r="371" ht="15.75" customHeight="1">
      <c r="A371" s="11" t="str">
        <f>HYPERLINK("https://portal.hubmapconsortium.org/browse/sample/39f83461260c8c7c71ebce0984689b72", "HBM276.LTNB.573")</f>
        <v>HBM276.LTNB.573</v>
      </c>
      <c r="B371" s="13"/>
      <c r="C371" s="13" t="s">
        <v>549</v>
      </c>
      <c r="D371" s="13" t="s">
        <v>25</v>
      </c>
      <c r="E371" s="7" t="s">
        <v>44</v>
      </c>
      <c r="F371" s="13" t="s">
        <v>563</v>
      </c>
      <c r="G371" s="11" t="b">
        <v>0</v>
      </c>
      <c r="H371" s="11" t="str">
        <f t="shared" si="27"/>
        <v>HBM758.PXTF.453</v>
      </c>
      <c r="I371" s="13" t="s">
        <v>648</v>
      </c>
      <c r="J371" s="13"/>
      <c r="K371" s="13"/>
      <c r="L371" s="13"/>
      <c r="M371" s="13"/>
      <c r="N371" s="13" t="s">
        <v>627</v>
      </c>
      <c r="O371" s="13" t="s">
        <v>28</v>
      </c>
      <c r="P371" s="13" t="s">
        <v>29</v>
      </c>
      <c r="Q371" s="13" t="s">
        <v>30</v>
      </c>
      <c r="R371" s="11" t="b">
        <v>0</v>
      </c>
      <c r="S371" s="11" t="s">
        <v>553</v>
      </c>
      <c r="T371" s="13" t="s">
        <v>49</v>
      </c>
      <c r="U371" s="13" t="s">
        <v>33</v>
      </c>
      <c r="V371" s="13" t="s">
        <v>34</v>
      </c>
      <c r="W371" s="13" t="s">
        <v>35</v>
      </c>
      <c r="X371" s="14">
        <v>45726.69087604167</v>
      </c>
      <c r="Y371" s="14">
        <v>45726.69087604167</v>
      </c>
      <c r="Z371" s="13"/>
      <c r="AA371" s="13"/>
    </row>
    <row r="372" ht="15.75" customHeight="1">
      <c r="A372" s="11" t="str">
        <f>HYPERLINK("https://portal.hubmapconsortium.org/browse/sample/c3dd65ba2eb1138c18de6a471cfd6ec6", "HBM334.FWWX.853")</f>
        <v>HBM334.FWWX.853</v>
      </c>
      <c r="B372" s="13"/>
      <c r="C372" s="13" t="s">
        <v>549</v>
      </c>
      <c r="D372" s="13" t="s">
        <v>25</v>
      </c>
      <c r="E372" s="7" t="s">
        <v>44</v>
      </c>
      <c r="F372" s="13" t="s">
        <v>563</v>
      </c>
      <c r="G372" s="11" t="b">
        <v>0</v>
      </c>
      <c r="H372" s="11" t="str">
        <f t="shared" si="27"/>
        <v>HBM758.PXTF.453</v>
      </c>
      <c r="I372" s="13" t="s">
        <v>649</v>
      </c>
      <c r="J372" s="13"/>
      <c r="K372" s="13"/>
      <c r="L372" s="13"/>
      <c r="M372" s="13"/>
      <c r="N372" s="13" t="s">
        <v>629</v>
      </c>
      <c r="O372" s="13" t="s">
        <v>28</v>
      </c>
      <c r="P372" s="13" t="s">
        <v>29</v>
      </c>
      <c r="Q372" s="13" t="s">
        <v>30</v>
      </c>
      <c r="R372" s="11" t="b">
        <v>0</v>
      </c>
      <c r="S372" s="11" t="s">
        <v>553</v>
      </c>
      <c r="T372" s="13" t="s">
        <v>32</v>
      </c>
      <c r="U372" s="13" t="s">
        <v>33</v>
      </c>
      <c r="V372" s="13" t="s">
        <v>34</v>
      </c>
      <c r="W372" s="13" t="s">
        <v>35</v>
      </c>
      <c r="X372" s="14">
        <v>45726.69089422454</v>
      </c>
      <c r="Y372" s="14">
        <v>45726.69089422454</v>
      </c>
      <c r="Z372" s="13"/>
      <c r="AA372" s="13"/>
    </row>
    <row r="373" ht="15.75" customHeight="1">
      <c r="A373" s="11" t="str">
        <f>HYPERLINK("https://portal.hubmapconsortium.org/browse/sample/47c104d1312f07a2a5e531e237c7fb16", "HBM256.PWGJ.789")</f>
        <v>HBM256.PWGJ.789</v>
      </c>
      <c r="B373" s="13"/>
      <c r="C373" s="13" t="s">
        <v>549</v>
      </c>
      <c r="D373" s="13" t="s">
        <v>25</v>
      </c>
      <c r="E373" s="7" t="s">
        <v>44</v>
      </c>
      <c r="F373" s="13" t="s">
        <v>563</v>
      </c>
      <c r="G373" s="11" t="b">
        <v>0</v>
      </c>
      <c r="H373" s="11" t="str">
        <f t="shared" si="27"/>
        <v>HBM758.PXTF.453</v>
      </c>
      <c r="I373" s="13" t="s">
        <v>650</v>
      </c>
      <c r="J373" s="13"/>
      <c r="K373" s="13"/>
      <c r="L373" s="13"/>
      <c r="M373" s="13"/>
      <c r="N373" s="13" t="s">
        <v>631</v>
      </c>
      <c r="O373" s="13" t="s">
        <v>28</v>
      </c>
      <c r="P373" s="13" t="s">
        <v>29</v>
      </c>
      <c r="Q373" s="13" t="s">
        <v>30</v>
      </c>
      <c r="R373" s="11" t="b">
        <v>0</v>
      </c>
      <c r="S373" s="11" t="s">
        <v>553</v>
      </c>
      <c r="T373" s="13" t="s">
        <v>49</v>
      </c>
      <c r="U373" s="13" t="s">
        <v>33</v>
      </c>
      <c r="V373" s="13" t="s">
        <v>34</v>
      </c>
      <c r="W373" s="13" t="s">
        <v>35</v>
      </c>
      <c r="X373" s="14">
        <v>45726.69091523148</v>
      </c>
      <c r="Y373" s="14">
        <v>45726.69091523148</v>
      </c>
      <c r="Z373" s="13"/>
      <c r="AA373" s="13"/>
    </row>
    <row r="374" ht="15.75" customHeight="1">
      <c r="A374" s="11" t="str">
        <f>HYPERLINK("https://portal.hubmapconsortium.org/browse/sample/bc96e60f4ce59dea480b8cec9e6d8cf4", "HBM566.SLNL.594")</f>
        <v>HBM566.SLNL.594</v>
      </c>
      <c r="B374" s="13"/>
      <c r="C374" s="13" t="s">
        <v>549</v>
      </c>
      <c r="D374" s="13" t="s">
        <v>25</v>
      </c>
      <c r="E374" s="7" t="s">
        <v>44</v>
      </c>
      <c r="F374" s="13" t="s">
        <v>563</v>
      </c>
      <c r="G374" s="11" t="b">
        <v>0</v>
      </c>
      <c r="H374" s="11" t="str">
        <f t="shared" si="27"/>
        <v>HBM758.PXTF.453</v>
      </c>
      <c r="I374" s="13" t="s">
        <v>651</v>
      </c>
      <c r="J374" s="13"/>
      <c r="K374" s="13"/>
      <c r="L374" s="13"/>
      <c r="M374" s="13"/>
      <c r="N374" s="13" t="s">
        <v>633</v>
      </c>
      <c r="O374" s="13" t="s">
        <v>28</v>
      </c>
      <c r="P374" s="13" t="s">
        <v>29</v>
      </c>
      <c r="Q374" s="13" t="s">
        <v>30</v>
      </c>
      <c r="R374" s="11" t="b">
        <v>0</v>
      </c>
      <c r="S374" s="11" t="s">
        <v>553</v>
      </c>
      <c r="T374" s="13" t="s">
        <v>49</v>
      </c>
      <c r="U374" s="13" t="s">
        <v>33</v>
      </c>
      <c r="V374" s="13" t="s">
        <v>34</v>
      </c>
      <c r="W374" s="13" t="s">
        <v>35</v>
      </c>
      <c r="X374" s="14">
        <v>45726.6909344213</v>
      </c>
      <c r="Y374" s="14">
        <v>45726.6909344213</v>
      </c>
      <c r="Z374" s="13"/>
      <c r="AA374" s="13"/>
    </row>
    <row r="375" ht="15.75" customHeight="1">
      <c r="A375" s="11" t="str">
        <f>HYPERLINK("https://portal.hubmapconsortium.org/browse/sample/8dcfc0bbd20e300b37b306b911583e0f", "HBM338.VLWX.858")</f>
        <v>HBM338.VLWX.858</v>
      </c>
      <c r="B375" s="13"/>
      <c r="C375" s="13" t="s">
        <v>549</v>
      </c>
      <c r="D375" s="13" t="s">
        <v>25</v>
      </c>
      <c r="E375" s="7" t="s">
        <v>44</v>
      </c>
      <c r="F375" s="13" t="s">
        <v>563</v>
      </c>
      <c r="G375" s="11" t="b">
        <v>0</v>
      </c>
      <c r="H375" s="11" t="str">
        <f t="shared" si="27"/>
        <v>HBM758.PXTF.453</v>
      </c>
      <c r="I375" s="13" t="s">
        <v>652</v>
      </c>
      <c r="J375" s="13"/>
      <c r="K375" s="13"/>
      <c r="L375" s="13"/>
      <c r="M375" s="13"/>
      <c r="N375" s="13" t="s">
        <v>635</v>
      </c>
      <c r="O375" s="13" t="s">
        <v>28</v>
      </c>
      <c r="P375" s="13" t="s">
        <v>29</v>
      </c>
      <c r="Q375" s="13" t="s">
        <v>30</v>
      </c>
      <c r="R375" s="11" t="b">
        <v>0</v>
      </c>
      <c r="S375" s="11" t="s">
        <v>553</v>
      </c>
      <c r="T375" s="13" t="s">
        <v>49</v>
      </c>
      <c r="U375" s="13" t="s">
        <v>33</v>
      </c>
      <c r="V375" s="13" t="s">
        <v>34</v>
      </c>
      <c r="W375" s="13" t="s">
        <v>35</v>
      </c>
      <c r="X375" s="14">
        <v>45726.69095326389</v>
      </c>
      <c r="Y375" s="14">
        <v>45726.69095326389</v>
      </c>
      <c r="Z375" s="13"/>
      <c r="AA375" s="13"/>
    </row>
    <row r="376" ht="15.75" customHeight="1">
      <c r="A376" s="11" t="str">
        <f>HYPERLINK("https://portal.hubmapconsortium.org/browse/sample/43f8f7d7172ddc42bc3666a52193d19d", "HBM237.FCRJ.552")</f>
        <v>HBM237.FCRJ.552</v>
      </c>
      <c r="B376" s="13"/>
      <c r="C376" s="13" t="s">
        <v>549</v>
      </c>
      <c r="D376" s="13" t="s">
        <v>25</v>
      </c>
      <c r="E376" s="7" t="s">
        <v>44</v>
      </c>
      <c r="F376" s="13" t="s">
        <v>563</v>
      </c>
      <c r="G376" s="11" t="b">
        <v>0</v>
      </c>
      <c r="H376" s="11" t="str">
        <f t="shared" si="27"/>
        <v>HBM758.PXTF.453</v>
      </c>
      <c r="I376" s="13" t="s">
        <v>653</v>
      </c>
      <c r="J376" s="13"/>
      <c r="K376" s="13"/>
      <c r="L376" s="13"/>
      <c r="M376" s="13"/>
      <c r="N376" s="13" t="s">
        <v>384</v>
      </c>
      <c r="O376" s="13" t="s">
        <v>28</v>
      </c>
      <c r="P376" s="13" t="s">
        <v>29</v>
      </c>
      <c r="Q376" s="13" t="s">
        <v>30</v>
      </c>
      <c r="R376" s="11" t="b">
        <v>0</v>
      </c>
      <c r="S376" s="11" t="s">
        <v>553</v>
      </c>
      <c r="T376" s="13" t="s">
        <v>32</v>
      </c>
      <c r="U376" s="13" t="s">
        <v>33</v>
      </c>
      <c r="V376" s="13" t="s">
        <v>34</v>
      </c>
      <c r="W376" s="13" t="s">
        <v>35</v>
      </c>
      <c r="X376" s="14">
        <v>45726.69097217593</v>
      </c>
      <c r="Y376" s="14">
        <v>45726.69097217593</v>
      </c>
      <c r="Z376" s="13"/>
      <c r="AA376" s="13"/>
    </row>
    <row r="377" ht="15.75" customHeight="1">
      <c r="A377" s="11" t="str">
        <f>HYPERLINK("https://portal.hubmapconsortium.org/browse/sample/92456ac1f27eadc5d7066f9bb052498c", "HBM325.JZLF.922")</f>
        <v>HBM325.JZLF.922</v>
      </c>
      <c r="B377" s="13"/>
      <c r="C377" s="13" t="s">
        <v>654</v>
      </c>
      <c r="D377" s="13" t="s">
        <v>655</v>
      </c>
      <c r="E377" s="7" t="s">
        <v>44</v>
      </c>
      <c r="F377" s="13" t="s">
        <v>656</v>
      </c>
      <c r="G377" s="11" t="b">
        <v>0</v>
      </c>
      <c r="H377" s="11" t="str">
        <f>HYPERLINK("https://portal.hubmapconsortium.org/browse/sample/832aaec86c7f929d60da603f889ee78a", "HBM942.XRQR.236")</f>
        <v>HBM942.XRQR.236</v>
      </c>
      <c r="I377" s="13" t="s">
        <v>657</v>
      </c>
      <c r="J377" s="13" t="s">
        <v>655</v>
      </c>
      <c r="K377" s="13"/>
      <c r="L377" s="13"/>
      <c r="M377" s="13"/>
      <c r="N377" s="13" t="s">
        <v>658</v>
      </c>
      <c r="O377" s="13" t="s">
        <v>28</v>
      </c>
      <c r="P377" s="13" t="s">
        <v>29</v>
      </c>
      <c r="Q377" s="13" t="s">
        <v>30</v>
      </c>
      <c r="R377" s="11" t="b">
        <v>0</v>
      </c>
      <c r="S377" s="11" t="s">
        <v>31</v>
      </c>
      <c r="T377" s="13" t="s">
        <v>32</v>
      </c>
      <c r="U377" s="13" t="s">
        <v>33</v>
      </c>
      <c r="V377" s="13" t="s">
        <v>34</v>
      </c>
      <c r="W377" s="13" t="s">
        <v>35</v>
      </c>
      <c r="X377" s="14">
        <v>45460.72841717592</v>
      </c>
      <c r="Y377" s="14">
        <v>45460.72841717592</v>
      </c>
      <c r="Z377" s="13"/>
      <c r="AA377" s="13"/>
    </row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A$377"/>
  <conditionalFormatting sqref="G2:G377">
    <cfRule type="cellIs" dxfId="0" priority="1" stopIfTrue="1" operator="equal">
      <formula>"FALSE"</formula>
    </cfRule>
  </conditionalFormatting>
  <conditionalFormatting sqref="R2:R377">
    <cfRule type="cellIs" dxfId="0" priority="2" stopIfTrue="1" operator="equal">
      <formula>"FALSE"</formula>
    </cfRule>
  </conditionalFormatting>
  <hyperlinks>
    <hyperlink r:id="rId1" ref="S2"/>
    <hyperlink r:id="rId2" ref="S3"/>
    <hyperlink r:id="rId3" ref="S4"/>
    <hyperlink r:id="rId4" ref="S5"/>
    <hyperlink r:id="rId5" ref="S6"/>
    <hyperlink r:id="rId6" ref="S7"/>
    <hyperlink r:id="rId7" ref="S8"/>
    <hyperlink r:id="rId8" ref="S9"/>
    <hyperlink r:id="rId9" ref="S11"/>
    <hyperlink r:id="rId10" ref="S12"/>
    <hyperlink r:id="rId11" ref="S19"/>
    <hyperlink r:id="rId12" ref="S20"/>
    <hyperlink r:id="rId13" ref="S21"/>
    <hyperlink r:id="rId14" ref="S22"/>
    <hyperlink r:id="rId15" ref="S23"/>
    <hyperlink r:id="rId16" ref="S24"/>
    <hyperlink r:id="rId17" ref="S25"/>
    <hyperlink r:id="rId18" ref="S26"/>
    <hyperlink r:id="rId19" ref="S27"/>
    <hyperlink r:id="rId20" ref="S28"/>
    <hyperlink r:id="rId21" ref="S41"/>
    <hyperlink r:id="rId22" ref="S42"/>
    <hyperlink r:id="rId23" ref="S48"/>
    <hyperlink r:id="rId24" ref="S49"/>
    <hyperlink r:id="rId25" ref="S50"/>
    <hyperlink r:id="rId26" ref="S51"/>
    <hyperlink r:id="rId27" ref="S54"/>
    <hyperlink r:id="rId28" ref="S60"/>
    <hyperlink r:id="rId29" ref="S65"/>
    <hyperlink r:id="rId30" ref="S71"/>
    <hyperlink r:id="rId31" ref="S72"/>
    <hyperlink r:id="rId32" ref="S98"/>
    <hyperlink r:id="rId33" ref="S99"/>
    <hyperlink r:id="rId34" ref="S100"/>
    <hyperlink r:id="rId35" ref="S101"/>
    <hyperlink r:id="rId36" ref="S102"/>
    <hyperlink r:id="rId37" ref="S103"/>
    <hyperlink r:id="rId38" ref="S107"/>
    <hyperlink r:id="rId39" ref="S108"/>
    <hyperlink r:id="rId40" ref="S109"/>
    <hyperlink r:id="rId41" ref="S113"/>
    <hyperlink r:id="rId42" ref="S114"/>
    <hyperlink r:id="rId43" ref="S115"/>
    <hyperlink r:id="rId44" ref="S116"/>
    <hyperlink r:id="rId45" ref="S117"/>
    <hyperlink r:id="rId46" ref="S118"/>
    <hyperlink r:id="rId47" ref="S119"/>
    <hyperlink r:id="rId48" ref="S120"/>
    <hyperlink r:id="rId49" ref="S121"/>
    <hyperlink r:id="rId50" ref="S122"/>
    <hyperlink r:id="rId51" ref="S125"/>
    <hyperlink r:id="rId52" ref="S126"/>
    <hyperlink r:id="rId53" ref="S127"/>
    <hyperlink r:id="rId54" ref="S128"/>
    <hyperlink r:id="rId55" ref="S131"/>
    <hyperlink r:id="rId56" ref="S132"/>
    <hyperlink r:id="rId57" ref="S137"/>
    <hyperlink r:id="rId58" ref="S138"/>
    <hyperlink r:id="rId59" ref="S139"/>
    <hyperlink r:id="rId60" ref="S140"/>
    <hyperlink r:id="rId61" ref="S141"/>
    <hyperlink r:id="rId62" ref="S142"/>
    <hyperlink r:id="rId63" ref="S143"/>
    <hyperlink r:id="rId64" ref="S144"/>
    <hyperlink r:id="rId65" ref="S145"/>
    <hyperlink r:id="rId66" ref="S146"/>
    <hyperlink r:id="rId67" ref="S147"/>
    <hyperlink r:id="rId68" ref="S148"/>
    <hyperlink r:id="rId69" ref="S149"/>
    <hyperlink r:id="rId70" ref="S150"/>
    <hyperlink r:id="rId71" ref="S151"/>
    <hyperlink r:id="rId72" ref="S152"/>
    <hyperlink r:id="rId73" ref="S153"/>
    <hyperlink r:id="rId74" ref="S154"/>
    <hyperlink r:id="rId75" ref="S155"/>
    <hyperlink r:id="rId76" ref="S156"/>
    <hyperlink r:id="rId77" ref="S157"/>
    <hyperlink r:id="rId78" ref="S158"/>
    <hyperlink r:id="rId79" ref="S159"/>
    <hyperlink r:id="rId80" ref="S160"/>
    <hyperlink r:id="rId81" ref="S161"/>
    <hyperlink r:id="rId82" ref="S162"/>
    <hyperlink r:id="rId83" ref="S163"/>
    <hyperlink r:id="rId84" ref="S164"/>
    <hyperlink r:id="rId85" ref="S165"/>
    <hyperlink r:id="rId86" ref="S166"/>
    <hyperlink r:id="rId87" ref="S167"/>
    <hyperlink r:id="rId88" ref="S168"/>
    <hyperlink r:id="rId89" ref="S169"/>
    <hyperlink r:id="rId90" ref="S170"/>
    <hyperlink r:id="rId91" ref="S171"/>
    <hyperlink r:id="rId92" ref="S172"/>
    <hyperlink r:id="rId93" ref="S173"/>
    <hyperlink r:id="rId94" ref="S174"/>
    <hyperlink r:id="rId95" ref="S175"/>
    <hyperlink r:id="rId96" ref="S176"/>
    <hyperlink r:id="rId97" ref="S177"/>
    <hyperlink r:id="rId98" ref="S178"/>
    <hyperlink r:id="rId99" ref="S179"/>
    <hyperlink r:id="rId100" ref="S180"/>
    <hyperlink r:id="rId101" ref="S181"/>
    <hyperlink r:id="rId102" ref="S182"/>
    <hyperlink r:id="rId103" ref="S183"/>
    <hyperlink r:id="rId104" ref="S184"/>
    <hyperlink r:id="rId105" ref="S185"/>
    <hyperlink r:id="rId106" ref="S186"/>
    <hyperlink r:id="rId107" ref="S187"/>
    <hyperlink r:id="rId108" ref="S188"/>
    <hyperlink r:id="rId109" ref="S189"/>
    <hyperlink r:id="rId110" ref="S190"/>
    <hyperlink r:id="rId111" ref="S191"/>
    <hyperlink r:id="rId112" ref="S192"/>
    <hyperlink r:id="rId113" ref="S193"/>
    <hyperlink r:id="rId114" ref="S194"/>
    <hyperlink r:id="rId115" ref="S195"/>
    <hyperlink r:id="rId116" ref="S196"/>
    <hyperlink r:id="rId117" ref="S197"/>
    <hyperlink r:id="rId118" ref="S198"/>
    <hyperlink r:id="rId119" ref="S199"/>
    <hyperlink r:id="rId120" ref="S200"/>
    <hyperlink r:id="rId121" ref="S201"/>
    <hyperlink r:id="rId122" ref="S202"/>
    <hyperlink r:id="rId123" ref="S203"/>
    <hyperlink r:id="rId124" ref="S204"/>
    <hyperlink r:id="rId125" ref="S205"/>
    <hyperlink r:id="rId126" ref="S206"/>
    <hyperlink r:id="rId127" ref="S207"/>
    <hyperlink r:id="rId128" ref="S208"/>
    <hyperlink r:id="rId129" ref="S209"/>
    <hyperlink r:id="rId130" ref="S210"/>
    <hyperlink r:id="rId131" ref="S211"/>
    <hyperlink r:id="rId132" ref="S212"/>
    <hyperlink r:id="rId133" ref="S213"/>
    <hyperlink r:id="rId134" ref="S214"/>
    <hyperlink r:id="rId135" ref="S215"/>
    <hyperlink r:id="rId136" ref="S216"/>
    <hyperlink r:id="rId137" ref="S217"/>
    <hyperlink r:id="rId138" ref="S218"/>
    <hyperlink r:id="rId139" ref="S219"/>
    <hyperlink r:id="rId140" ref="S220"/>
    <hyperlink r:id="rId141" ref="S221"/>
    <hyperlink r:id="rId142" ref="S222"/>
    <hyperlink r:id="rId143" ref="S223"/>
    <hyperlink r:id="rId144" ref="S224"/>
    <hyperlink r:id="rId145" ref="S225"/>
    <hyperlink r:id="rId146" ref="S226"/>
    <hyperlink r:id="rId147" ref="S227"/>
    <hyperlink r:id="rId148" ref="S228"/>
    <hyperlink r:id="rId149" ref="S229"/>
    <hyperlink r:id="rId150" ref="S230"/>
    <hyperlink r:id="rId151" ref="S231"/>
    <hyperlink r:id="rId152" ref="S232"/>
    <hyperlink r:id="rId153" ref="S233"/>
    <hyperlink r:id="rId154" ref="S234"/>
    <hyperlink r:id="rId155" ref="S235"/>
    <hyperlink r:id="rId156" ref="S236"/>
    <hyperlink r:id="rId157" ref="S237"/>
    <hyperlink r:id="rId158" ref="S238"/>
    <hyperlink r:id="rId159" ref="S239"/>
    <hyperlink r:id="rId160" ref="S240"/>
    <hyperlink r:id="rId161" ref="S241"/>
    <hyperlink r:id="rId162" ref="S242"/>
    <hyperlink r:id="rId163" ref="S243"/>
    <hyperlink r:id="rId164" ref="S244"/>
    <hyperlink r:id="rId165" ref="S245"/>
    <hyperlink r:id="rId166" ref="S246"/>
    <hyperlink r:id="rId167" ref="S247"/>
    <hyperlink r:id="rId168" ref="S248"/>
    <hyperlink r:id="rId169" ref="S249"/>
    <hyperlink r:id="rId170" ref="S250"/>
    <hyperlink r:id="rId171" ref="S251"/>
    <hyperlink r:id="rId172" ref="S252"/>
    <hyperlink r:id="rId173" ref="S253"/>
    <hyperlink r:id="rId174" ref="S254"/>
    <hyperlink r:id="rId175" ref="S255"/>
    <hyperlink r:id="rId176" ref="S256"/>
    <hyperlink r:id="rId177" ref="S257"/>
    <hyperlink r:id="rId178" ref="S258"/>
    <hyperlink r:id="rId179" ref="S259"/>
    <hyperlink r:id="rId180" ref="S260"/>
    <hyperlink r:id="rId181" ref="S261"/>
    <hyperlink r:id="rId182" ref="S262"/>
    <hyperlink r:id="rId183" ref="S263"/>
    <hyperlink r:id="rId184" ref="S264"/>
    <hyperlink r:id="rId185" ref="S265"/>
    <hyperlink r:id="rId186" ref="S266"/>
    <hyperlink r:id="rId187" ref="S267"/>
    <hyperlink r:id="rId188" ref="S268"/>
    <hyperlink r:id="rId189" ref="S269"/>
    <hyperlink r:id="rId190" ref="S270"/>
    <hyperlink r:id="rId191" ref="S271"/>
    <hyperlink r:id="rId192" ref="S272"/>
    <hyperlink r:id="rId193" ref="S273"/>
    <hyperlink r:id="rId194" ref="S274"/>
    <hyperlink r:id="rId195" ref="S275"/>
    <hyperlink r:id="rId196" ref="S276"/>
    <hyperlink r:id="rId197" ref="S277"/>
    <hyperlink r:id="rId198" ref="S278"/>
    <hyperlink r:id="rId199" ref="S279"/>
    <hyperlink r:id="rId200" ref="S280"/>
    <hyperlink r:id="rId201" ref="S281"/>
    <hyperlink r:id="rId202" ref="S282"/>
    <hyperlink r:id="rId203" ref="S283"/>
    <hyperlink r:id="rId204" ref="S284"/>
    <hyperlink r:id="rId205" ref="S285"/>
    <hyperlink r:id="rId206" ref="S286"/>
    <hyperlink r:id="rId207" ref="S287"/>
    <hyperlink r:id="rId208" ref="S288"/>
    <hyperlink r:id="rId209" ref="S289"/>
    <hyperlink r:id="rId210" ref="S290"/>
    <hyperlink r:id="rId211" ref="S291"/>
    <hyperlink r:id="rId212" ref="S292"/>
    <hyperlink r:id="rId213" ref="S293"/>
    <hyperlink r:id="rId214" ref="S294"/>
    <hyperlink r:id="rId215" ref="S295"/>
    <hyperlink r:id="rId216" ref="S296"/>
    <hyperlink r:id="rId217" ref="S297"/>
    <hyperlink r:id="rId218" ref="S298"/>
    <hyperlink r:id="rId219" ref="S299"/>
    <hyperlink r:id="rId220" ref="S300"/>
    <hyperlink r:id="rId221" ref="S301"/>
    <hyperlink r:id="rId222" ref="S302"/>
    <hyperlink r:id="rId223" ref="S303"/>
    <hyperlink r:id="rId224" ref="S304"/>
    <hyperlink r:id="rId225" ref="S305"/>
    <hyperlink r:id="rId226" ref="S306"/>
    <hyperlink r:id="rId227" ref="S307"/>
    <hyperlink r:id="rId228" ref="S308"/>
    <hyperlink r:id="rId229" ref="S309"/>
    <hyperlink r:id="rId230" ref="S310"/>
    <hyperlink r:id="rId231" ref="S311"/>
    <hyperlink r:id="rId232" ref="S312"/>
    <hyperlink r:id="rId233" ref="S313"/>
    <hyperlink r:id="rId234" ref="S314"/>
    <hyperlink r:id="rId235" ref="S315"/>
    <hyperlink r:id="rId236" ref="S316"/>
    <hyperlink r:id="rId237" ref="S317"/>
    <hyperlink r:id="rId238" ref="S318"/>
    <hyperlink r:id="rId239" ref="S319"/>
    <hyperlink r:id="rId240" ref="S320"/>
    <hyperlink r:id="rId241" ref="S321"/>
    <hyperlink r:id="rId242" ref="S322"/>
    <hyperlink r:id="rId243" ref="S323"/>
    <hyperlink r:id="rId244" ref="S324"/>
    <hyperlink r:id="rId245" ref="S325"/>
    <hyperlink r:id="rId246" ref="S326"/>
    <hyperlink r:id="rId247" ref="S327"/>
    <hyperlink r:id="rId248" ref="S328"/>
    <hyperlink r:id="rId249" ref="S329"/>
    <hyperlink r:id="rId250" ref="S330"/>
    <hyperlink r:id="rId251" ref="S331"/>
    <hyperlink r:id="rId252" ref="S332"/>
    <hyperlink r:id="rId253" ref="S333"/>
    <hyperlink r:id="rId254" ref="S334"/>
    <hyperlink r:id="rId255" ref="S335"/>
    <hyperlink r:id="rId256" ref="S336"/>
    <hyperlink r:id="rId257" ref="S337"/>
    <hyperlink r:id="rId258" ref="S338"/>
    <hyperlink r:id="rId259" ref="S339"/>
    <hyperlink r:id="rId260" ref="S340"/>
    <hyperlink r:id="rId261" ref="S341"/>
    <hyperlink r:id="rId262" ref="S342"/>
    <hyperlink r:id="rId263" ref="S343"/>
    <hyperlink r:id="rId264" ref="S344"/>
    <hyperlink r:id="rId265" ref="S345"/>
    <hyperlink r:id="rId266" ref="S346"/>
    <hyperlink r:id="rId267" ref="S347"/>
    <hyperlink r:id="rId268" ref="S348"/>
    <hyperlink r:id="rId269" ref="S349"/>
    <hyperlink r:id="rId270" ref="S350"/>
    <hyperlink r:id="rId271" ref="S351"/>
    <hyperlink r:id="rId272" ref="S352"/>
    <hyperlink r:id="rId273" ref="S353"/>
    <hyperlink r:id="rId274" ref="S354"/>
    <hyperlink r:id="rId275" ref="S355"/>
    <hyperlink r:id="rId276" ref="S356"/>
    <hyperlink r:id="rId277" ref="S357"/>
    <hyperlink r:id="rId278" ref="S358"/>
    <hyperlink r:id="rId279" ref="S359"/>
    <hyperlink r:id="rId280" ref="S360"/>
    <hyperlink r:id="rId281" ref="S361"/>
    <hyperlink r:id="rId282" ref="S362"/>
    <hyperlink r:id="rId283" ref="S363"/>
    <hyperlink r:id="rId284" ref="S364"/>
    <hyperlink r:id="rId285" ref="S365"/>
    <hyperlink r:id="rId286" ref="S366"/>
    <hyperlink r:id="rId287" ref="S367"/>
    <hyperlink r:id="rId288" ref="S368"/>
    <hyperlink r:id="rId289" ref="S369"/>
    <hyperlink r:id="rId290" ref="S370"/>
    <hyperlink r:id="rId291" ref="S371"/>
    <hyperlink r:id="rId292" ref="S372"/>
    <hyperlink r:id="rId293" ref="S373"/>
    <hyperlink r:id="rId294" ref="S374"/>
    <hyperlink r:id="rId295" ref="S375"/>
    <hyperlink r:id="rId296" ref="S376"/>
    <hyperlink r:id="rId297" ref="S377"/>
  </hyperlinks>
  <printOptions/>
  <pageMargins bottom="0.75" footer="0.0" header="0.0" left="0.7" right="0.7" top="0.75"/>
  <pageSetup orientation="landscape"/>
  <drawing r:id="rId29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4" width="10.56"/>
    <col customWidth="1" min="5" max="5" width="14.44"/>
    <col customWidth="1" min="6" max="26" width="10.56"/>
  </cols>
  <sheetData>
    <row r="1" ht="15.75" customHeight="1">
      <c r="A1" s="3" t="s">
        <v>0</v>
      </c>
      <c r="B1" s="3" t="s">
        <v>2</v>
      </c>
      <c r="C1" s="3" t="s">
        <v>5</v>
      </c>
      <c r="D1" s="3" t="s">
        <v>7</v>
      </c>
      <c r="E1" s="3" t="s">
        <v>8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</row>
    <row r="2" ht="15.75" customHeight="1">
      <c r="A2" s="5" t="str">
        <f>HYPERLINK("https://portal.hubmapconsortium.org/browse/sample/4b65fbcc3122353f24724bce80fad2fe", "HBM677.KJSR.495")</f>
        <v>HBM677.KJSR.495</v>
      </c>
      <c r="B2" s="7" t="s">
        <v>24</v>
      </c>
      <c r="C2" s="7" t="s">
        <v>26</v>
      </c>
      <c r="D2" s="5" t="str">
        <f>HYPERLINK("https://portal.hubmapconsortium.org/browse/sample/95e661b6148f0eb7dc29eb519de1e934", "HBM348.BSHQ.569")</f>
        <v>HBM348.BSHQ.569</v>
      </c>
      <c r="E2" s="7" t="s">
        <v>714</v>
      </c>
      <c r="F2" s="7" t="s">
        <v>715</v>
      </c>
      <c r="G2" s="7" t="s">
        <v>28</v>
      </c>
      <c r="H2" s="7" t="s">
        <v>29</v>
      </c>
      <c r="I2" s="7" t="s">
        <v>30</v>
      </c>
      <c r="J2" s="5" t="b">
        <v>0</v>
      </c>
      <c r="K2" s="5" t="s">
        <v>31</v>
      </c>
      <c r="L2" s="7" t="s">
        <v>32</v>
      </c>
      <c r="M2" s="7" t="s">
        <v>33</v>
      </c>
      <c r="N2" s="7" t="s">
        <v>34</v>
      </c>
      <c r="O2" s="7" t="s">
        <v>35</v>
      </c>
      <c r="P2" s="9">
        <v>45460.73564451389</v>
      </c>
      <c r="Q2" s="9">
        <v>45460.73564451389</v>
      </c>
    </row>
    <row r="3" ht="15.75" customHeight="1">
      <c r="A3" s="5" t="str">
        <f>HYPERLINK("https://portal.hubmapconsortium.org/browse/sample/d38c64594fef5b278226218355f5cfd3", "HBM937.BNWQ.265")</f>
        <v>HBM937.BNWQ.265</v>
      </c>
      <c r="B3" s="7" t="s">
        <v>36</v>
      </c>
      <c r="C3" s="7" t="s">
        <v>38</v>
      </c>
      <c r="D3" s="5" t="str">
        <f>HYPERLINK("https://portal.hubmapconsortium.org/browse/sample/9d944eb8a61bf85f70762ae3f2b0e22e", "HBM297.BWFF.894")</f>
        <v>HBM297.BWFF.894</v>
      </c>
      <c r="E3" s="7" t="s">
        <v>716</v>
      </c>
      <c r="F3" s="7" t="s">
        <v>717</v>
      </c>
      <c r="G3" s="7" t="s">
        <v>28</v>
      </c>
      <c r="H3" s="7" t="s">
        <v>29</v>
      </c>
      <c r="I3" s="7" t="s">
        <v>30</v>
      </c>
      <c r="J3" s="5" t="b">
        <v>0</v>
      </c>
      <c r="K3" s="5" t="s">
        <v>42</v>
      </c>
      <c r="L3" s="7" t="s">
        <v>32</v>
      </c>
      <c r="M3" s="7" t="s">
        <v>33</v>
      </c>
      <c r="N3" s="7" t="s">
        <v>34</v>
      </c>
      <c r="O3" s="7" t="s">
        <v>35</v>
      </c>
      <c r="P3" s="9">
        <v>45358.84707986111</v>
      </c>
      <c r="Q3" s="9">
        <v>45559.77799195602</v>
      </c>
    </row>
    <row r="4" ht="15.75" customHeight="1">
      <c r="A4" s="5" t="str">
        <f>HYPERLINK("https://portal.hubmapconsortium.org/browse/sample/d261ada3e6d43c7c1edbe16d76a62357", "HBM459.XZPR.876")</f>
        <v>HBM459.XZPR.876</v>
      </c>
      <c r="B4" s="7" t="s">
        <v>43</v>
      </c>
      <c r="C4" s="7" t="s">
        <v>52</v>
      </c>
      <c r="D4" s="5" t="str">
        <f>HYPERLINK("https://portal.hubmapconsortium.org/browse/sample/8d7323f8e67fae6440c934eeb1ab3d9a", "HBM888.XXWD.357")</f>
        <v>HBM888.XXWD.357</v>
      </c>
      <c r="E4" s="7" t="s">
        <v>718</v>
      </c>
      <c r="F4" s="7" t="s">
        <v>719</v>
      </c>
      <c r="G4" s="7" t="s">
        <v>28</v>
      </c>
      <c r="H4" s="7" t="s">
        <v>29</v>
      </c>
      <c r="I4" s="7" t="s">
        <v>30</v>
      </c>
      <c r="J4" s="5" t="b">
        <v>0</v>
      </c>
      <c r="K4" s="5" t="s">
        <v>720</v>
      </c>
      <c r="L4" s="7" t="s">
        <v>32</v>
      </c>
      <c r="M4" s="7" t="s">
        <v>50</v>
      </c>
      <c r="N4" s="7" t="s">
        <v>51</v>
      </c>
      <c r="O4" s="7" t="s">
        <v>35</v>
      </c>
      <c r="P4" s="9">
        <v>45602.63929568287</v>
      </c>
      <c r="Q4" s="9">
        <v>45692.64092311342</v>
      </c>
    </row>
    <row r="5" ht="15.75" customHeight="1">
      <c r="A5" s="5" t="str">
        <f>HYPERLINK("https://portal.hubmapconsortium.org/browse/sample/92e12fd67bcf32778b0dc4772cf90da7", "HBM498.CWRV.928")</f>
        <v>HBM498.CWRV.928</v>
      </c>
      <c r="B5" s="7" t="s">
        <v>75</v>
      </c>
      <c r="C5" s="7" t="s">
        <v>79</v>
      </c>
      <c r="D5" s="5" t="str">
        <f t="shared" ref="D5:D6" si="1">HYPERLINK("https://portal.hubmapconsortium.org/browse/sample/83ab99a06a11a99e3fb971c922b50642", "HBM972.ZVMR.866")</f>
        <v>HBM972.ZVMR.866</v>
      </c>
      <c r="E5" s="7" t="s">
        <v>721</v>
      </c>
      <c r="F5" s="7" t="s">
        <v>722</v>
      </c>
      <c r="G5" s="7" t="s">
        <v>28</v>
      </c>
      <c r="H5" s="7" t="s">
        <v>29</v>
      </c>
      <c r="I5" s="7" t="s">
        <v>30</v>
      </c>
      <c r="J5" s="5" t="b">
        <v>0</v>
      </c>
      <c r="K5" s="5" t="s">
        <v>723</v>
      </c>
      <c r="L5" s="7" t="s">
        <v>32</v>
      </c>
      <c r="M5" s="7" t="s">
        <v>50</v>
      </c>
      <c r="N5" s="7" t="s">
        <v>51</v>
      </c>
      <c r="O5" s="7" t="s">
        <v>35</v>
      </c>
      <c r="P5" s="9">
        <v>45610.58376969907</v>
      </c>
      <c r="Q5" s="9">
        <v>45610.58376969907</v>
      </c>
    </row>
    <row r="6" ht="15.75" customHeight="1">
      <c r="A6" s="5" t="str">
        <f>HYPERLINK("https://portal.hubmapconsortium.org/browse/sample/0e1c2d399477b244ac006eb58918ec0c", "HBM484.XDKM.759")</f>
        <v>HBM484.XDKM.759</v>
      </c>
      <c r="B6" s="7" t="s">
        <v>75</v>
      </c>
      <c r="C6" s="7" t="s">
        <v>79</v>
      </c>
      <c r="D6" s="5" t="str">
        <f t="shared" si="1"/>
        <v>HBM972.ZVMR.866</v>
      </c>
      <c r="E6" s="7" t="s">
        <v>724</v>
      </c>
      <c r="G6" s="7" t="s">
        <v>28</v>
      </c>
      <c r="H6" s="7" t="s">
        <v>29</v>
      </c>
      <c r="I6" s="7" t="s">
        <v>30</v>
      </c>
      <c r="J6" s="7" t="b">
        <v>0</v>
      </c>
      <c r="K6" s="5" t="s">
        <v>725</v>
      </c>
      <c r="L6" s="7" t="s">
        <v>32</v>
      </c>
      <c r="M6" s="7" t="s">
        <v>67</v>
      </c>
      <c r="N6" s="7" t="s">
        <v>68</v>
      </c>
      <c r="O6" s="7" t="s">
        <v>69</v>
      </c>
      <c r="P6" s="9">
        <v>44060.68394134259</v>
      </c>
      <c r="Q6" s="9">
        <v>44060.68394134259</v>
      </c>
    </row>
    <row r="7" ht="15.75" customHeight="1">
      <c r="A7" s="5" t="str">
        <f>HYPERLINK("https://portal.hubmapconsortium.org/browse/sample/6749bb2a27307d808678cb10d227b785", "HBM287.SCGZ.656")</f>
        <v>HBM287.SCGZ.656</v>
      </c>
      <c r="B7" s="7" t="s">
        <v>102</v>
      </c>
      <c r="C7" s="7" t="s">
        <v>109</v>
      </c>
      <c r="D7" s="5" t="str">
        <f>HYPERLINK("https://portal.hubmapconsortium.org/browse/sample/97408712e754c9d9ba0a450d8617997a", "HBM633.KTTT.942")</f>
        <v>HBM633.KTTT.942</v>
      </c>
      <c r="E7" s="7" t="s">
        <v>726</v>
      </c>
      <c r="F7" s="7" t="s">
        <v>727</v>
      </c>
      <c r="G7" s="7" t="s">
        <v>28</v>
      </c>
      <c r="H7" s="7" t="s">
        <v>29</v>
      </c>
      <c r="I7" s="7" t="s">
        <v>30</v>
      </c>
      <c r="J7" s="5" t="b">
        <v>0</v>
      </c>
      <c r="K7" s="5" t="s">
        <v>723</v>
      </c>
      <c r="L7" s="7" t="s">
        <v>32</v>
      </c>
      <c r="M7" s="7" t="s">
        <v>50</v>
      </c>
      <c r="N7" s="7" t="s">
        <v>51</v>
      </c>
      <c r="O7" s="7" t="s">
        <v>35</v>
      </c>
      <c r="P7" s="9">
        <v>45722.75472329861</v>
      </c>
      <c r="Q7" s="9">
        <v>45722.75472329861</v>
      </c>
    </row>
    <row r="8" ht="15.75" customHeight="1">
      <c r="A8" s="5" t="str">
        <f>HYPERLINK("https://portal.hubmapconsortium.org/browse/sample/c2202e7ca16c428539b61e7d6a8dabce", "HBM529.LTRK.856")</f>
        <v>HBM529.LTRK.856</v>
      </c>
      <c r="B8" s="7" t="s">
        <v>112</v>
      </c>
      <c r="C8" s="7" t="s">
        <v>113</v>
      </c>
      <c r="D8" s="5" t="str">
        <f>HYPERLINK("https://portal.hubmapconsortium.org/browse/sample/75e0685fda23bf05bf3f75afd36f597c", "HBM757.DWNN.437")</f>
        <v>HBM757.DWNN.437</v>
      </c>
      <c r="E8" s="7" t="s">
        <v>728</v>
      </c>
      <c r="F8" s="7" t="s">
        <v>729</v>
      </c>
      <c r="G8" s="7" t="s">
        <v>28</v>
      </c>
      <c r="H8" s="7" t="s">
        <v>29</v>
      </c>
      <c r="I8" s="7" t="s">
        <v>30</v>
      </c>
      <c r="J8" s="5" t="b">
        <v>0</v>
      </c>
      <c r="K8" s="5" t="s">
        <v>723</v>
      </c>
      <c r="L8" s="7" t="s">
        <v>32</v>
      </c>
      <c r="M8" s="7" t="s">
        <v>50</v>
      </c>
      <c r="N8" s="7" t="s">
        <v>51</v>
      </c>
      <c r="O8" s="7" t="s">
        <v>35</v>
      </c>
      <c r="P8" s="9">
        <v>45722.75474680556</v>
      </c>
      <c r="Q8" s="9">
        <v>45722.75474680556</v>
      </c>
    </row>
    <row r="9" ht="15.75" customHeight="1">
      <c r="A9" s="5" t="str">
        <f>HYPERLINK("https://portal.hubmapconsortium.org/browse/sample/539b8dd38698d191ec284f9f061e7441", "HBM658.BXNB.873")</f>
        <v>HBM658.BXNB.873</v>
      </c>
      <c r="B9" s="7" t="s">
        <v>123</v>
      </c>
      <c r="C9" s="7" t="s">
        <v>124</v>
      </c>
      <c r="D9" s="5" t="str">
        <f t="shared" ref="D9:D10" si="2">HYPERLINK("https://portal.hubmapconsortium.org/browse/sample/5b24ccb2caa0fadbb19325591b4c2236", "HBM247.SHRT.724")</f>
        <v>HBM247.SHRT.724</v>
      </c>
      <c r="E9" s="7" t="s">
        <v>730</v>
      </c>
      <c r="F9" s="7" t="s">
        <v>731</v>
      </c>
      <c r="G9" s="7" t="s">
        <v>28</v>
      </c>
      <c r="H9" s="7" t="s">
        <v>29</v>
      </c>
      <c r="I9" s="7" t="s">
        <v>30</v>
      </c>
      <c r="J9" s="5" t="b">
        <v>1</v>
      </c>
      <c r="K9" s="5" t="s">
        <v>131</v>
      </c>
      <c r="L9" s="7" t="s">
        <v>32</v>
      </c>
      <c r="M9" s="7" t="s">
        <v>33</v>
      </c>
      <c r="N9" s="7" t="s">
        <v>34</v>
      </c>
      <c r="O9" s="7" t="s">
        <v>35</v>
      </c>
      <c r="P9" s="9">
        <v>45314.63161667824</v>
      </c>
      <c r="Q9" s="9">
        <v>45441.60407724537</v>
      </c>
    </row>
    <row r="10" ht="15.75" customHeight="1">
      <c r="A10" s="5" t="str">
        <f>HYPERLINK("https://portal.hubmapconsortium.org/browse/sample/6e4cae95a41895178b44f8a6cad3e7c0", "HBM924.KJZP.299")</f>
        <v>HBM924.KJZP.299</v>
      </c>
      <c r="B10" s="7" t="s">
        <v>123</v>
      </c>
      <c r="C10" s="7" t="s">
        <v>124</v>
      </c>
      <c r="D10" s="5" t="str">
        <f t="shared" si="2"/>
        <v>HBM247.SHRT.724</v>
      </c>
      <c r="E10" s="7" t="s">
        <v>732</v>
      </c>
      <c r="F10" s="7" t="s">
        <v>733</v>
      </c>
      <c r="G10" s="7" t="s">
        <v>28</v>
      </c>
      <c r="H10" s="7" t="s">
        <v>29</v>
      </c>
      <c r="I10" s="7" t="s">
        <v>30</v>
      </c>
      <c r="J10" s="5" t="b">
        <v>0</v>
      </c>
      <c r="K10" s="5" t="s">
        <v>137</v>
      </c>
      <c r="L10" s="7" t="s">
        <v>49</v>
      </c>
      <c r="M10" s="7" t="s">
        <v>33</v>
      </c>
      <c r="N10" s="7" t="s">
        <v>34</v>
      </c>
      <c r="O10" s="7" t="s">
        <v>35</v>
      </c>
      <c r="P10" s="9">
        <v>45736.65232950231</v>
      </c>
      <c r="Q10" s="9">
        <v>45736.65232950231</v>
      </c>
    </row>
    <row r="11" ht="15.75" customHeight="1">
      <c r="A11" s="5" t="str">
        <f>HYPERLINK("https://portal.hubmapconsortium.org/browse/sample/932c9f9d5001b3880c6354f07b012403", "HBM355.BXKP.734")</f>
        <v>HBM355.BXKP.734</v>
      </c>
      <c r="B11" s="7" t="s">
        <v>143</v>
      </c>
      <c r="C11" s="7" t="s">
        <v>144</v>
      </c>
      <c r="D11" s="5" t="str">
        <f t="shared" ref="D11:D12" si="3">HYPERLINK("https://portal.hubmapconsortium.org/browse/sample/914451adcbf7503357c542841367b6fb", "HBM693.VJCB.242")</f>
        <v>HBM693.VJCB.242</v>
      </c>
      <c r="E11" s="7" t="s">
        <v>734</v>
      </c>
      <c r="F11" s="7" t="s">
        <v>735</v>
      </c>
      <c r="G11" s="7" t="s">
        <v>28</v>
      </c>
      <c r="H11" s="7" t="s">
        <v>29</v>
      </c>
      <c r="I11" s="7" t="s">
        <v>30</v>
      </c>
      <c r="J11" s="5" t="b">
        <v>0</v>
      </c>
      <c r="K11" s="5" t="s">
        <v>723</v>
      </c>
      <c r="L11" s="7" t="s">
        <v>32</v>
      </c>
      <c r="M11" s="7" t="s">
        <v>50</v>
      </c>
      <c r="N11" s="7" t="s">
        <v>51</v>
      </c>
      <c r="O11" s="7" t="s">
        <v>35</v>
      </c>
      <c r="P11" s="9">
        <v>45722.75479689815</v>
      </c>
      <c r="Q11" s="9">
        <v>45722.75479689815</v>
      </c>
    </row>
    <row r="12" ht="15.75" customHeight="1">
      <c r="A12" s="5" t="str">
        <f>HYPERLINK("https://portal.hubmapconsortium.org/browse/sample/07a5d29d45599533cd50a9c76e198e47", "HBM429.WSGJ.746")</f>
        <v>HBM429.WSGJ.746</v>
      </c>
      <c r="B12" s="7" t="s">
        <v>143</v>
      </c>
      <c r="C12" s="7" t="s">
        <v>144</v>
      </c>
      <c r="D12" s="5" t="str">
        <f t="shared" si="3"/>
        <v>HBM693.VJCB.242</v>
      </c>
      <c r="E12" s="7" t="s">
        <v>736</v>
      </c>
      <c r="F12" s="7" t="s">
        <v>737</v>
      </c>
      <c r="G12" s="7" t="s">
        <v>28</v>
      </c>
      <c r="H12" s="7" t="s">
        <v>29</v>
      </c>
      <c r="I12" s="7" t="s">
        <v>30</v>
      </c>
      <c r="J12" s="5" t="b">
        <v>0</v>
      </c>
      <c r="K12" s="5" t="s">
        <v>723</v>
      </c>
      <c r="L12" s="7" t="s">
        <v>49</v>
      </c>
      <c r="M12" s="7" t="s">
        <v>50</v>
      </c>
      <c r="N12" s="7" t="s">
        <v>51</v>
      </c>
      <c r="O12" s="7" t="s">
        <v>35</v>
      </c>
      <c r="P12" s="9">
        <v>45722.75476881945</v>
      </c>
      <c r="Q12" s="9">
        <v>45722.75476881945</v>
      </c>
    </row>
    <row r="13" ht="15.75" customHeight="1">
      <c r="A13" s="5" t="str">
        <f>HYPERLINK("https://portal.hubmapconsortium.org/browse/sample/cfd6f1a41100df6510117b5d57aff4ae", "HBM354.HPBP.394")</f>
        <v>HBM354.HPBP.394</v>
      </c>
      <c r="B13" s="7" t="s">
        <v>156</v>
      </c>
      <c r="C13" s="7" t="s">
        <v>157</v>
      </c>
      <c r="D13" s="5" t="str">
        <f>HYPERLINK("https://portal.hubmapconsortium.org/browse/sample/30036c780684b91f47ea886887051bec", "HBM957.PBHP.655")</f>
        <v>HBM957.PBHP.655</v>
      </c>
      <c r="E13" s="7" t="s">
        <v>738</v>
      </c>
      <c r="F13" s="7" t="s">
        <v>739</v>
      </c>
      <c r="G13" s="7" t="s">
        <v>28</v>
      </c>
      <c r="H13" s="7" t="s">
        <v>29</v>
      </c>
      <c r="I13" s="7" t="s">
        <v>30</v>
      </c>
      <c r="J13" s="5" t="b">
        <v>0</v>
      </c>
      <c r="K13" s="5" t="s">
        <v>723</v>
      </c>
      <c r="L13" s="7" t="s">
        <v>32</v>
      </c>
      <c r="M13" s="7" t="s">
        <v>50</v>
      </c>
      <c r="N13" s="7" t="s">
        <v>51</v>
      </c>
      <c r="O13" s="7" t="s">
        <v>35</v>
      </c>
      <c r="P13" s="9">
        <v>45722.75482039352</v>
      </c>
      <c r="Q13" s="9">
        <v>45722.75482039352</v>
      </c>
    </row>
    <row r="14" ht="15.75" customHeight="1">
      <c r="A14" s="5" t="str">
        <f>HYPERLINK("https://portal.hubmapconsortium.org/browse/sample/d9287b1710bc78b8533482baf8f45ca6", "HBM478.XJCC.627")</f>
        <v>HBM478.XJCC.627</v>
      </c>
      <c r="B14" s="7" t="s">
        <v>168</v>
      </c>
      <c r="C14" s="7" t="s">
        <v>169</v>
      </c>
      <c r="D14" s="5" t="str">
        <f>HYPERLINK("https://portal.hubmapconsortium.org/browse/sample/b4d5c999634afcdb45473176dfdf14ab", "HBM224.PXCC.749")</f>
        <v>HBM224.PXCC.749</v>
      </c>
      <c r="E14" s="7" t="s">
        <v>740</v>
      </c>
      <c r="F14" s="7" t="s">
        <v>741</v>
      </c>
      <c r="G14" s="7" t="s">
        <v>28</v>
      </c>
      <c r="H14" s="7" t="s">
        <v>29</v>
      </c>
      <c r="I14" s="7" t="s">
        <v>30</v>
      </c>
      <c r="J14" s="5" t="b">
        <v>0</v>
      </c>
      <c r="K14" s="5" t="s">
        <v>723</v>
      </c>
      <c r="L14" s="7" t="s">
        <v>32</v>
      </c>
      <c r="M14" s="7" t="s">
        <v>50</v>
      </c>
      <c r="N14" s="7" t="s">
        <v>51</v>
      </c>
      <c r="O14" s="7" t="s">
        <v>35</v>
      </c>
      <c r="P14" s="9">
        <v>45722.75484575232</v>
      </c>
      <c r="Q14" s="9">
        <v>45722.75484575232</v>
      </c>
    </row>
    <row r="15" ht="15.75" customHeight="1">
      <c r="A15" s="5" t="str">
        <f>HYPERLINK("https://portal.hubmapconsortium.org/browse/sample/8a193a1894019b4f34a8a84824c65eb1", "HBM855.BKBH.632")</f>
        <v>HBM855.BKBH.632</v>
      </c>
      <c r="B15" s="7" t="s">
        <v>217</v>
      </c>
      <c r="C15" s="7" t="s">
        <v>221</v>
      </c>
      <c r="D15" s="5" t="str">
        <f t="shared" ref="D15:D16" si="4">HYPERLINK("https://portal.hubmapconsortium.org/browse/sample/bf6797891187c90525e7e2a4778f58a8", "HBM559.ZVDB.249")</f>
        <v>HBM559.ZVDB.249</v>
      </c>
      <c r="E15" s="7" t="s">
        <v>742</v>
      </c>
      <c r="F15" s="7" t="s">
        <v>743</v>
      </c>
      <c r="G15" s="7" t="s">
        <v>28</v>
      </c>
      <c r="H15" s="7" t="s">
        <v>29</v>
      </c>
      <c r="I15" s="7" t="s">
        <v>30</v>
      </c>
      <c r="J15" s="5" t="b">
        <v>0</v>
      </c>
      <c r="K15" s="5" t="s">
        <v>723</v>
      </c>
      <c r="L15" s="7" t="s">
        <v>32</v>
      </c>
      <c r="M15" s="7" t="s">
        <v>50</v>
      </c>
      <c r="N15" s="7" t="s">
        <v>51</v>
      </c>
      <c r="O15" s="7" t="s">
        <v>35</v>
      </c>
      <c r="P15" s="9">
        <v>45722.75486548611</v>
      </c>
      <c r="Q15" s="9">
        <v>45722.75486548611</v>
      </c>
    </row>
    <row r="16" ht="15.75" customHeight="1">
      <c r="A16" s="5" t="str">
        <f>HYPERLINK("https://portal.hubmapconsortium.org/browse/sample/c536a9749c532f3b713bbd0d309ab1e7", "HBM329.GCDL.947")</f>
        <v>HBM329.GCDL.947</v>
      </c>
      <c r="B16" s="7" t="s">
        <v>217</v>
      </c>
      <c r="C16" s="7" t="s">
        <v>221</v>
      </c>
      <c r="D16" s="5" t="str">
        <f t="shared" si="4"/>
        <v>HBM559.ZVDB.249</v>
      </c>
      <c r="E16" s="7" t="s">
        <v>744</v>
      </c>
      <c r="F16" s="7" t="s">
        <v>745</v>
      </c>
      <c r="G16" s="7" t="s">
        <v>28</v>
      </c>
      <c r="H16" s="7" t="s">
        <v>29</v>
      </c>
      <c r="I16" s="7" t="s">
        <v>30</v>
      </c>
      <c r="J16" s="5" t="b">
        <v>0</v>
      </c>
      <c r="K16" s="5" t="s">
        <v>31</v>
      </c>
      <c r="L16" s="7" t="s">
        <v>49</v>
      </c>
      <c r="M16" s="7" t="s">
        <v>50</v>
      </c>
      <c r="N16" s="7" t="s">
        <v>51</v>
      </c>
      <c r="O16" s="7" t="s">
        <v>35</v>
      </c>
      <c r="P16" s="9">
        <v>45819.67008318287</v>
      </c>
      <c r="Q16" s="9">
        <v>45819.67008318287</v>
      </c>
    </row>
    <row r="17" ht="15.75" customHeight="1">
      <c r="A17" s="5" t="str">
        <f>HYPERLINK("https://portal.hubmapconsortium.org/browse/sample/1b2aef0b73604d08de6c55269ae51d37", "HBM882.RWGT.367")</f>
        <v>HBM882.RWGT.367</v>
      </c>
      <c r="B17" s="7" t="s">
        <v>242</v>
      </c>
      <c r="C17" s="7" t="s">
        <v>243</v>
      </c>
      <c r="D17" s="5" t="str">
        <f>HYPERLINK("https://portal.hubmapconsortium.org/browse/sample/9ea8bdc2c660a0da9d944e0b2da6b237", "HBM749.ZWMQ.359")</f>
        <v>HBM749.ZWMQ.359</v>
      </c>
      <c r="E17" s="7" t="s">
        <v>746</v>
      </c>
      <c r="F17" s="7" t="s">
        <v>747</v>
      </c>
      <c r="G17" s="7" t="s">
        <v>28</v>
      </c>
      <c r="H17" s="7" t="s">
        <v>29</v>
      </c>
      <c r="I17" s="7" t="s">
        <v>30</v>
      </c>
      <c r="J17" s="5" t="b">
        <v>0</v>
      </c>
      <c r="K17" s="5" t="s">
        <v>720</v>
      </c>
      <c r="L17" s="7" t="s">
        <v>32</v>
      </c>
      <c r="M17" s="7" t="s">
        <v>50</v>
      </c>
      <c r="N17" s="7" t="s">
        <v>51</v>
      </c>
      <c r="O17" s="7" t="s">
        <v>35</v>
      </c>
      <c r="P17" s="9">
        <v>45602.6456209838</v>
      </c>
      <c r="Q17" s="9">
        <v>45602.6456209838</v>
      </c>
    </row>
    <row r="18" ht="15.75" customHeight="1">
      <c r="A18" s="5" t="str">
        <f>HYPERLINK("https://portal.hubmapconsortium.org/browse/sample/4620b1e80841d677a5276dff5a3669b2", "HBM567.CKPD.835")</f>
        <v>HBM567.CKPD.835</v>
      </c>
      <c r="B18" s="7" t="s">
        <v>246</v>
      </c>
      <c r="C18" s="7" t="s">
        <v>250</v>
      </c>
      <c r="D18" s="5" t="str">
        <f t="shared" ref="D18:D19" si="5">HYPERLINK("https://portal.hubmapconsortium.org/browse/sample/647bb669b1302c49cada4274553543e1", "HBM436.JQXP.677")</f>
        <v>HBM436.JQXP.677</v>
      </c>
      <c r="E18" s="7" t="s">
        <v>748</v>
      </c>
      <c r="F18" s="7" t="s">
        <v>749</v>
      </c>
      <c r="G18" s="7" t="s">
        <v>28</v>
      </c>
      <c r="H18" s="7" t="s">
        <v>29</v>
      </c>
      <c r="I18" s="7" t="s">
        <v>30</v>
      </c>
      <c r="J18" s="5" t="b">
        <v>0</v>
      </c>
      <c r="K18" s="5" t="s">
        <v>131</v>
      </c>
      <c r="L18" s="7" t="s">
        <v>32</v>
      </c>
      <c r="M18" s="7" t="s">
        <v>50</v>
      </c>
      <c r="N18" s="7" t="s">
        <v>51</v>
      </c>
      <c r="O18" s="7" t="s">
        <v>35</v>
      </c>
      <c r="P18" s="9">
        <v>45714.92120581018</v>
      </c>
      <c r="Q18" s="9">
        <v>45714.92120581018</v>
      </c>
    </row>
    <row r="19" ht="15.75" customHeight="1">
      <c r="A19" s="5" t="str">
        <f>HYPERLINK("https://portal.hubmapconsortium.org/browse/sample/fb63526ec2775425fdae474cb35698b8", "HBM983.VMGH.956")</f>
        <v>HBM983.VMGH.956</v>
      </c>
      <c r="B19" s="7" t="s">
        <v>246</v>
      </c>
      <c r="C19" s="7" t="s">
        <v>250</v>
      </c>
      <c r="D19" s="5" t="str">
        <f t="shared" si="5"/>
        <v>HBM436.JQXP.677</v>
      </c>
      <c r="E19" s="7" t="s">
        <v>750</v>
      </c>
      <c r="F19" s="7" t="s">
        <v>751</v>
      </c>
      <c r="G19" s="7" t="s">
        <v>28</v>
      </c>
      <c r="H19" s="7" t="s">
        <v>29</v>
      </c>
      <c r="I19" s="7" t="s">
        <v>30</v>
      </c>
      <c r="J19" s="5" t="b">
        <v>0</v>
      </c>
      <c r="K19" s="5" t="s">
        <v>31</v>
      </c>
      <c r="L19" s="7" t="s">
        <v>49</v>
      </c>
      <c r="M19" s="7" t="s">
        <v>50</v>
      </c>
      <c r="N19" s="7" t="s">
        <v>51</v>
      </c>
      <c r="O19" s="7" t="s">
        <v>35</v>
      </c>
      <c r="P19" s="9">
        <v>45819.67009768519</v>
      </c>
      <c r="Q19" s="9">
        <v>45819.67009768519</v>
      </c>
    </row>
    <row r="20" ht="15.75" customHeight="1">
      <c r="A20" s="5" t="str">
        <f>HYPERLINK("https://portal.hubmapconsortium.org/browse/sample/a6ab4e911fb1b4eabdba9497bf3101f1", "HBM797.KRVC.473")</f>
        <v>HBM797.KRVC.473</v>
      </c>
      <c r="B20" s="7" t="s">
        <v>276</v>
      </c>
      <c r="C20" s="7" t="s">
        <v>277</v>
      </c>
      <c r="D20" s="5" t="str">
        <f>HYPERLINK("https://portal.hubmapconsortium.org/browse/sample/d8d8a01808460212f824348ccb643839", "HBM566.VHMC.724")</f>
        <v>HBM566.VHMC.724</v>
      </c>
      <c r="E20" s="7" t="s">
        <v>752</v>
      </c>
      <c r="F20" s="7" t="s">
        <v>753</v>
      </c>
      <c r="G20" s="7" t="s">
        <v>28</v>
      </c>
      <c r="H20" s="7" t="s">
        <v>29</v>
      </c>
      <c r="I20" s="7" t="s">
        <v>30</v>
      </c>
      <c r="J20" s="5" t="b">
        <v>0</v>
      </c>
      <c r="K20" s="5" t="s">
        <v>131</v>
      </c>
      <c r="L20" s="7" t="s">
        <v>32</v>
      </c>
      <c r="M20" s="7" t="s">
        <v>33</v>
      </c>
      <c r="N20" s="7" t="s">
        <v>34</v>
      </c>
      <c r="O20" s="7" t="s">
        <v>35</v>
      </c>
      <c r="P20" s="9">
        <v>45314.61761920139</v>
      </c>
      <c r="Q20" s="9">
        <v>45314.61761920139</v>
      </c>
    </row>
    <row r="21" ht="15.75" customHeight="1">
      <c r="A21" s="5" t="str">
        <f>HYPERLINK("https://portal.hubmapconsortium.org/browse/sample/cb4bc0c6ac78402872e4ee54c795f3b2", "HBM572.QKGC.894")</f>
        <v>HBM572.QKGC.894</v>
      </c>
      <c r="B21" s="7" t="s">
        <v>287</v>
      </c>
      <c r="C21" s="7" t="s">
        <v>304</v>
      </c>
      <c r="D21" s="5" t="str">
        <f t="shared" ref="D21:D22" si="6">HYPERLINK("https://portal.hubmapconsortium.org/browse/sample/6d3a61d32c777efa3bef04dc1f698e91", "HBM657.BGFJ.898")</f>
        <v>HBM657.BGFJ.898</v>
      </c>
      <c r="E21" s="7" t="s">
        <v>754</v>
      </c>
      <c r="F21" s="7" t="s">
        <v>755</v>
      </c>
      <c r="G21" s="7" t="s">
        <v>28</v>
      </c>
      <c r="H21" s="7" t="s">
        <v>29</v>
      </c>
      <c r="I21" s="7" t="s">
        <v>30</v>
      </c>
      <c r="J21" s="5" t="b">
        <v>0</v>
      </c>
      <c r="K21" s="5" t="s">
        <v>85</v>
      </c>
      <c r="L21" s="7" t="s">
        <v>32</v>
      </c>
      <c r="M21" s="7" t="s">
        <v>50</v>
      </c>
      <c r="N21" s="7" t="s">
        <v>51</v>
      </c>
      <c r="O21" s="7" t="s">
        <v>35</v>
      </c>
      <c r="P21" s="9">
        <v>45512.79777998842</v>
      </c>
      <c r="Q21" s="9">
        <v>45512.79777998842</v>
      </c>
    </row>
    <row r="22" ht="15.75" customHeight="1">
      <c r="A22" s="5" t="str">
        <f>HYPERLINK("https://portal.hubmapconsortium.org/browse/sample/db0c5368c69e1a0c3a077ce7e377a949", "HBM687.ZZDN.787")</f>
        <v>HBM687.ZZDN.787</v>
      </c>
      <c r="B22" s="7" t="s">
        <v>287</v>
      </c>
      <c r="C22" s="7" t="s">
        <v>304</v>
      </c>
      <c r="D22" s="5" t="str">
        <f t="shared" si="6"/>
        <v>HBM657.BGFJ.898</v>
      </c>
      <c r="E22" s="7" t="s">
        <v>756</v>
      </c>
      <c r="F22" s="7" t="s">
        <v>757</v>
      </c>
      <c r="G22" s="7" t="s">
        <v>28</v>
      </c>
      <c r="H22" s="7" t="s">
        <v>29</v>
      </c>
      <c r="I22" s="7" t="s">
        <v>30</v>
      </c>
      <c r="J22" s="5" t="b">
        <v>0</v>
      </c>
      <c r="K22" s="5" t="s">
        <v>85</v>
      </c>
      <c r="L22" s="7" t="s">
        <v>32</v>
      </c>
      <c r="M22" s="7" t="s">
        <v>50</v>
      </c>
      <c r="N22" s="7" t="s">
        <v>51</v>
      </c>
      <c r="O22" s="7" t="s">
        <v>35</v>
      </c>
      <c r="P22" s="9">
        <v>45512.79779552083</v>
      </c>
      <c r="Q22" s="9">
        <v>45512.79779552083</v>
      </c>
    </row>
    <row r="23" ht="15.75" customHeight="1">
      <c r="A23" s="5" t="str">
        <f>HYPERLINK("https://portal.hubmapconsortium.org/browse/sample/9324aace0e0f9aa0f97d57237a391f71", "HBM999.MTJT.989")</f>
        <v>HBM999.MTJT.989</v>
      </c>
      <c r="B23" s="7" t="s">
        <v>287</v>
      </c>
      <c r="C23" s="7" t="s">
        <v>401</v>
      </c>
      <c r="D23" s="5" t="str">
        <f t="shared" ref="D23:D24" si="7">HYPERLINK("https://portal.hubmapconsortium.org/browse/sample/9954d4d8adb0a53a26179bc99b08b6c0", "HBM688.BJZV.237")</f>
        <v>HBM688.BJZV.237</v>
      </c>
      <c r="E23" s="7" t="s">
        <v>758</v>
      </c>
      <c r="F23" s="7" t="s">
        <v>759</v>
      </c>
      <c r="G23" s="7" t="s">
        <v>28</v>
      </c>
      <c r="H23" s="7" t="s">
        <v>29</v>
      </c>
      <c r="I23" s="7" t="s">
        <v>30</v>
      </c>
      <c r="J23" s="5" t="b">
        <v>0</v>
      </c>
      <c r="K23" s="5" t="s">
        <v>85</v>
      </c>
      <c r="L23" s="7" t="s">
        <v>32</v>
      </c>
      <c r="M23" s="7" t="s">
        <v>50</v>
      </c>
      <c r="N23" s="7" t="s">
        <v>51</v>
      </c>
      <c r="O23" s="7" t="s">
        <v>35</v>
      </c>
      <c r="P23" s="9">
        <v>45643.91140944444</v>
      </c>
      <c r="Q23" s="9">
        <v>45643.91140944444</v>
      </c>
    </row>
    <row r="24" ht="15.75" customHeight="1">
      <c r="A24" s="5" t="str">
        <f>HYPERLINK("https://portal.hubmapconsortium.org/browse/sample/c2650067e3dd3761e87a1e0dbaa984e9", "HBM836.VFTN.367")</f>
        <v>HBM836.VFTN.367</v>
      </c>
      <c r="B24" s="7" t="s">
        <v>287</v>
      </c>
      <c r="C24" s="7" t="s">
        <v>401</v>
      </c>
      <c r="D24" s="5" t="str">
        <f t="shared" si="7"/>
        <v>HBM688.BJZV.237</v>
      </c>
      <c r="E24" s="7" t="s">
        <v>760</v>
      </c>
      <c r="F24" s="7" t="s">
        <v>761</v>
      </c>
      <c r="G24" s="7" t="s">
        <v>28</v>
      </c>
      <c r="H24" s="7" t="s">
        <v>29</v>
      </c>
      <c r="I24" s="7" t="s">
        <v>30</v>
      </c>
      <c r="J24" s="5" t="b">
        <v>0</v>
      </c>
      <c r="K24" s="5" t="s">
        <v>31</v>
      </c>
      <c r="L24" s="7" t="s">
        <v>49</v>
      </c>
      <c r="M24" s="7" t="s">
        <v>50</v>
      </c>
      <c r="N24" s="7" t="s">
        <v>51</v>
      </c>
      <c r="O24" s="7" t="s">
        <v>35</v>
      </c>
      <c r="P24" s="9">
        <v>45819.67011065972</v>
      </c>
      <c r="Q24" s="9">
        <v>45819.67011065972</v>
      </c>
    </row>
    <row r="25" ht="15.75" customHeight="1">
      <c r="A25" s="5" t="str">
        <f>HYPERLINK("https://portal.hubmapconsortium.org/browse/sample/c3c2a8c95ae4ca3f7a864ed0d35adb5e", "HBM277.XJVM.762")</f>
        <v>HBM277.XJVM.762</v>
      </c>
      <c r="B25" s="7" t="s">
        <v>413</v>
      </c>
      <c r="C25" s="7" t="s">
        <v>427</v>
      </c>
      <c r="D25" s="5" t="str">
        <f t="shared" ref="D25:D26" si="8">HYPERLINK("https://portal.hubmapconsortium.org/browse/sample/4037bc931cabe8556ee08b0cc44ccf22", "HBM346.FQHN.263")</f>
        <v>HBM346.FQHN.263</v>
      </c>
      <c r="E25" s="7" t="s">
        <v>762</v>
      </c>
      <c r="F25" s="7" t="s">
        <v>763</v>
      </c>
      <c r="G25" s="7" t="s">
        <v>28</v>
      </c>
      <c r="H25" s="7" t="s">
        <v>29</v>
      </c>
      <c r="I25" s="7" t="s">
        <v>30</v>
      </c>
      <c r="J25" s="5" t="b">
        <v>0</v>
      </c>
      <c r="K25" s="5" t="s">
        <v>85</v>
      </c>
      <c r="L25" s="7" t="s">
        <v>32</v>
      </c>
      <c r="M25" s="7" t="s">
        <v>50</v>
      </c>
      <c r="N25" s="7" t="s">
        <v>51</v>
      </c>
      <c r="O25" s="7" t="s">
        <v>35</v>
      </c>
      <c r="P25" s="9">
        <v>45512.82223726852</v>
      </c>
      <c r="Q25" s="9">
        <v>45512.82223726852</v>
      </c>
    </row>
    <row r="26" ht="15.75" customHeight="1">
      <c r="A26" s="5" t="str">
        <f>HYPERLINK("https://portal.hubmapconsortium.org/browse/sample/cb43988d0d6ad149d7bef5509be3feae", "HBM848.TGJV.438")</f>
        <v>HBM848.TGJV.438</v>
      </c>
      <c r="B26" s="7" t="s">
        <v>413</v>
      </c>
      <c r="C26" s="7" t="s">
        <v>427</v>
      </c>
      <c r="D26" s="5" t="str">
        <f t="shared" si="8"/>
        <v>HBM346.FQHN.263</v>
      </c>
      <c r="E26" s="7" t="s">
        <v>764</v>
      </c>
      <c r="F26" s="7" t="s">
        <v>765</v>
      </c>
      <c r="G26" s="7" t="s">
        <v>28</v>
      </c>
      <c r="H26" s="7" t="s">
        <v>29</v>
      </c>
      <c r="I26" s="7" t="s">
        <v>30</v>
      </c>
      <c r="J26" s="5" t="b">
        <v>0</v>
      </c>
      <c r="K26" s="5" t="s">
        <v>85</v>
      </c>
      <c r="L26" s="7" t="s">
        <v>32</v>
      </c>
      <c r="M26" s="7" t="s">
        <v>50</v>
      </c>
      <c r="N26" s="7" t="s">
        <v>51</v>
      </c>
      <c r="O26" s="7" t="s">
        <v>35</v>
      </c>
      <c r="P26" s="9">
        <v>45512.8222549537</v>
      </c>
      <c r="Q26" s="9">
        <v>45512.8222549537</v>
      </c>
    </row>
    <row r="27" ht="15.75" customHeight="1">
      <c r="A27" s="5" t="str">
        <f>HYPERLINK("https://portal.hubmapconsortium.org/browse/sample/6a09ea7223f439ed3a950fe0985abf23", "HBM293.KVFK.668")</f>
        <v>HBM293.KVFK.668</v>
      </c>
      <c r="B27" s="7" t="s">
        <v>413</v>
      </c>
      <c r="C27" s="7" t="s">
        <v>524</v>
      </c>
      <c r="D27" s="5" t="str">
        <f t="shared" ref="D27:D28" si="9">HYPERLINK("https://portal.hubmapconsortium.org/browse/sample/7f7f6faf1ed24ed62109de031b99a555", "HBM876.WSJF.893")</f>
        <v>HBM876.WSJF.893</v>
      </c>
      <c r="E27" s="7" t="s">
        <v>766</v>
      </c>
      <c r="F27" s="7" t="s">
        <v>767</v>
      </c>
      <c r="G27" s="7" t="s">
        <v>28</v>
      </c>
      <c r="H27" s="7" t="s">
        <v>29</v>
      </c>
      <c r="I27" s="7" t="s">
        <v>30</v>
      </c>
      <c r="J27" s="5" t="b">
        <v>0</v>
      </c>
      <c r="K27" s="5" t="s">
        <v>31</v>
      </c>
      <c r="L27" s="7" t="s">
        <v>49</v>
      </c>
      <c r="M27" s="7" t="s">
        <v>50</v>
      </c>
      <c r="N27" s="7" t="s">
        <v>51</v>
      </c>
      <c r="O27" s="7" t="s">
        <v>35</v>
      </c>
      <c r="P27" s="9">
        <v>45819.67012449074</v>
      </c>
      <c r="Q27" s="9">
        <v>45848.68981826389</v>
      </c>
    </row>
    <row r="28" ht="15.75" customHeight="1">
      <c r="A28" s="5" t="str">
        <f>HYPERLINK("https://portal.hubmapconsortium.org/browse/sample/86a48166a284aabf8cc6050c4d8a3ec7", "HBM798.WWGF.972")</f>
        <v>HBM798.WWGF.972</v>
      </c>
      <c r="B28" s="7" t="s">
        <v>413</v>
      </c>
      <c r="C28" s="7" t="s">
        <v>524</v>
      </c>
      <c r="D28" s="5" t="str">
        <f t="shared" si="9"/>
        <v>HBM876.WSJF.893</v>
      </c>
      <c r="E28" s="7" t="s">
        <v>768</v>
      </c>
      <c r="F28" s="7" t="s">
        <v>769</v>
      </c>
      <c r="G28" s="7" t="s">
        <v>28</v>
      </c>
      <c r="H28" s="7" t="s">
        <v>29</v>
      </c>
      <c r="I28" s="7" t="s">
        <v>30</v>
      </c>
      <c r="J28" s="5" t="b">
        <v>0</v>
      </c>
      <c r="K28" s="5" t="s">
        <v>31</v>
      </c>
      <c r="L28" s="7" t="s">
        <v>49</v>
      </c>
      <c r="M28" s="7" t="s">
        <v>50</v>
      </c>
      <c r="N28" s="7" t="s">
        <v>51</v>
      </c>
      <c r="O28" s="7" t="s">
        <v>35</v>
      </c>
      <c r="P28" s="9">
        <v>45848.69650636574</v>
      </c>
      <c r="Q28" s="9">
        <v>45848.69650636574</v>
      </c>
    </row>
    <row r="29" ht="15.75" customHeight="1">
      <c r="A29" s="5" t="str">
        <f>HYPERLINK("https://portal.hubmapconsortium.org/browse/sample/e8a87e34d6330fb84a784aa2850abd31", "HBM344.JMJR.482")</f>
        <v>HBM344.JMJR.482</v>
      </c>
      <c r="B29" s="7" t="s">
        <v>549</v>
      </c>
      <c r="C29" s="7" t="s">
        <v>563</v>
      </c>
      <c r="D29" s="5" t="str">
        <f t="shared" ref="D29:D30" si="10">HYPERLINK("https://portal.hubmapconsortium.org/browse/sample/76b132346676d19ecc52dd0e7f6ec220", "HBM758.PXTF.453")</f>
        <v>HBM758.PXTF.453</v>
      </c>
      <c r="E29" s="7" t="s">
        <v>770</v>
      </c>
      <c r="F29" s="7" t="s">
        <v>771</v>
      </c>
      <c r="G29" s="7" t="s">
        <v>28</v>
      </c>
      <c r="H29" s="7" t="s">
        <v>29</v>
      </c>
      <c r="I29" s="7" t="s">
        <v>30</v>
      </c>
      <c r="J29" s="5" t="b">
        <v>0</v>
      </c>
      <c r="K29" s="5" t="s">
        <v>553</v>
      </c>
      <c r="L29" s="7" t="s">
        <v>32</v>
      </c>
      <c r="M29" s="7" t="s">
        <v>33</v>
      </c>
      <c r="N29" s="7" t="s">
        <v>34</v>
      </c>
      <c r="O29" s="7" t="s">
        <v>35</v>
      </c>
      <c r="P29" s="9">
        <v>45726.58499483796</v>
      </c>
      <c r="Q29" s="9">
        <v>45726.58499483796</v>
      </c>
    </row>
    <row r="30" ht="15.75" customHeight="1">
      <c r="A30" s="5" t="str">
        <f>HYPERLINK("https://portal.hubmapconsortium.org/browse/sample/c9fc93217441b749b5fa2b96734feca0", "HBM284.MKWJ.457")</f>
        <v>HBM284.MKWJ.457</v>
      </c>
      <c r="B30" s="7" t="s">
        <v>549</v>
      </c>
      <c r="C30" s="7" t="s">
        <v>563</v>
      </c>
      <c r="D30" s="5" t="str">
        <f t="shared" si="10"/>
        <v>HBM758.PXTF.453</v>
      </c>
      <c r="E30" s="7" t="s">
        <v>772</v>
      </c>
      <c r="F30" s="7" t="s">
        <v>773</v>
      </c>
      <c r="G30" s="7" t="s">
        <v>28</v>
      </c>
      <c r="H30" s="7" t="s">
        <v>29</v>
      </c>
      <c r="I30" s="7" t="s">
        <v>30</v>
      </c>
      <c r="J30" s="5" t="b">
        <v>0</v>
      </c>
      <c r="K30" s="5" t="s">
        <v>553</v>
      </c>
      <c r="L30" s="7" t="s">
        <v>32</v>
      </c>
      <c r="M30" s="7" t="s">
        <v>33</v>
      </c>
      <c r="N30" s="7" t="s">
        <v>34</v>
      </c>
      <c r="O30" s="7" t="s">
        <v>35</v>
      </c>
      <c r="P30" s="9">
        <v>45726.58420789352</v>
      </c>
      <c r="Q30" s="9">
        <v>45726.58420789352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K2"/>
    <hyperlink r:id="rId2" ref="K3"/>
    <hyperlink r:id="rId3" ref="K4"/>
    <hyperlink r:id="rId4" ref="K5"/>
    <hyperlink r:id="rId5" ref="K7"/>
    <hyperlink r:id="rId6" ref="K8"/>
    <hyperlink r:id="rId7" ref="K9"/>
    <hyperlink r:id="rId8" ref="K10"/>
    <hyperlink r:id="rId9" ref="K11"/>
    <hyperlink r:id="rId10" ref="K12"/>
    <hyperlink r:id="rId11" ref="K13"/>
    <hyperlink r:id="rId12" ref="K14"/>
    <hyperlink r:id="rId13" ref="K15"/>
    <hyperlink r:id="rId14" ref="K16"/>
    <hyperlink r:id="rId15" ref="K17"/>
    <hyperlink r:id="rId16" ref="K18"/>
    <hyperlink r:id="rId17" ref="K19"/>
    <hyperlink r:id="rId18" ref="K20"/>
    <hyperlink r:id="rId19" ref="K21"/>
    <hyperlink r:id="rId20" ref="K22"/>
    <hyperlink r:id="rId21" ref="K23"/>
    <hyperlink r:id="rId22" ref="K24"/>
    <hyperlink r:id="rId23" ref="K25"/>
    <hyperlink r:id="rId24" ref="K26"/>
    <hyperlink r:id="rId25" ref="K27"/>
    <hyperlink r:id="rId26" ref="K28"/>
    <hyperlink r:id="rId27" ref="K29"/>
    <hyperlink r:id="rId28" ref="K30"/>
  </hyperlinks>
  <printOptions/>
  <pageMargins bottom="0.75" footer="0.0" header="0.0" left="0.7" right="0.7" top="0.75"/>
  <pageSetup orientation="landscape"/>
  <drawing r:id="rId2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4" width="10.56"/>
    <col customWidth="1" min="5" max="5" width="17.67"/>
    <col customWidth="1" min="6" max="6" width="42.33"/>
    <col customWidth="1" min="7" max="26" width="10.56"/>
  </cols>
  <sheetData>
    <row r="1" ht="15.75" customHeight="1">
      <c r="A1" s="3" t="s">
        <v>0</v>
      </c>
      <c r="B1" s="3" t="s">
        <v>2</v>
      </c>
      <c r="C1" s="3" t="s">
        <v>5</v>
      </c>
      <c r="D1" s="3" t="s">
        <v>7</v>
      </c>
      <c r="E1" s="3" t="s">
        <v>8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</row>
    <row r="2" ht="15.75" customHeight="1">
      <c r="A2" s="5" t="str">
        <f>HYPERLINK("https://portal.hubmapconsortium.org/browse/sample/472031d879dd3d556e3b0bc569a3bf47", "HBM634.JCLF.579")</f>
        <v>HBM634.JCLF.579</v>
      </c>
      <c r="B2" s="7" t="s">
        <v>24</v>
      </c>
      <c r="C2" s="7" t="s">
        <v>26</v>
      </c>
      <c r="D2" s="5" t="str">
        <f>HYPERLINK("https://portal.hubmapconsortium.org/browse/sample/95e661b6148f0eb7dc29eb519de1e934", "HBM348.BSHQ.569")</f>
        <v>HBM348.BSHQ.569</v>
      </c>
      <c r="E2" s="7" t="s">
        <v>774</v>
      </c>
      <c r="F2" s="7" t="s">
        <v>775</v>
      </c>
      <c r="G2" s="7" t="s">
        <v>28</v>
      </c>
      <c r="H2" s="7" t="s">
        <v>29</v>
      </c>
      <c r="I2" s="7" t="s">
        <v>30</v>
      </c>
      <c r="J2" s="5" t="b">
        <v>0</v>
      </c>
      <c r="K2" s="5" t="s">
        <v>31</v>
      </c>
      <c r="L2" s="7" t="s">
        <v>32</v>
      </c>
      <c r="M2" s="7" t="s">
        <v>33</v>
      </c>
      <c r="N2" s="7" t="s">
        <v>34</v>
      </c>
      <c r="O2" s="7" t="s">
        <v>35</v>
      </c>
      <c r="P2" s="9">
        <v>45460.73669311342</v>
      </c>
      <c r="Q2" s="9">
        <v>45460.73669311342</v>
      </c>
    </row>
    <row r="3" ht="15.75" customHeight="1">
      <c r="A3" s="5" t="str">
        <f>HYPERLINK("https://portal.hubmapconsortium.org/browse/sample/d604f80c58fa0491ff7b9ebe7f7ea292", "HBM727.QPDX.344")</f>
        <v>HBM727.QPDX.344</v>
      </c>
      <c r="B3" s="7" t="s">
        <v>43</v>
      </c>
      <c r="C3" s="7" t="s">
        <v>52</v>
      </c>
      <c r="D3" s="5" t="str">
        <f t="shared" ref="D3:D5" si="1">HYPERLINK("https://portal.hubmapconsortium.org/browse/sample/8d7323f8e67fae6440c934eeb1ab3d9a", "HBM888.XXWD.357")</f>
        <v>HBM888.XXWD.357</v>
      </c>
      <c r="E3" s="7" t="s">
        <v>776</v>
      </c>
      <c r="F3" s="7" t="s">
        <v>777</v>
      </c>
      <c r="G3" s="7" t="s">
        <v>28</v>
      </c>
      <c r="H3" s="7" t="s">
        <v>29</v>
      </c>
      <c r="I3" s="7" t="s">
        <v>30</v>
      </c>
      <c r="J3" s="5" t="b">
        <v>0</v>
      </c>
      <c r="K3" s="5" t="s">
        <v>31</v>
      </c>
      <c r="L3" s="7" t="s">
        <v>49</v>
      </c>
      <c r="M3" s="7" t="s">
        <v>50</v>
      </c>
      <c r="N3" s="7" t="s">
        <v>51</v>
      </c>
      <c r="O3" s="7" t="s">
        <v>35</v>
      </c>
      <c r="P3" s="9">
        <v>45819.75572716435</v>
      </c>
      <c r="Q3" s="9">
        <v>45819.75572716435</v>
      </c>
    </row>
    <row r="4" ht="15.75" customHeight="1">
      <c r="A4" s="5" t="str">
        <f>HYPERLINK("https://portal.hubmapconsortium.org/browse/sample/db8d63ed9de39050ae47e3dc1ebf39f1", "HBM773.BMDL.763")</f>
        <v>HBM773.BMDL.763</v>
      </c>
      <c r="B4" s="7" t="s">
        <v>43</v>
      </c>
      <c r="C4" s="7" t="s">
        <v>52</v>
      </c>
      <c r="D4" s="5" t="str">
        <f t="shared" si="1"/>
        <v>HBM888.XXWD.357</v>
      </c>
      <c r="E4" s="7" t="s">
        <v>778</v>
      </c>
      <c r="F4" s="7" t="s">
        <v>777</v>
      </c>
      <c r="G4" s="7" t="s">
        <v>28</v>
      </c>
      <c r="H4" s="7" t="s">
        <v>29</v>
      </c>
      <c r="I4" s="7" t="s">
        <v>30</v>
      </c>
      <c r="J4" s="5" t="b">
        <v>0</v>
      </c>
      <c r="K4" s="5" t="s">
        <v>31</v>
      </c>
      <c r="L4" s="7" t="s">
        <v>49</v>
      </c>
      <c r="M4" s="7" t="s">
        <v>50</v>
      </c>
      <c r="N4" s="7" t="s">
        <v>51</v>
      </c>
      <c r="O4" s="7" t="s">
        <v>35</v>
      </c>
      <c r="P4" s="9">
        <v>45819.7557387963</v>
      </c>
      <c r="Q4" s="9">
        <v>45819.7557387963</v>
      </c>
    </row>
    <row r="5" ht="15.75" customHeight="1">
      <c r="A5" s="5" t="str">
        <f>HYPERLINK("https://portal.hubmapconsortium.org/browse/sample/2ec012620649fa041d363fe4664bab64", "HBM843.JVKP.257")</f>
        <v>HBM843.JVKP.257</v>
      </c>
      <c r="B5" s="7" t="s">
        <v>43</v>
      </c>
      <c r="C5" s="7" t="s">
        <v>52</v>
      </c>
      <c r="D5" s="5" t="str">
        <f t="shared" si="1"/>
        <v>HBM888.XXWD.357</v>
      </c>
      <c r="E5" s="7" t="s">
        <v>779</v>
      </c>
      <c r="F5" s="7" t="s">
        <v>777</v>
      </c>
      <c r="G5" s="7" t="s">
        <v>28</v>
      </c>
      <c r="H5" s="7" t="s">
        <v>29</v>
      </c>
      <c r="I5" s="7" t="s">
        <v>30</v>
      </c>
      <c r="J5" s="5" t="b">
        <v>0</v>
      </c>
      <c r="K5" s="5" t="s">
        <v>31</v>
      </c>
      <c r="L5" s="7" t="s">
        <v>49</v>
      </c>
      <c r="M5" s="7" t="s">
        <v>50</v>
      </c>
      <c r="N5" s="7" t="s">
        <v>51</v>
      </c>
      <c r="O5" s="7" t="s">
        <v>35</v>
      </c>
      <c r="P5" s="9">
        <v>45819.75575018518</v>
      </c>
      <c r="Q5" s="9">
        <v>45819.75575018518</v>
      </c>
    </row>
    <row r="6" ht="15.75" customHeight="1">
      <c r="A6" s="5" t="str">
        <f>HYPERLINK("https://portal.hubmapconsortium.org/browse/sample/5af76e25a93b9bad388673c94f45eda3", "HBM549.VNLJ.483")</f>
        <v>HBM549.VNLJ.483</v>
      </c>
      <c r="B6" s="7" t="s">
        <v>75</v>
      </c>
      <c r="C6" s="7" t="s">
        <v>79</v>
      </c>
      <c r="D6" s="5" t="str">
        <f t="shared" ref="D6:D10" si="2">HYPERLINK("https://portal.hubmapconsortium.org/browse/sample/83ab99a06a11a99e3fb971c922b50642", "HBM972.ZVMR.866")</f>
        <v>HBM972.ZVMR.866</v>
      </c>
      <c r="E6" s="7" t="s">
        <v>780</v>
      </c>
      <c r="F6" s="7" t="s">
        <v>781</v>
      </c>
      <c r="G6" s="7" t="s">
        <v>28</v>
      </c>
      <c r="H6" s="7" t="s">
        <v>29</v>
      </c>
      <c r="I6" s="7" t="s">
        <v>30</v>
      </c>
      <c r="J6" s="5" t="b">
        <v>0</v>
      </c>
      <c r="K6" s="5" t="s">
        <v>31</v>
      </c>
      <c r="L6" s="7" t="s">
        <v>49</v>
      </c>
      <c r="M6" s="7" t="s">
        <v>50</v>
      </c>
      <c r="N6" s="7" t="s">
        <v>51</v>
      </c>
      <c r="O6" s="7" t="s">
        <v>35</v>
      </c>
      <c r="P6" s="9">
        <v>45848.75960795139</v>
      </c>
      <c r="Q6" s="9">
        <v>45848.75960795139</v>
      </c>
    </row>
    <row r="7" ht="15.75" customHeight="1">
      <c r="A7" s="5" t="str">
        <f>HYPERLINK("https://portal.hubmapconsortium.org/browse/sample/f5b96aac1ba28429825bf085a7bc9838", "HBM838.FNBV.229")</f>
        <v>HBM838.FNBV.229</v>
      </c>
      <c r="B7" s="7" t="s">
        <v>75</v>
      </c>
      <c r="C7" s="7" t="s">
        <v>79</v>
      </c>
      <c r="D7" s="5" t="str">
        <f t="shared" si="2"/>
        <v>HBM972.ZVMR.866</v>
      </c>
      <c r="E7" s="7" t="s">
        <v>782</v>
      </c>
      <c r="F7" s="7" t="s">
        <v>781</v>
      </c>
      <c r="G7" s="7" t="s">
        <v>28</v>
      </c>
      <c r="H7" s="7" t="s">
        <v>29</v>
      </c>
      <c r="I7" s="7" t="s">
        <v>30</v>
      </c>
      <c r="J7" s="5" t="b">
        <v>0</v>
      </c>
      <c r="K7" s="5" t="s">
        <v>31</v>
      </c>
      <c r="L7" s="7" t="s">
        <v>49</v>
      </c>
      <c r="M7" s="7" t="s">
        <v>50</v>
      </c>
      <c r="N7" s="7" t="s">
        <v>51</v>
      </c>
      <c r="O7" s="7" t="s">
        <v>35</v>
      </c>
      <c r="P7" s="9">
        <v>45848.75961809028</v>
      </c>
      <c r="Q7" s="9">
        <v>45848.75961809028</v>
      </c>
    </row>
    <row r="8" ht="15.75" customHeight="1">
      <c r="A8" s="5" t="str">
        <f>HYPERLINK("https://portal.hubmapconsortium.org/browse/sample/b83922ed52ece627e6144299a05b5772", "HBM474.KSLW.777")</f>
        <v>HBM474.KSLW.777</v>
      </c>
      <c r="B8" s="7" t="s">
        <v>75</v>
      </c>
      <c r="C8" s="7" t="s">
        <v>79</v>
      </c>
      <c r="D8" s="5" t="str">
        <f t="shared" si="2"/>
        <v>HBM972.ZVMR.866</v>
      </c>
      <c r="E8" s="7" t="s">
        <v>783</v>
      </c>
      <c r="F8" s="7" t="s">
        <v>781</v>
      </c>
      <c r="G8" s="7" t="s">
        <v>28</v>
      </c>
      <c r="H8" s="7" t="s">
        <v>29</v>
      </c>
      <c r="I8" s="7" t="s">
        <v>30</v>
      </c>
      <c r="J8" s="5" t="b">
        <v>0</v>
      </c>
      <c r="K8" s="5" t="s">
        <v>31</v>
      </c>
      <c r="L8" s="7" t="s">
        <v>49</v>
      </c>
      <c r="M8" s="7" t="s">
        <v>50</v>
      </c>
      <c r="N8" s="7" t="s">
        <v>51</v>
      </c>
      <c r="O8" s="7" t="s">
        <v>35</v>
      </c>
      <c r="P8" s="9">
        <v>45848.75963025463</v>
      </c>
      <c r="Q8" s="9">
        <v>45848.75963025463</v>
      </c>
    </row>
    <row r="9" ht="15.75" customHeight="1">
      <c r="A9" s="5" t="str">
        <f>HYPERLINK("https://portal.hubmapconsortium.org/browse/sample/47d6e20989394f47842f8d440509368f", "HBM295.NDWB.396")</f>
        <v>HBM295.NDWB.396</v>
      </c>
      <c r="B9" s="7" t="s">
        <v>75</v>
      </c>
      <c r="C9" s="7" t="s">
        <v>79</v>
      </c>
      <c r="D9" s="5" t="str">
        <f t="shared" si="2"/>
        <v>HBM972.ZVMR.866</v>
      </c>
      <c r="E9" s="7" t="s">
        <v>784</v>
      </c>
      <c r="F9" s="7" t="s">
        <v>781</v>
      </c>
      <c r="G9" s="7" t="s">
        <v>28</v>
      </c>
      <c r="H9" s="7" t="s">
        <v>29</v>
      </c>
      <c r="I9" s="7" t="s">
        <v>30</v>
      </c>
      <c r="J9" s="5" t="b">
        <v>0</v>
      </c>
      <c r="K9" s="5" t="s">
        <v>31</v>
      </c>
      <c r="L9" s="7" t="s">
        <v>49</v>
      </c>
      <c r="M9" s="7" t="s">
        <v>50</v>
      </c>
      <c r="N9" s="7" t="s">
        <v>51</v>
      </c>
      <c r="O9" s="7" t="s">
        <v>35</v>
      </c>
      <c r="P9" s="9">
        <v>45819.7557675</v>
      </c>
      <c r="Q9" s="9">
        <v>45819.7557675</v>
      </c>
    </row>
    <row r="10" ht="15.75" customHeight="1">
      <c r="A10" s="5" t="str">
        <f>HYPERLINK("https://portal.hubmapconsortium.org/browse/sample/fe363edbc8c61f6a8a539c7af5dcb1c1", "HBM584.FDHL.868")</f>
        <v>HBM584.FDHL.868</v>
      </c>
      <c r="B10" s="7" t="s">
        <v>75</v>
      </c>
      <c r="C10" s="7" t="s">
        <v>79</v>
      </c>
      <c r="D10" s="5" t="str">
        <f t="shared" si="2"/>
        <v>HBM972.ZVMR.866</v>
      </c>
      <c r="E10" s="7" t="s">
        <v>785</v>
      </c>
      <c r="F10" s="7" t="s">
        <v>781</v>
      </c>
      <c r="G10" s="7" t="s">
        <v>28</v>
      </c>
      <c r="H10" s="7" t="s">
        <v>29</v>
      </c>
      <c r="I10" s="7" t="s">
        <v>30</v>
      </c>
      <c r="J10" s="5" t="b">
        <v>0</v>
      </c>
      <c r="K10" s="5" t="s">
        <v>31</v>
      </c>
      <c r="L10" s="7" t="s">
        <v>49</v>
      </c>
      <c r="M10" s="7" t="s">
        <v>50</v>
      </c>
      <c r="N10" s="7" t="s">
        <v>51</v>
      </c>
      <c r="O10" s="7" t="s">
        <v>35</v>
      </c>
      <c r="P10" s="9">
        <v>45819.75578297453</v>
      </c>
      <c r="Q10" s="9">
        <v>45819.75578297453</v>
      </c>
    </row>
    <row r="11" ht="15.75" customHeight="1">
      <c r="A11" s="5" t="str">
        <f>HYPERLINK("https://portal.hubmapconsortium.org/browse/sample/6eb14b2d8d7ce45b636b113218eaeda8", "HBM567.PMFW.429")</f>
        <v>HBM567.PMFW.429</v>
      </c>
      <c r="B11" s="7" t="s">
        <v>123</v>
      </c>
      <c r="C11" s="7" t="s">
        <v>124</v>
      </c>
      <c r="D11" s="5" t="str">
        <f>HYPERLINK("https://portal.hubmapconsortium.org/browse/sample/5b24ccb2caa0fadbb19325591b4c2236", "HBM247.SHRT.724")</f>
        <v>HBM247.SHRT.724</v>
      </c>
      <c r="E11" s="7" t="s">
        <v>786</v>
      </c>
      <c r="F11" s="7" t="s">
        <v>787</v>
      </c>
      <c r="G11" s="7" t="s">
        <v>28</v>
      </c>
      <c r="H11" s="7" t="s">
        <v>29</v>
      </c>
      <c r="I11" s="7" t="s">
        <v>30</v>
      </c>
      <c r="J11" s="5" t="b">
        <v>0</v>
      </c>
      <c r="K11" s="5" t="s">
        <v>31</v>
      </c>
      <c r="L11" s="7" t="s">
        <v>49</v>
      </c>
      <c r="M11" s="7" t="s">
        <v>33</v>
      </c>
      <c r="N11" s="7" t="s">
        <v>34</v>
      </c>
      <c r="O11" s="7" t="s">
        <v>35</v>
      </c>
      <c r="P11" s="9">
        <v>45789.8195704051</v>
      </c>
      <c r="Q11" s="9">
        <v>45789.8195704051</v>
      </c>
    </row>
    <row r="12" ht="15.75" customHeight="1">
      <c r="A12" s="5" t="str">
        <f>HYPERLINK("https://portal.hubmapconsortium.org/browse/sample/43018d02e179e8b28c51e372156a8fde", "HBM533.HTKT.662")</f>
        <v>HBM533.HTKT.662</v>
      </c>
      <c r="B12" s="7" t="s">
        <v>217</v>
      </c>
      <c r="C12" s="7" t="s">
        <v>221</v>
      </c>
      <c r="D12" s="5" t="str">
        <f t="shared" ref="D12:D14" si="3">HYPERLINK("https://portal.hubmapconsortium.org/browse/sample/bf6797891187c90525e7e2a4778f58a8", "HBM559.ZVDB.249")</f>
        <v>HBM559.ZVDB.249</v>
      </c>
      <c r="E12" s="7" t="s">
        <v>788</v>
      </c>
      <c r="F12" s="7" t="s">
        <v>789</v>
      </c>
      <c r="G12" s="7" t="s">
        <v>28</v>
      </c>
      <c r="H12" s="7" t="s">
        <v>29</v>
      </c>
      <c r="I12" s="7" t="s">
        <v>30</v>
      </c>
      <c r="J12" s="5" t="b">
        <v>0</v>
      </c>
      <c r="K12" s="5" t="s">
        <v>31</v>
      </c>
      <c r="L12" s="7" t="s">
        <v>49</v>
      </c>
      <c r="M12" s="7" t="s">
        <v>50</v>
      </c>
      <c r="N12" s="7" t="s">
        <v>51</v>
      </c>
      <c r="O12" s="7" t="s">
        <v>35</v>
      </c>
      <c r="P12" s="9">
        <v>45848.75964332176</v>
      </c>
      <c r="Q12" s="9">
        <v>45848.75964332176</v>
      </c>
    </row>
    <row r="13" ht="15.75" customHeight="1">
      <c r="A13" s="5" t="str">
        <f>HYPERLINK("https://portal.hubmapconsortium.org/browse/sample/7fbc411cfb443140c6859594d5577be2", "HBM526.VDSG.723")</f>
        <v>HBM526.VDSG.723</v>
      </c>
      <c r="B13" s="7" t="s">
        <v>217</v>
      </c>
      <c r="C13" s="7" t="s">
        <v>221</v>
      </c>
      <c r="D13" s="5" t="str">
        <f t="shared" si="3"/>
        <v>HBM559.ZVDB.249</v>
      </c>
      <c r="E13" s="7" t="s">
        <v>790</v>
      </c>
      <c r="F13" s="7" t="s">
        <v>789</v>
      </c>
      <c r="G13" s="7" t="s">
        <v>28</v>
      </c>
      <c r="H13" s="7" t="s">
        <v>29</v>
      </c>
      <c r="I13" s="7" t="s">
        <v>30</v>
      </c>
      <c r="J13" s="5" t="b">
        <v>0</v>
      </c>
      <c r="K13" s="5" t="s">
        <v>31</v>
      </c>
      <c r="L13" s="7" t="s">
        <v>49</v>
      </c>
      <c r="M13" s="7" t="s">
        <v>50</v>
      </c>
      <c r="N13" s="7" t="s">
        <v>51</v>
      </c>
      <c r="O13" s="7" t="s">
        <v>35</v>
      </c>
      <c r="P13" s="9">
        <v>45819.75579972222</v>
      </c>
      <c r="Q13" s="9">
        <v>45845.74543126157</v>
      </c>
    </row>
    <row r="14" ht="15.75" customHeight="1">
      <c r="A14" s="5" t="str">
        <f>HYPERLINK("https://portal.hubmapconsortium.org/browse/sample/eacb7a99546627f512926b00b8e0f023", "HBM655.KCCS.826")</f>
        <v>HBM655.KCCS.826</v>
      </c>
      <c r="B14" s="7" t="s">
        <v>217</v>
      </c>
      <c r="C14" s="7" t="s">
        <v>221</v>
      </c>
      <c r="D14" s="5" t="str">
        <f t="shared" si="3"/>
        <v>HBM559.ZVDB.249</v>
      </c>
      <c r="E14" s="7" t="s">
        <v>791</v>
      </c>
      <c r="F14" s="7" t="s">
        <v>792</v>
      </c>
      <c r="G14" s="7" t="s">
        <v>28</v>
      </c>
      <c r="H14" s="7" t="s">
        <v>29</v>
      </c>
      <c r="I14" s="7" t="s">
        <v>30</v>
      </c>
      <c r="J14" s="5" t="b">
        <v>0</v>
      </c>
      <c r="K14" s="5" t="s">
        <v>31</v>
      </c>
      <c r="L14" s="7" t="s">
        <v>49</v>
      </c>
      <c r="M14" s="7" t="s">
        <v>50</v>
      </c>
      <c r="N14" s="7" t="s">
        <v>51</v>
      </c>
      <c r="O14" s="7" t="s">
        <v>35</v>
      </c>
      <c r="P14" s="9">
        <v>45819.75581662037</v>
      </c>
      <c r="Q14" s="9">
        <v>45819.75581662037</v>
      </c>
    </row>
    <row r="15" ht="15.75" customHeight="1">
      <c r="A15" s="5" t="str">
        <f>HYPERLINK("https://portal.hubmapconsortium.org/browse/sample/442c8439bd8e170952c54a7a27bc7810", "HBM256.NGWR.774")</f>
        <v>HBM256.NGWR.774</v>
      </c>
      <c r="B15" s="7" t="s">
        <v>246</v>
      </c>
      <c r="C15" s="7" t="s">
        <v>250</v>
      </c>
      <c r="D15" s="5" t="str">
        <f t="shared" ref="D15:D19" si="4">HYPERLINK("https://portal.hubmapconsortium.org/browse/sample/647bb669b1302c49cada4274553543e1", "HBM436.JQXP.677")</f>
        <v>HBM436.JQXP.677</v>
      </c>
      <c r="E15" s="7" t="s">
        <v>793</v>
      </c>
      <c r="F15" s="7" t="s">
        <v>794</v>
      </c>
      <c r="G15" s="7" t="s">
        <v>28</v>
      </c>
      <c r="H15" s="7" t="s">
        <v>29</v>
      </c>
      <c r="I15" s="7" t="s">
        <v>30</v>
      </c>
      <c r="J15" s="5" t="b">
        <v>0</v>
      </c>
      <c r="K15" s="5" t="s">
        <v>31</v>
      </c>
      <c r="L15" s="7" t="s">
        <v>49</v>
      </c>
      <c r="M15" s="7" t="s">
        <v>33</v>
      </c>
      <c r="N15" s="7" t="s">
        <v>34</v>
      </c>
      <c r="O15" s="7" t="s">
        <v>35</v>
      </c>
      <c r="P15" s="9">
        <v>45852.78115403935</v>
      </c>
      <c r="Q15" s="9">
        <v>45852.78115403935</v>
      </c>
    </row>
    <row r="16" ht="15.75" customHeight="1">
      <c r="A16" s="5" t="str">
        <f>HYPERLINK("https://portal.hubmapconsortium.org/browse/sample/85222d975fc04f7abe68c1e28e409d6f", "HBM868.WNLH.688")</f>
        <v>HBM868.WNLH.688</v>
      </c>
      <c r="B16" s="7" t="s">
        <v>246</v>
      </c>
      <c r="C16" s="7" t="s">
        <v>250</v>
      </c>
      <c r="D16" s="5" t="str">
        <f t="shared" si="4"/>
        <v>HBM436.JQXP.677</v>
      </c>
      <c r="E16" s="7" t="s">
        <v>795</v>
      </c>
      <c r="F16" s="7" t="s">
        <v>794</v>
      </c>
      <c r="G16" s="7" t="s">
        <v>28</v>
      </c>
      <c r="H16" s="7" t="s">
        <v>29</v>
      </c>
      <c r="I16" s="7" t="s">
        <v>30</v>
      </c>
      <c r="J16" s="5" t="b">
        <v>0</v>
      </c>
      <c r="K16" s="5" t="s">
        <v>31</v>
      </c>
      <c r="L16" s="7" t="s">
        <v>49</v>
      </c>
      <c r="M16" s="7" t="s">
        <v>50</v>
      </c>
      <c r="N16" s="7" t="s">
        <v>51</v>
      </c>
      <c r="O16" s="7" t="s">
        <v>35</v>
      </c>
      <c r="P16" s="9">
        <v>45848.75966081019</v>
      </c>
      <c r="Q16" s="9">
        <v>45848.75966081019</v>
      </c>
    </row>
    <row r="17" ht="15.75" customHeight="1">
      <c r="A17" s="5" t="str">
        <f>HYPERLINK("https://portal.hubmapconsortium.org/browse/sample/9f942777a3ce7df1e9d7560f0509ca7a", "HBM298.WSBX.597")</f>
        <v>HBM298.WSBX.597</v>
      </c>
      <c r="B17" s="7" t="s">
        <v>246</v>
      </c>
      <c r="C17" s="7" t="s">
        <v>250</v>
      </c>
      <c r="D17" s="5" t="str">
        <f t="shared" si="4"/>
        <v>HBM436.JQXP.677</v>
      </c>
      <c r="E17" s="7" t="s">
        <v>796</v>
      </c>
      <c r="F17" s="7" t="s">
        <v>794</v>
      </c>
      <c r="G17" s="7" t="s">
        <v>28</v>
      </c>
      <c r="H17" s="7" t="s">
        <v>29</v>
      </c>
      <c r="I17" s="7" t="s">
        <v>30</v>
      </c>
      <c r="J17" s="5" t="b">
        <v>0</v>
      </c>
      <c r="K17" s="5" t="s">
        <v>31</v>
      </c>
      <c r="L17" s="7" t="s">
        <v>49</v>
      </c>
      <c r="M17" s="7" t="s">
        <v>50</v>
      </c>
      <c r="N17" s="7" t="s">
        <v>51</v>
      </c>
      <c r="O17" s="7" t="s">
        <v>35</v>
      </c>
      <c r="P17" s="9">
        <v>45819.75584162037</v>
      </c>
      <c r="Q17" s="9">
        <v>45819.75584162037</v>
      </c>
    </row>
    <row r="18" ht="15.75" customHeight="1">
      <c r="A18" s="5" t="str">
        <f>HYPERLINK("https://portal.hubmapconsortium.org/browse/sample/80647b585f9128e45e95ddab2a82fd69", "HBM352.PLLS.379")</f>
        <v>HBM352.PLLS.379</v>
      </c>
      <c r="B18" s="7" t="s">
        <v>246</v>
      </c>
      <c r="C18" s="7" t="s">
        <v>250</v>
      </c>
      <c r="D18" s="5" t="str">
        <f t="shared" si="4"/>
        <v>HBM436.JQXP.677</v>
      </c>
      <c r="E18" s="7" t="s">
        <v>797</v>
      </c>
      <c r="F18" s="7" t="s">
        <v>794</v>
      </c>
      <c r="G18" s="7" t="s">
        <v>28</v>
      </c>
      <c r="H18" s="7" t="s">
        <v>29</v>
      </c>
      <c r="I18" s="7" t="s">
        <v>30</v>
      </c>
      <c r="J18" s="5" t="b">
        <v>0</v>
      </c>
      <c r="K18" s="5" t="s">
        <v>31</v>
      </c>
      <c r="L18" s="7" t="s">
        <v>49</v>
      </c>
      <c r="M18" s="7" t="s">
        <v>50</v>
      </c>
      <c r="N18" s="7" t="s">
        <v>51</v>
      </c>
      <c r="O18" s="7" t="s">
        <v>35</v>
      </c>
      <c r="P18" s="9">
        <v>45848.75970710648</v>
      </c>
      <c r="Q18" s="9">
        <v>45848.75970710648</v>
      </c>
    </row>
    <row r="19" ht="15.75" customHeight="1">
      <c r="A19" s="5" t="str">
        <f>HYPERLINK("https://portal.hubmapconsortium.org/browse/sample/613965dc4d58970e7f93354a227b2c09", "HBM882.LFRD.826")</f>
        <v>HBM882.LFRD.826</v>
      </c>
      <c r="B19" s="7" t="s">
        <v>246</v>
      </c>
      <c r="C19" s="7" t="s">
        <v>250</v>
      </c>
      <c r="D19" s="5" t="str">
        <f t="shared" si="4"/>
        <v>HBM436.JQXP.677</v>
      </c>
      <c r="E19" s="7" t="s">
        <v>798</v>
      </c>
      <c r="F19" s="7" t="s">
        <v>799</v>
      </c>
      <c r="G19" s="7" t="s">
        <v>28</v>
      </c>
      <c r="H19" s="7" t="s">
        <v>29</v>
      </c>
      <c r="I19" s="7" t="s">
        <v>30</v>
      </c>
      <c r="J19" s="5" t="b">
        <v>0</v>
      </c>
      <c r="K19" s="5" t="s">
        <v>31</v>
      </c>
      <c r="L19" s="7" t="s">
        <v>49</v>
      </c>
      <c r="M19" s="7" t="s">
        <v>50</v>
      </c>
      <c r="N19" s="7" t="s">
        <v>51</v>
      </c>
      <c r="O19" s="7" t="s">
        <v>35</v>
      </c>
      <c r="P19" s="9">
        <v>45819.75587436343</v>
      </c>
      <c r="Q19" s="9">
        <v>45819.75587436343</v>
      </c>
    </row>
    <row r="20" ht="15.75" customHeight="1">
      <c r="A20" s="5" t="str">
        <f>HYPERLINK("https://portal.hubmapconsortium.org/browse/sample/8ad7a2bf779ef2158973ea75fdf95e52", "HBM846.LWDS.728")</f>
        <v>HBM846.LWDS.728</v>
      </c>
      <c r="B20" s="7" t="s">
        <v>287</v>
      </c>
      <c r="C20" s="7" t="s">
        <v>401</v>
      </c>
      <c r="D20" s="5" t="str">
        <f t="shared" ref="D20:D21" si="5">HYPERLINK("https://portal.hubmapconsortium.org/browse/sample/9954d4d8adb0a53a26179bc99b08b6c0", "HBM688.BJZV.237")</f>
        <v>HBM688.BJZV.237</v>
      </c>
      <c r="E20" s="7" t="s">
        <v>800</v>
      </c>
      <c r="F20" s="7" t="s">
        <v>801</v>
      </c>
      <c r="G20" s="7" t="s">
        <v>28</v>
      </c>
      <c r="H20" s="7" t="s">
        <v>29</v>
      </c>
      <c r="I20" s="7" t="s">
        <v>30</v>
      </c>
      <c r="J20" s="5" t="b">
        <v>0</v>
      </c>
      <c r="K20" s="5" t="s">
        <v>31</v>
      </c>
      <c r="L20" s="7" t="s">
        <v>49</v>
      </c>
      <c r="M20" s="7" t="s">
        <v>50</v>
      </c>
      <c r="N20" s="7" t="s">
        <v>51</v>
      </c>
      <c r="O20" s="7" t="s">
        <v>35</v>
      </c>
      <c r="P20" s="9">
        <v>45848.75978684028</v>
      </c>
      <c r="Q20" s="9">
        <v>45848.75978684028</v>
      </c>
    </row>
    <row r="21" ht="15.75" customHeight="1">
      <c r="A21" s="5" t="str">
        <f>HYPERLINK("https://portal.hubmapconsortium.org/browse/sample/1b331d093160c96406e8cdb994fcc594", "HBM922.RQZT.344")</f>
        <v>HBM922.RQZT.344</v>
      </c>
      <c r="B21" s="7" t="s">
        <v>287</v>
      </c>
      <c r="C21" s="7" t="s">
        <v>401</v>
      </c>
      <c r="D21" s="5" t="str">
        <f t="shared" si="5"/>
        <v>HBM688.BJZV.237</v>
      </c>
      <c r="E21" s="7" t="s">
        <v>802</v>
      </c>
      <c r="F21" s="7" t="s">
        <v>803</v>
      </c>
      <c r="G21" s="7" t="s">
        <v>28</v>
      </c>
      <c r="H21" s="7" t="s">
        <v>29</v>
      </c>
      <c r="I21" s="7" t="s">
        <v>30</v>
      </c>
      <c r="J21" s="5" t="b">
        <v>0</v>
      </c>
      <c r="K21" s="5" t="s">
        <v>31</v>
      </c>
      <c r="L21" s="7" t="s">
        <v>49</v>
      </c>
      <c r="M21" s="7" t="s">
        <v>50</v>
      </c>
      <c r="N21" s="7" t="s">
        <v>51</v>
      </c>
      <c r="O21" s="7" t="s">
        <v>35</v>
      </c>
      <c r="P21" s="9">
        <v>45819.75593869213</v>
      </c>
      <c r="Q21" s="9">
        <v>45819.75593869213</v>
      </c>
    </row>
    <row r="22" ht="15.75" customHeight="1">
      <c r="A22" s="5" t="str">
        <f>HYPERLINK("https://portal.hubmapconsortium.org/browse/sample/15f2d024399304b2abdd638374cfbad3", "HBM389.TBFG.856")</f>
        <v>HBM389.TBFG.856</v>
      </c>
      <c r="B22" s="7" t="s">
        <v>413</v>
      </c>
      <c r="C22" s="7" t="s">
        <v>524</v>
      </c>
      <c r="D22" s="5" t="str">
        <f t="shared" ref="D22:D23" si="6">HYPERLINK("https://portal.hubmapconsortium.org/browse/sample/7f7f6faf1ed24ed62109de031b99a555", "HBM876.WSJF.893")</f>
        <v>HBM876.WSJF.893</v>
      </c>
      <c r="E22" s="7" t="s">
        <v>804</v>
      </c>
      <c r="F22" s="7" t="s">
        <v>805</v>
      </c>
      <c r="G22" s="7" t="s">
        <v>28</v>
      </c>
      <c r="H22" s="7" t="s">
        <v>29</v>
      </c>
      <c r="I22" s="7" t="s">
        <v>30</v>
      </c>
      <c r="J22" s="5" t="b">
        <v>0</v>
      </c>
      <c r="K22" s="5" t="s">
        <v>31</v>
      </c>
      <c r="L22" s="7" t="s">
        <v>49</v>
      </c>
      <c r="M22" s="7" t="s">
        <v>50</v>
      </c>
      <c r="N22" s="7" t="s">
        <v>51</v>
      </c>
      <c r="O22" s="7" t="s">
        <v>35</v>
      </c>
      <c r="P22" s="9">
        <v>45819.75597020833</v>
      </c>
      <c r="Q22" s="9">
        <v>45819.75597020833</v>
      </c>
    </row>
    <row r="23" ht="15.75" customHeight="1">
      <c r="A23" s="5" t="str">
        <f>HYPERLINK("https://portal.hubmapconsortium.org/browse/sample/fd4857b64ea839e2374c237199014aa2", "HBM747.RZKL.456")</f>
        <v>HBM747.RZKL.456</v>
      </c>
      <c r="B23" s="7" t="s">
        <v>413</v>
      </c>
      <c r="C23" s="7" t="s">
        <v>524</v>
      </c>
      <c r="D23" s="5" t="str">
        <f t="shared" si="6"/>
        <v>HBM876.WSJF.893</v>
      </c>
      <c r="E23" s="7" t="s">
        <v>806</v>
      </c>
      <c r="F23" s="7" t="s">
        <v>807</v>
      </c>
      <c r="G23" s="7" t="s">
        <v>28</v>
      </c>
      <c r="H23" s="7" t="s">
        <v>29</v>
      </c>
      <c r="I23" s="7" t="s">
        <v>30</v>
      </c>
      <c r="J23" s="5" t="b">
        <v>0</v>
      </c>
      <c r="K23" s="5" t="s">
        <v>31</v>
      </c>
      <c r="L23" s="7" t="s">
        <v>49</v>
      </c>
      <c r="M23" s="7" t="s">
        <v>50</v>
      </c>
      <c r="N23" s="7" t="s">
        <v>51</v>
      </c>
      <c r="O23" s="7" t="s">
        <v>35</v>
      </c>
      <c r="P23" s="9">
        <v>45848.75980790509</v>
      </c>
      <c r="Q23" s="9">
        <v>45848.75980790509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  <hyperlink r:id="rId22" ref="K23"/>
  </hyperlinks>
  <printOptions/>
  <pageMargins bottom="0.75" footer="0.0" header="0.0" left="0.7" right="0.7" top="0.75"/>
  <pageSetup orientation="landscape"/>
  <drawing r:id="rId2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4" width="10.56"/>
    <col customWidth="1" min="5" max="5" width="17.67"/>
    <col customWidth="1" min="6" max="6" width="84.44"/>
    <col customWidth="1" min="7" max="15" width="10.56"/>
    <col customWidth="1" min="16" max="16" width="18.0"/>
    <col customWidth="1" min="17" max="26" width="10.56"/>
  </cols>
  <sheetData>
    <row r="1" ht="15.75" customHeight="1">
      <c r="A1" s="3" t="s">
        <v>0</v>
      </c>
      <c r="B1" s="3" t="s">
        <v>2</v>
      </c>
      <c r="C1" s="3" t="s">
        <v>5</v>
      </c>
      <c r="D1" s="3" t="s">
        <v>7</v>
      </c>
      <c r="E1" s="3" t="s">
        <v>8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</row>
    <row r="2" ht="15.75" customHeight="1"/>
    <row r="3" ht="15.75" customHeight="1">
      <c r="A3" s="5" t="str">
        <f>HYPERLINK("https://portal.hubmapconsortium.org/browse/sample/4d37f6438e1f5fda391faa1af108f6c7", "HBM366.HSKK.872")</f>
        <v>HBM366.HSKK.872</v>
      </c>
      <c r="B3" s="7" t="s">
        <v>287</v>
      </c>
      <c r="C3" s="7" t="s">
        <v>288</v>
      </c>
      <c r="D3" s="5" t="str">
        <f t="shared" ref="D3:D4" si="1">HYPERLINK("https://portal.hubmapconsortium.org/browse/sample/74aeefbc8e5eb1ab9adba5bf2fd8be8b", "HBM652.DLTR.837")</f>
        <v>HBM652.DLTR.837</v>
      </c>
      <c r="E3" s="7" t="s">
        <v>808</v>
      </c>
      <c r="F3" s="7" t="s">
        <v>809</v>
      </c>
      <c r="G3" s="7" t="s">
        <v>28</v>
      </c>
      <c r="H3" s="7" t="s">
        <v>29</v>
      </c>
      <c r="I3" s="7" t="s">
        <v>30</v>
      </c>
      <c r="J3" s="5" t="b">
        <v>0</v>
      </c>
      <c r="K3" s="5" t="s">
        <v>85</v>
      </c>
      <c r="L3" s="7" t="s">
        <v>32</v>
      </c>
      <c r="M3" s="7" t="s">
        <v>50</v>
      </c>
      <c r="N3" s="7" t="s">
        <v>51</v>
      </c>
      <c r="O3" s="7" t="s">
        <v>35</v>
      </c>
      <c r="P3" s="9">
        <v>45513.82014186343</v>
      </c>
      <c r="Q3" s="9">
        <v>45513.82014186343</v>
      </c>
    </row>
    <row r="4" ht="15.75" customHeight="1">
      <c r="A4" s="5" t="str">
        <f>HYPERLINK("https://portal.hubmapconsortium.org/browse/sample/9b7869e2f162911c5463461de84f65d5", "HBM328.GMCX.869")</f>
        <v>HBM328.GMCX.869</v>
      </c>
      <c r="B4" s="7" t="s">
        <v>287</v>
      </c>
      <c r="C4" s="7" t="s">
        <v>288</v>
      </c>
      <c r="D4" s="5" t="str">
        <f t="shared" si="1"/>
        <v>HBM652.DLTR.837</v>
      </c>
      <c r="E4" s="7" t="s">
        <v>810</v>
      </c>
      <c r="F4" s="7" t="s">
        <v>811</v>
      </c>
      <c r="G4" s="7" t="s">
        <v>28</v>
      </c>
      <c r="H4" s="7" t="s">
        <v>29</v>
      </c>
      <c r="I4" s="7" t="s">
        <v>30</v>
      </c>
      <c r="J4" s="5" t="b">
        <v>0</v>
      </c>
      <c r="K4" s="5" t="s">
        <v>85</v>
      </c>
      <c r="L4" s="7" t="s">
        <v>32</v>
      </c>
      <c r="M4" s="7" t="s">
        <v>50</v>
      </c>
      <c r="N4" s="7" t="s">
        <v>51</v>
      </c>
      <c r="O4" s="7" t="s">
        <v>35</v>
      </c>
      <c r="P4" s="9">
        <v>45513.82015613426</v>
      </c>
      <c r="Q4" s="9">
        <v>45513.82015613426</v>
      </c>
    </row>
    <row r="5" ht="15.75" customHeight="1">
      <c r="A5" s="5" t="str">
        <f>HYPERLINK("https://portal.hubmapconsortium.org/browse/sample/c465bdb0fab311092a6fc7627319651c", "HBM596.HCDM.759")</f>
        <v>HBM596.HCDM.759</v>
      </c>
      <c r="B5" s="7" t="s">
        <v>287</v>
      </c>
      <c r="C5" s="7" t="s">
        <v>304</v>
      </c>
      <c r="D5" s="5" t="str">
        <f t="shared" ref="D5:D20" si="2">HYPERLINK("https://portal.hubmapconsortium.org/browse/sample/6d3a61d32c777efa3bef04dc1f698e91", "HBM657.BGFJ.898")</f>
        <v>HBM657.BGFJ.898</v>
      </c>
      <c r="E5" s="7" t="s">
        <v>812</v>
      </c>
      <c r="F5" s="7" t="s">
        <v>813</v>
      </c>
      <c r="G5" s="7" t="s">
        <v>28</v>
      </c>
      <c r="H5" s="7" t="s">
        <v>29</v>
      </c>
      <c r="I5" s="7" t="s">
        <v>30</v>
      </c>
      <c r="J5" s="5" t="b">
        <v>0</v>
      </c>
      <c r="K5" s="5" t="s">
        <v>85</v>
      </c>
      <c r="L5" s="7" t="s">
        <v>32</v>
      </c>
      <c r="M5" s="7" t="s">
        <v>50</v>
      </c>
      <c r="N5" s="7" t="s">
        <v>51</v>
      </c>
      <c r="O5" s="7" t="s">
        <v>35</v>
      </c>
      <c r="P5" s="9">
        <v>45513.82017481481</v>
      </c>
      <c r="Q5" s="9">
        <v>45513.82017481481</v>
      </c>
    </row>
    <row r="6" ht="15.75" customHeight="1">
      <c r="A6" s="5" t="str">
        <f>HYPERLINK("https://portal.hubmapconsortium.org/browse/sample/c37ed4c41e9525e5de6d504ad2eeec9d", "HBM339.PSWC.722")</f>
        <v>HBM339.PSWC.722</v>
      </c>
      <c r="B6" s="7" t="s">
        <v>287</v>
      </c>
      <c r="C6" s="7" t="s">
        <v>304</v>
      </c>
      <c r="D6" s="5" t="str">
        <f t="shared" si="2"/>
        <v>HBM657.BGFJ.898</v>
      </c>
      <c r="E6" s="7" t="s">
        <v>814</v>
      </c>
      <c r="F6" s="7" t="s">
        <v>815</v>
      </c>
      <c r="G6" s="7" t="s">
        <v>28</v>
      </c>
      <c r="H6" s="7" t="s">
        <v>29</v>
      </c>
      <c r="I6" s="7" t="s">
        <v>30</v>
      </c>
      <c r="J6" s="5" t="b">
        <v>0</v>
      </c>
      <c r="K6" s="5" t="s">
        <v>85</v>
      </c>
      <c r="L6" s="7" t="s">
        <v>32</v>
      </c>
      <c r="M6" s="7" t="s">
        <v>50</v>
      </c>
      <c r="N6" s="7" t="s">
        <v>51</v>
      </c>
      <c r="O6" s="7" t="s">
        <v>35</v>
      </c>
      <c r="P6" s="9">
        <v>45513.82018998842</v>
      </c>
      <c r="Q6" s="9">
        <v>45513.82018998842</v>
      </c>
    </row>
    <row r="7" ht="15.75" customHeight="1">
      <c r="A7" s="5" t="str">
        <f>HYPERLINK("https://portal.hubmapconsortium.org/browse/sample/d326e190b8f36ae5cf24b27d87410f3e", "HBM424.XLFL.435")</f>
        <v>HBM424.XLFL.435</v>
      </c>
      <c r="B7" s="7" t="s">
        <v>287</v>
      </c>
      <c r="C7" s="7" t="s">
        <v>304</v>
      </c>
      <c r="D7" s="5" t="str">
        <f t="shared" si="2"/>
        <v>HBM657.BGFJ.898</v>
      </c>
      <c r="E7" s="7" t="s">
        <v>816</v>
      </c>
      <c r="F7" s="7" t="s">
        <v>817</v>
      </c>
      <c r="G7" s="7" t="s">
        <v>28</v>
      </c>
      <c r="H7" s="7" t="s">
        <v>29</v>
      </c>
      <c r="I7" s="7" t="s">
        <v>30</v>
      </c>
      <c r="J7" s="5" t="b">
        <v>0</v>
      </c>
      <c r="K7" s="5" t="s">
        <v>85</v>
      </c>
      <c r="L7" s="7" t="s">
        <v>32</v>
      </c>
      <c r="M7" s="7" t="s">
        <v>50</v>
      </c>
      <c r="N7" s="7" t="s">
        <v>51</v>
      </c>
      <c r="O7" s="7" t="s">
        <v>35</v>
      </c>
      <c r="P7" s="9">
        <v>45513.82020451389</v>
      </c>
      <c r="Q7" s="9">
        <v>45513.82020451389</v>
      </c>
    </row>
    <row r="8" ht="15.75" customHeight="1">
      <c r="A8" s="5" t="str">
        <f>HYPERLINK("https://portal.hubmapconsortium.org/browse/sample/2fe46bb8143435629673b00067420279", "HBM782.JXLD.548")</f>
        <v>HBM782.JXLD.548</v>
      </c>
      <c r="B8" s="7" t="s">
        <v>287</v>
      </c>
      <c r="C8" s="7" t="s">
        <v>304</v>
      </c>
      <c r="D8" s="5" t="str">
        <f t="shared" si="2"/>
        <v>HBM657.BGFJ.898</v>
      </c>
      <c r="E8" s="7" t="s">
        <v>818</v>
      </c>
      <c r="F8" s="7" t="s">
        <v>819</v>
      </c>
      <c r="G8" s="7" t="s">
        <v>28</v>
      </c>
      <c r="H8" s="7" t="s">
        <v>29</v>
      </c>
      <c r="I8" s="7" t="s">
        <v>30</v>
      </c>
      <c r="J8" s="5" t="b">
        <v>0</v>
      </c>
      <c r="K8" s="5" t="s">
        <v>85</v>
      </c>
      <c r="L8" s="7" t="s">
        <v>32</v>
      </c>
      <c r="M8" s="7" t="s">
        <v>50</v>
      </c>
      <c r="N8" s="7" t="s">
        <v>51</v>
      </c>
      <c r="O8" s="7" t="s">
        <v>35</v>
      </c>
      <c r="P8" s="9">
        <v>45513.82021886574</v>
      </c>
      <c r="Q8" s="9">
        <v>45513.82021886574</v>
      </c>
    </row>
    <row r="9" ht="15.75" customHeight="1">
      <c r="A9" s="5" t="str">
        <f>HYPERLINK("https://portal.hubmapconsortium.org/browse/sample/ae3cb316943b64ba78d205173f682a9e", "HBM777.KBWH.686")</f>
        <v>HBM777.KBWH.686</v>
      </c>
      <c r="B9" s="7" t="s">
        <v>287</v>
      </c>
      <c r="C9" s="7" t="s">
        <v>304</v>
      </c>
      <c r="D9" s="5" t="str">
        <f t="shared" si="2"/>
        <v>HBM657.BGFJ.898</v>
      </c>
      <c r="E9" s="7" t="s">
        <v>820</v>
      </c>
      <c r="F9" s="7" t="s">
        <v>821</v>
      </c>
      <c r="G9" s="7" t="s">
        <v>28</v>
      </c>
      <c r="H9" s="7" t="s">
        <v>29</v>
      </c>
      <c r="I9" s="7" t="s">
        <v>30</v>
      </c>
      <c r="J9" s="5" t="b">
        <v>0</v>
      </c>
      <c r="K9" s="5" t="s">
        <v>85</v>
      </c>
      <c r="L9" s="7" t="s">
        <v>32</v>
      </c>
      <c r="M9" s="7" t="s">
        <v>50</v>
      </c>
      <c r="N9" s="7" t="s">
        <v>51</v>
      </c>
      <c r="O9" s="7" t="s">
        <v>35</v>
      </c>
      <c r="P9" s="9">
        <v>45513.82023298611</v>
      </c>
      <c r="Q9" s="9">
        <v>45513.82023298611</v>
      </c>
    </row>
    <row r="10" ht="15.75" customHeight="1">
      <c r="A10" s="5" t="str">
        <f>HYPERLINK("https://portal.hubmapconsortium.org/browse/sample/c07a55ca0b8836aaca793b4bffe60005", "HBM657.SLXF.568")</f>
        <v>HBM657.SLXF.568</v>
      </c>
      <c r="B10" s="7" t="s">
        <v>287</v>
      </c>
      <c r="C10" s="7" t="s">
        <v>304</v>
      </c>
      <c r="D10" s="5" t="str">
        <f t="shared" si="2"/>
        <v>HBM657.BGFJ.898</v>
      </c>
      <c r="E10" s="7" t="s">
        <v>822</v>
      </c>
      <c r="F10" s="7" t="s">
        <v>823</v>
      </c>
      <c r="G10" s="7" t="s">
        <v>28</v>
      </c>
      <c r="H10" s="7" t="s">
        <v>29</v>
      </c>
      <c r="I10" s="7" t="s">
        <v>30</v>
      </c>
      <c r="J10" s="5" t="b">
        <v>0</v>
      </c>
      <c r="K10" s="5" t="s">
        <v>85</v>
      </c>
      <c r="L10" s="7" t="s">
        <v>32</v>
      </c>
      <c r="M10" s="7" t="s">
        <v>50</v>
      </c>
      <c r="N10" s="7" t="s">
        <v>51</v>
      </c>
      <c r="O10" s="7" t="s">
        <v>35</v>
      </c>
      <c r="P10" s="9">
        <v>45513.82024717593</v>
      </c>
      <c r="Q10" s="9">
        <v>45513.82024717593</v>
      </c>
    </row>
    <row r="11" ht="15.75" customHeight="1">
      <c r="A11" s="5" t="str">
        <f>HYPERLINK("https://portal.hubmapconsortium.org/browse/sample/07ad40458a0c62069910f96651a5ddc4", "HBM355.GTKP.929")</f>
        <v>HBM355.GTKP.929</v>
      </c>
      <c r="B11" s="7" t="s">
        <v>287</v>
      </c>
      <c r="C11" s="7" t="s">
        <v>304</v>
      </c>
      <c r="D11" s="5" t="str">
        <f t="shared" si="2"/>
        <v>HBM657.BGFJ.898</v>
      </c>
      <c r="E11" s="7" t="s">
        <v>824</v>
      </c>
      <c r="F11" s="7" t="s">
        <v>825</v>
      </c>
      <c r="G11" s="7" t="s">
        <v>28</v>
      </c>
      <c r="H11" s="7" t="s">
        <v>29</v>
      </c>
      <c r="I11" s="7" t="s">
        <v>30</v>
      </c>
      <c r="J11" s="5" t="b">
        <v>0</v>
      </c>
      <c r="K11" s="5" t="s">
        <v>85</v>
      </c>
      <c r="L11" s="7" t="s">
        <v>32</v>
      </c>
      <c r="M11" s="7" t="s">
        <v>50</v>
      </c>
      <c r="N11" s="7" t="s">
        <v>51</v>
      </c>
      <c r="O11" s="7" t="s">
        <v>35</v>
      </c>
      <c r="P11" s="9">
        <v>45513.82026197917</v>
      </c>
      <c r="Q11" s="9">
        <v>45513.82026197917</v>
      </c>
    </row>
    <row r="12" ht="15.75" customHeight="1">
      <c r="A12" s="5" t="str">
        <f>HYPERLINK("https://portal.hubmapconsortium.org/browse/sample/f33981b51848d7f23b45c154c00c8256", "HBM657.FQNL.356")</f>
        <v>HBM657.FQNL.356</v>
      </c>
      <c r="B12" s="7" t="s">
        <v>287</v>
      </c>
      <c r="C12" s="7" t="s">
        <v>304</v>
      </c>
      <c r="D12" s="5" t="str">
        <f t="shared" si="2"/>
        <v>HBM657.BGFJ.898</v>
      </c>
      <c r="E12" s="7" t="s">
        <v>826</v>
      </c>
      <c r="F12" s="7" t="s">
        <v>827</v>
      </c>
      <c r="G12" s="7" t="s">
        <v>28</v>
      </c>
      <c r="H12" s="7" t="s">
        <v>29</v>
      </c>
      <c r="I12" s="7" t="s">
        <v>30</v>
      </c>
      <c r="J12" s="5" t="b">
        <v>0</v>
      </c>
      <c r="K12" s="5" t="s">
        <v>85</v>
      </c>
      <c r="L12" s="7" t="s">
        <v>32</v>
      </c>
      <c r="M12" s="7" t="s">
        <v>50</v>
      </c>
      <c r="N12" s="7" t="s">
        <v>51</v>
      </c>
      <c r="O12" s="7" t="s">
        <v>35</v>
      </c>
      <c r="P12" s="9">
        <v>45513.82027716435</v>
      </c>
      <c r="Q12" s="9">
        <v>45513.82027716435</v>
      </c>
    </row>
    <row r="13" ht="15.75" customHeight="1">
      <c r="A13" s="5" t="str">
        <f>HYPERLINK("https://portal.hubmapconsortium.org/browse/sample/e7dee83c1c8ab8b526848a201c359db3", "HBM334.KSXR.544")</f>
        <v>HBM334.KSXR.544</v>
      </c>
      <c r="B13" s="7" t="s">
        <v>287</v>
      </c>
      <c r="C13" s="7" t="s">
        <v>304</v>
      </c>
      <c r="D13" s="5" t="str">
        <f t="shared" si="2"/>
        <v>HBM657.BGFJ.898</v>
      </c>
      <c r="E13" s="7" t="s">
        <v>828</v>
      </c>
      <c r="F13" s="7" t="s">
        <v>829</v>
      </c>
      <c r="G13" s="7" t="s">
        <v>28</v>
      </c>
      <c r="H13" s="7" t="s">
        <v>29</v>
      </c>
      <c r="I13" s="7" t="s">
        <v>30</v>
      </c>
      <c r="J13" s="5" t="b">
        <v>0</v>
      </c>
      <c r="K13" s="5" t="s">
        <v>85</v>
      </c>
      <c r="L13" s="7" t="s">
        <v>32</v>
      </c>
      <c r="M13" s="7" t="s">
        <v>50</v>
      </c>
      <c r="N13" s="7" t="s">
        <v>51</v>
      </c>
      <c r="O13" s="7" t="s">
        <v>35</v>
      </c>
      <c r="P13" s="9">
        <v>45513.82029163194</v>
      </c>
      <c r="Q13" s="9">
        <v>45513.82029163194</v>
      </c>
    </row>
    <row r="14" ht="15.75" customHeight="1">
      <c r="A14" s="5" t="str">
        <f>HYPERLINK("https://portal.hubmapconsortium.org/browse/sample/448723f7087c83130a8e7323fa996390", "HBM422.TRQX.267")</f>
        <v>HBM422.TRQX.267</v>
      </c>
      <c r="B14" s="7" t="s">
        <v>287</v>
      </c>
      <c r="C14" s="7" t="s">
        <v>304</v>
      </c>
      <c r="D14" s="5" t="str">
        <f t="shared" si="2"/>
        <v>HBM657.BGFJ.898</v>
      </c>
      <c r="E14" s="7" t="s">
        <v>830</v>
      </c>
      <c r="F14" s="7" t="s">
        <v>831</v>
      </c>
      <c r="G14" s="7" t="s">
        <v>28</v>
      </c>
      <c r="H14" s="7" t="s">
        <v>29</v>
      </c>
      <c r="I14" s="7" t="s">
        <v>30</v>
      </c>
      <c r="J14" s="5" t="b">
        <v>0</v>
      </c>
      <c r="K14" s="5" t="s">
        <v>85</v>
      </c>
      <c r="L14" s="7" t="s">
        <v>32</v>
      </c>
      <c r="M14" s="7" t="s">
        <v>50</v>
      </c>
      <c r="N14" s="7" t="s">
        <v>51</v>
      </c>
      <c r="O14" s="7" t="s">
        <v>35</v>
      </c>
      <c r="P14" s="9">
        <v>45513.82030618055</v>
      </c>
      <c r="Q14" s="9">
        <v>45513.82030618055</v>
      </c>
    </row>
    <row r="15" ht="15.75" customHeight="1">
      <c r="A15" s="5" t="str">
        <f>HYPERLINK("https://portal.hubmapconsortium.org/browse/sample/15c005a60474187851a5ea2255fe4af2", "HBM982.MXZJ.936")</f>
        <v>HBM982.MXZJ.936</v>
      </c>
      <c r="B15" s="7" t="s">
        <v>287</v>
      </c>
      <c r="C15" s="7" t="s">
        <v>304</v>
      </c>
      <c r="D15" s="5" t="str">
        <f t="shared" si="2"/>
        <v>HBM657.BGFJ.898</v>
      </c>
      <c r="E15" s="7" t="s">
        <v>832</v>
      </c>
      <c r="F15" s="7" t="s">
        <v>833</v>
      </c>
      <c r="G15" s="7" t="s">
        <v>28</v>
      </c>
      <c r="H15" s="7" t="s">
        <v>29</v>
      </c>
      <c r="I15" s="7" t="s">
        <v>30</v>
      </c>
      <c r="J15" s="5" t="b">
        <v>0</v>
      </c>
      <c r="K15" s="5" t="s">
        <v>85</v>
      </c>
      <c r="L15" s="7" t="s">
        <v>32</v>
      </c>
      <c r="M15" s="7" t="s">
        <v>50</v>
      </c>
      <c r="N15" s="7" t="s">
        <v>51</v>
      </c>
      <c r="O15" s="7" t="s">
        <v>35</v>
      </c>
      <c r="P15" s="9">
        <v>45513.82031982639</v>
      </c>
      <c r="Q15" s="9">
        <v>45513.82031982639</v>
      </c>
    </row>
    <row r="16" ht="15.75" customHeight="1">
      <c r="A16" s="5" t="str">
        <f>HYPERLINK("https://portal.hubmapconsortium.org/browse/sample/24805fa03b46ae75dbb20983f349aa06", "HBM836.KRJT.789")</f>
        <v>HBM836.KRJT.789</v>
      </c>
      <c r="B16" s="7" t="s">
        <v>287</v>
      </c>
      <c r="C16" s="7" t="s">
        <v>304</v>
      </c>
      <c r="D16" s="5" t="str">
        <f t="shared" si="2"/>
        <v>HBM657.BGFJ.898</v>
      </c>
      <c r="E16" s="7" t="s">
        <v>834</v>
      </c>
      <c r="F16" s="7" t="s">
        <v>835</v>
      </c>
      <c r="G16" s="7" t="s">
        <v>28</v>
      </c>
      <c r="H16" s="7" t="s">
        <v>29</v>
      </c>
      <c r="I16" s="7" t="s">
        <v>30</v>
      </c>
      <c r="J16" s="5" t="b">
        <v>0</v>
      </c>
      <c r="K16" s="5" t="s">
        <v>85</v>
      </c>
      <c r="L16" s="7" t="s">
        <v>32</v>
      </c>
      <c r="M16" s="7" t="s">
        <v>50</v>
      </c>
      <c r="N16" s="7" t="s">
        <v>51</v>
      </c>
      <c r="O16" s="7" t="s">
        <v>35</v>
      </c>
      <c r="P16" s="9">
        <v>45513.82033409722</v>
      </c>
      <c r="Q16" s="9">
        <v>45513.82033409722</v>
      </c>
    </row>
    <row r="17" ht="15.75" customHeight="1">
      <c r="A17" s="5" t="str">
        <f>HYPERLINK("https://portal.hubmapconsortium.org/browse/sample/602698fe2419ad6bbd6b1d2d4d22ec47", "HBM785.JKLL.763")</f>
        <v>HBM785.JKLL.763</v>
      </c>
      <c r="B17" s="7" t="s">
        <v>287</v>
      </c>
      <c r="C17" s="7" t="s">
        <v>304</v>
      </c>
      <c r="D17" s="5" t="str">
        <f t="shared" si="2"/>
        <v>HBM657.BGFJ.898</v>
      </c>
      <c r="E17" s="7" t="s">
        <v>836</v>
      </c>
      <c r="F17" s="7" t="s">
        <v>837</v>
      </c>
      <c r="G17" s="7" t="s">
        <v>28</v>
      </c>
      <c r="H17" s="7" t="s">
        <v>29</v>
      </c>
      <c r="I17" s="7" t="s">
        <v>30</v>
      </c>
      <c r="J17" s="5" t="b">
        <v>0</v>
      </c>
      <c r="K17" s="5" t="s">
        <v>85</v>
      </c>
      <c r="L17" s="7" t="s">
        <v>32</v>
      </c>
      <c r="M17" s="7" t="s">
        <v>50</v>
      </c>
      <c r="N17" s="7" t="s">
        <v>51</v>
      </c>
      <c r="O17" s="7" t="s">
        <v>35</v>
      </c>
      <c r="P17" s="9">
        <v>45513.82035097222</v>
      </c>
      <c r="Q17" s="9">
        <v>45513.82035097222</v>
      </c>
    </row>
    <row r="18" ht="15.75" customHeight="1">
      <c r="A18" s="5" t="str">
        <f>HYPERLINK("https://portal.hubmapconsortium.org/browse/sample/0af20feb7c21a05542035ef0937619c3", "HBM762.TQCL.964")</f>
        <v>HBM762.TQCL.964</v>
      </c>
      <c r="B18" s="7" t="s">
        <v>287</v>
      </c>
      <c r="C18" s="7" t="s">
        <v>304</v>
      </c>
      <c r="D18" s="5" t="str">
        <f t="shared" si="2"/>
        <v>HBM657.BGFJ.898</v>
      </c>
      <c r="E18" s="7" t="s">
        <v>838</v>
      </c>
      <c r="F18" s="7" t="s">
        <v>839</v>
      </c>
      <c r="G18" s="7" t="s">
        <v>28</v>
      </c>
      <c r="H18" s="7" t="s">
        <v>29</v>
      </c>
      <c r="I18" s="7" t="s">
        <v>30</v>
      </c>
      <c r="J18" s="5" t="b">
        <v>0</v>
      </c>
      <c r="K18" s="5" t="s">
        <v>85</v>
      </c>
      <c r="L18" s="7" t="s">
        <v>32</v>
      </c>
      <c r="M18" s="7" t="s">
        <v>50</v>
      </c>
      <c r="N18" s="7" t="s">
        <v>51</v>
      </c>
      <c r="O18" s="7" t="s">
        <v>35</v>
      </c>
      <c r="P18" s="9">
        <v>45513.82036515047</v>
      </c>
      <c r="Q18" s="9">
        <v>45513.82036515047</v>
      </c>
    </row>
    <row r="19" ht="15.75" customHeight="1">
      <c r="A19" s="5" t="str">
        <f>HYPERLINK("https://portal.hubmapconsortium.org/browse/sample/51e02105b9c3506cb59448d7a39f7fdc", "HBM369.WFRL.789")</f>
        <v>HBM369.WFRL.789</v>
      </c>
      <c r="B19" s="7" t="s">
        <v>287</v>
      </c>
      <c r="C19" s="7" t="s">
        <v>304</v>
      </c>
      <c r="D19" s="5" t="str">
        <f t="shared" si="2"/>
        <v>HBM657.BGFJ.898</v>
      </c>
      <c r="E19" s="7" t="s">
        <v>840</v>
      </c>
      <c r="F19" s="7" t="s">
        <v>841</v>
      </c>
      <c r="G19" s="7" t="s">
        <v>28</v>
      </c>
      <c r="H19" s="7" t="s">
        <v>29</v>
      </c>
      <c r="I19" s="7" t="s">
        <v>30</v>
      </c>
      <c r="J19" s="5" t="b">
        <v>0</v>
      </c>
      <c r="K19" s="5" t="s">
        <v>85</v>
      </c>
      <c r="L19" s="7" t="s">
        <v>32</v>
      </c>
      <c r="M19" s="7" t="s">
        <v>50</v>
      </c>
      <c r="N19" s="7" t="s">
        <v>51</v>
      </c>
      <c r="O19" s="7" t="s">
        <v>35</v>
      </c>
      <c r="P19" s="9">
        <v>45513.82037935186</v>
      </c>
      <c r="Q19" s="9">
        <v>45513.82037935186</v>
      </c>
    </row>
    <row r="20" ht="15.75" customHeight="1">
      <c r="A20" s="5" t="str">
        <f>HYPERLINK("https://portal.hubmapconsortium.org/browse/sample/6228541447bb4fa895745c07c577d900", "HBM963.NCFZ.365")</f>
        <v>HBM963.NCFZ.365</v>
      </c>
      <c r="B20" s="7" t="s">
        <v>287</v>
      </c>
      <c r="C20" s="7" t="s">
        <v>304</v>
      </c>
      <c r="D20" s="5" t="str">
        <f t="shared" si="2"/>
        <v>HBM657.BGFJ.898</v>
      </c>
      <c r="E20" s="7" t="s">
        <v>842</v>
      </c>
      <c r="F20" s="7" t="s">
        <v>843</v>
      </c>
      <c r="G20" s="7" t="s">
        <v>28</v>
      </c>
      <c r="H20" s="7" t="s">
        <v>29</v>
      </c>
      <c r="I20" s="7" t="s">
        <v>30</v>
      </c>
      <c r="J20" s="5" t="b">
        <v>0</v>
      </c>
      <c r="K20" s="5" t="s">
        <v>85</v>
      </c>
      <c r="L20" s="7" t="s">
        <v>32</v>
      </c>
      <c r="M20" s="7" t="s">
        <v>50</v>
      </c>
      <c r="N20" s="7" t="s">
        <v>51</v>
      </c>
      <c r="O20" s="7" t="s">
        <v>35</v>
      </c>
      <c r="P20" s="9">
        <v>45513.82039384259</v>
      </c>
      <c r="Q20" s="9">
        <v>45513.82039384259</v>
      </c>
    </row>
    <row r="21" ht="15.75" customHeight="1">
      <c r="A21" s="5" t="str">
        <f>HYPERLINK("https://portal.hubmapconsortium.org/browse/sample/3b321ff898b337bc744cdb5246bb2b66", "HBM632.NWMV.648")</f>
        <v>HBM632.NWMV.648</v>
      </c>
      <c r="B21" s="7" t="s">
        <v>413</v>
      </c>
      <c r="C21" s="7" t="s">
        <v>414</v>
      </c>
      <c r="D21" s="5" t="str">
        <f t="shared" ref="D21:D22" si="3">HYPERLINK("https://portal.hubmapconsortium.org/browse/sample/bc7918805c94ad395dd26c50573d1e40", "HBM367.CMSK.938")</f>
        <v>HBM367.CMSK.938</v>
      </c>
      <c r="E21" s="7" t="s">
        <v>844</v>
      </c>
      <c r="F21" s="7" t="s">
        <v>809</v>
      </c>
      <c r="G21" s="7" t="s">
        <v>28</v>
      </c>
      <c r="H21" s="7" t="s">
        <v>29</v>
      </c>
      <c r="I21" s="7" t="s">
        <v>30</v>
      </c>
      <c r="J21" s="5" t="b">
        <v>0</v>
      </c>
      <c r="K21" s="5" t="s">
        <v>31</v>
      </c>
      <c r="L21" s="7" t="s">
        <v>32</v>
      </c>
      <c r="M21" s="7" t="s">
        <v>50</v>
      </c>
      <c r="N21" s="7" t="s">
        <v>51</v>
      </c>
      <c r="O21" s="7" t="s">
        <v>35</v>
      </c>
      <c r="P21" s="9">
        <v>45524.80849806713</v>
      </c>
      <c r="Q21" s="9">
        <v>45524.829865</v>
      </c>
    </row>
    <row r="22" ht="15.75" customHeight="1">
      <c r="A22" s="5" t="str">
        <f>HYPERLINK("https://portal.hubmapconsortium.org/browse/sample/355f10dbae3499c2389e28d3402b4bc2", "HBM373.SGMG.635")</f>
        <v>HBM373.SGMG.635</v>
      </c>
      <c r="B22" s="7" t="s">
        <v>413</v>
      </c>
      <c r="C22" s="7" t="s">
        <v>414</v>
      </c>
      <c r="D22" s="5" t="str">
        <f t="shared" si="3"/>
        <v>HBM367.CMSK.938</v>
      </c>
      <c r="E22" s="7" t="s">
        <v>845</v>
      </c>
      <c r="F22" s="7" t="s">
        <v>811</v>
      </c>
      <c r="G22" s="7" t="s">
        <v>28</v>
      </c>
      <c r="H22" s="7" t="s">
        <v>29</v>
      </c>
      <c r="I22" s="7" t="s">
        <v>30</v>
      </c>
      <c r="J22" s="5" t="b">
        <v>0</v>
      </c>
      <c r="K22" s="5" t="s">
        <v>31</v>
      </c>
      <c r="L22" s="7" t="s">
        <v>32</v>
      </c>
      <c r="M22" s="7" t="s">
        <v>50</v>
      </c>
      <c r="N22" s="7" t="s">
        <v>51</v>
      </c>
      <c r="O22" s="7" t="s">
        <v>35</v>
      </c>
      <c r="P22" s="9">
        <v>45524.80851239583</v>
      </c>
      <c r="Q22" s="9">
        <v>45524.8302402662</v>
      </c>
    </row>
    <row r="23" ht="15.75" customHeight="1">
      <c r="A23" s="5" t="str">
        <f>HYPERLINK("https://portal.hubmapconsortium.org/browse/sample/ff88b31649d8c2ec5fe591a3ccc9bea7", "HBM562.FBNJ.879")</f>
        <v>HBM562.FBNJ.879</v>
      </c>
      <c r="B23" s="7" t="s">
        <v>413</v>
      </c>
      <c r="C23" s="7" t="s">
        <v>427</v>
      </c>
      <c r="D23" s="5" t="str">
        <f t="shared" ref="D23:D38" si="4">HYPERLINK("https://portal.hubmapconsortium.org/browse/sample/4037bc931cabe8556ee08b0cc44ccf22", "HBM346.FQHN.263")</f>
        <v>HBM346.FQHN.263</v>
      </c>
      <c r="E23" s="7" t="s">
        <v>846</v>
      </c>
      <c r="F23" s="7" t="s">
        <v>847</v>
      </c>
      <c r="G23" s="7" t="s">
        <v>28</v>
      </c>
      <c r="H23" s="7" t="s">
        <v>29</v>
      </c>
      <c r="I23" s="7" t="s">
        <v>30</v>
      </c>
      <c r="J23" s="5" t="b">
        <v>0</v>
      </c>
      <c r="K23" s="5" t="s">
        <v>31</v>
      </c>
      <c r="L23" s="7" t="s">
        <v>32</v>
      </c>
      <c r="M23" s="7" t="s">
        <v>50</v>
      </c>
      <c r="N23" s="7" t="s">
        <v>51</v>
      </c>
      <c r="O23" s="7" t="s">
        <v>35</v>
      </c>
      <c r="P23" s="9">
        <v>45524.8085590162</v>
      </c>
      <c r="Q23" s="9">
        <v>45524.8314871875</v>
      </c>
    </row>
    <row r="24" ht="15.75" customHeight="1">
      <c r="A24" s="5" t="str">
        <f>HYPERLINK("https://portal.hubmapconsortium.org/browse/sample/1519c39f9bd92961a4bb6fa4746b5c19", "HBM522.LBPW.434")</f>
        <v>HBM522.LBPW.434</v>
      </c>
      <c r="B24" s="7" t="s">
        <v>413</v>
      </c>
      <c r="C24" s="7" t="s">
        <v>427</v>
      </c>
      <c r="D24" s="5" t="str">
        <f t="shared" si="4"/>
        <v>HBM346.FQHN.263</v>
      </c>
      <c r="E24" s="7" t="s">
        <v>848</v>
      </c>
      <c r="F24" s="7" t="s">
        <v>849</v>
      </c>
      <c r="G24" s="7" t="s">
        <v>28</v>
      </c>
      <c r="H24" s="7" t="s">
        <v>29</v>
      </c>
      <c r="I24" s="7" t="s">
        <v>30</v>
      </c>
      <c r="J24" s="5" t="b">
        <v>0</v>
      </c>
      <c r="K24" s="5" t="s">
        <v>31</v>
      </c>
      <c r="L24" s="7" t="s">
        <v>32</v>
      </c>
      <c r="M24" s="7" t="s">
        <v>50</v>
      </c>
      <c r="N24" s="7" t="s">
        <v>51</v>
      </c>
      <c r="O24" s="7" t="s">
        <v>35</v>
      </c>
      <c r="P24" s="9">
        <v>45524.80857674769</v>
      </c>
      <c r="Q24" s="9">
        <v>45524.83324594908</v>
      </c>
    </row>
    <row r="25" ht="15.75" customHeight="1">
      <c r="A25" s="5" t="str">
        <f>HYPERLINK("https://portal.hubmapconsortium.org/browse/sample/e96f89a956299fd33a7a47eec2883492", "HBM447.STGW.566")</f>
        <v>HBM447.STGW.566</v>
      </c>
      <c r="B25" s="7" t="s">
        <v>413</v>
      </c>
      <c r="C25" s="7" t="s">
        <v>427</v>
      </c>
      <c r="D25" s="5" t="str">
        <f t="shared" si="4"/>
        <v>HBM346.FQHN.263</v>
      </c>
      <c r="E25" s="7" t="s">
        <v>850</v>
      </c>
      <c r="F25" s="7" t="s">
        <v>851</v>
      </c>
      <c r="G25" s="7" t="s">
        <v>28</v>
      </c>
      <c r="H25" s="7" t="s">
        <v>29</v>
      </c>
      <c r="I25" s="7" t="s">
        <v>30</v>
      </c>
      <c r="J25" s="5" t="b">
        <v>0</v>
      </c>
      <c r="K25" s="5" t="s">
        <v>31</v>
      </c>
      <c r="L25" s="7" t="s">
        <v>32</v>
      </c>
      <c r="M25" s="7" t="s">
        <v>50</v>
      </c>
      <c r="N25" s="7" t="s">
        <v>51</v>
      </c>
      <c r="O25" s="7" t="s">
        <v>35</v>
      </c>
      <c r="P25" s="9">
        <v>45524.8085933449</v>
      </c>
      <c r="Q25" s="9">
        <v>45524.83430842592</v>
      </c>
    </row>
    <row r="26" ht="15.75" customHeight="1">
      <c r="A26" s="5" t="str">
        <f>HYPERLINK("https://portal.hubmapconsortium.org/browse/sample/36eef8c0b9a37bb565603cd1c85ec3df", "HBM222.QLRM.474")</f>
        <v>HBM222.QLRM.474</v>
      </c>
      <c r="B26" s="7" t="s">
        <v>413</v>
      </c>
      <c r="C26" s="7" t="s">
        <v>427</v>
      </c>
      <c r="D26" s="5" t="str">
        <f t="shared" si="4"/>
        <v>HBM346.FQHN.263</v>
      </c>
      <c r="E26" s="7" t="s">
        <v>852</v>
      </c>
      <c r="F26" s="7" t="s">
        <v>819</v>
      </c>
      <c r="G26" s="7" t="s">
        <v>28</v>
      </c>
      <c r="H26" s="7" t="s">
        <v>29</v>
      </c>
      <c r="I26" s="7" t="s">
        <v>30</v>
      </c>
      <c r="J26" s="5" t="b">
        <v>0</v>
      </c>
      <c r="K26" s="5" t="s">
        <v>31</v>
      </c>
      <c r="L26" s="7" t="s">
        <v>32</v>
      </c>
      <c r="M26" s="7" t="s">
        <v>50</v>
      </c>
      <c r="N26" s="7" t="s">
        <v>51</v>
      </c>
      <c r="O26" s="7" t="s">
        <v>35</v>
      </c>
      <c r="P26" s="9">
        <v>45524.80860810185</v>
      </c>
      <c r="Q26" s="9">
        <v>45524.83531495371</v>
      </c>
    </row>
    <row r="27" ht="15.75" customHeight="1">
      <c r="A27" s="5" t="str">
        <f>HYPERLINK("https://portal.hubmapconsortium.org/browse/sample/7df8828dbc048226ba4de8af7c96cd68", "HBM656.FVDD.535")</f>
        <v>HBM656.FVDD.535</v>
      </c>
      <c r="B27" s="7" t="s">
        <v>413</v>
      </c>
      <c r="C27" s="7" t="s">
        <v>427</v>
      </c>
      <c r="D27" s="5" t="str">
        <f t="shared" si="4"/>
        <v>HBM346.FQHN.263</v>
      </c>
      <c r="E27" s="7" t="s">
        <v>853</v>
      </c>
      <c r="F27" s="7" t="s">
        <v>854</v>
      </c>
      <c r="G27" s="7" t="s">
        <v>28</v>
      </c>
      <c r="H27" s="7" t="s">
        <v>29</v>
      </c>
      <c r="I27" s="7" t="s">
        <v>30</v>
      </c>
      <c r="J27" s="5" t="b">
        <v>0</v>
      </c>
      <c r="K27" s="5" t="s">
        <v>31</v>
      </c>
      <c r="L27" s="7" t="s">
        <v>32</v>
      </c>
      <c r="M27" s="7" t="s">
        <v>50</v>
      </c>
      <c r="N27" s="7" t="s">
        <v>51</v>
      </c>
      <c r="O27" s="7" t="s">
        <v>35</v>
      </c>
      <c r="P27" s="9">
        <v>45524.80862342592</v>
      </c>
      <c r="Q27" s="9">
        <v>45524.83226101852</v>
      </c>
    </row>
    <row r="28" ht="15.75" customHeight="1">
      <c r="A28" s="5" t="str">
        <f>HYPERLINK("https://portal.hubmapconsortium.org/browse/sample/65a20e445ba80e4be908de06237449ee", "HBM784.TTPH.787")</f>
        <v>HBM784.TTPH.787</v>
      </c>
      <c r="B28" s="7" t="s">
        <v>413</v>
      </c>
      <c r="C28" s="7" t="s">
        <v>427</v>
      </c>
      <c r="D28" s="5" t="str">
        <f t="shared" si="4"/>
        <v>HBM346.FQHN.263</v>
      </c>
      <c r="E28" s="7" t="s">
        <v>855</v>
      </c>
      <c r="F28" s="7" t="s">
        <v>856</v>
      </c>
      <c r="G28" s="7" t="s">
        <v>28</v>
      </c>
      <c r="H28" s="7" t="s">
        <v>29</v>
      </c>
      <c r="I28" s="7" t="s">
        <v>30</v>
      </c>
      <c r="J28" s="5" t="b">
        <v>0</v>
      </c>
      <c r="K28" s="5" t="s">
        <v>31</v>
      </c>
      <c r="L28" s="7" t="s">
        <v>32</v>
      </c>
      <c r="M28" s="7" t="s">
        <v>50</v>
      </c>
      <c r="N28" s="7" t="s">
        <v>51</v>
      </c>
      <c r="O28" s="7" t="s">
        <v>35</v>
      </c>
      <c r="P28" s="9">
        <v>45524.80863769676</v>
      </c>
      <c r="Q28" s="9">
        <v>45524.83362351852</v>
      </c>
    </row>
    <row r="29" ht="15.75" customHeight="1">
      <c r="A29" s="5" t="str">
        <f>HYPERLINK("https://portal.hubmapconsortium.org/browse/sample/fd5ddd35bea47ea7cfe63635d4a61809", "HBM778.XCCC.233")</f>
        <v>HBM778.XCCC.233</v>
      </c>
      <c r="B29" s="7" t="s">
        <v>413</v>
      </c>
      <c r="C29" s="7" t="s">
        <v>427</v>
      </c>
      <c r="D29" s="5" t="str">
        <f t="shared" si="4"/>
        <v>HBM346.FQHN.263</v>
      </c>
      <c r="E29" s="7" t="s">
        <v>857</v>
      </c>
      <c r="F29" s="7" t="s">
        <v>858</v>
      </c>
      <c r="G29" s="7" t="s">
        <v>28</v>
      </c>
      <c r="H29" s="7" t="s">
        <v>29</v>
      </c>
      <c r="I29" s="7" t="s">
        <v>30</v>
      </c>
      <c r="J29" s="5" t="b">
        <v>0</v>
      </c>
      <c r="K29" s="5" t="s">
        <v>31</v>
      </c>
      <c r="L29" s="7" t="s">
        <v>32</v>
      </c>
      <c r="M29" s="7" t="s">
        <v>50</v>
      </c>
      <c r="N29" s="7" t="s">
        <v>51</v>
      </c>
      <c r="O29" s="7" t="s">
        <v>35</v>
      </c>
      <c r="P29" s="9">
        <v>45524.80865241898</v>
      </c>
      <c r="Q29" s="9">
        <v>45524.83468927084</v>
      </c>
    </row>
    <row r="30" ht="15.75" customHeight="1">
      <c r="A30" s="5" t="str">
        <f>HYPERLINK("https://portal.hubmapconsortium.org/browse/sample/20df7f7c70bf54fdf64672d7167170f8", "HBM784.WMJH.325")</f>
        <v>HBM784.WMJH.325</v>
      </c>
      <c r="B30" s="7" t="s">
        <v>413</v>
      </c>
      <c r="C30" s="7" t="s">
        <v>427</v>
      </c>
      <c r="D30" s="5" t="str">
        <f t="shared" si="4"/>
        <v>HBM346.FQHN.263</v>
      </c>
      <c r="E30" s="7" t="s">
        <v>859</v>
      </c>
      <c r="F30" s="7" t="s">
        <v>827</v>
      </c>
      <c r="G30" s="7" t="s">
        <v>28</v>
      </c>
      <c r="H30" s="7" t="s">
        <v>29</v>
      </c>
      <c r="I30" s="7" t="s">
        <v>30</v>
      </c>
      <c r="J30" s="5" t="b">
        <v>0</v>
      </c>
      <c r="K30" s="5" t="s">
        <v>31</v>
      </c>
      <c r="L30" s="7" t="s">
        <v>32</v>
      </c>
      <c r="M30" s="7" t="s">
        <v>50</v>
      </c>
      <c r="N30" s="7" t="s">
        <v>51</v>
      </c>
      <c r="O30" s="7" t="s">
        <v>35</v>
      </c>
      <c r="P30" s="9">
        <v>45524.80866702546</v>
      </c>
      <c r="Q30" s="9">
        <v>45524.83562199074</v>
      </c>
    </row>
    <row r="31" ht="15.75" customHeight="1">
      <c r="A31" s="5" t="str">
        <f>HYPERLINK("https://portal.hubmapconsortium.org/browse/sample/c6bf65a6f51e223c68c5f0f17ee29d66", "HBM883.XWKG.389")</f>
        <v>HBM883.XWKG.389</v>
      </c>
      <c r="B31" s="7" t="s">
        <v>413</v>
      </c>
      <c r="C31" s="7" t="s">
        <v>427</v>
      </c>
      <c r="D31" s="5" t="str">
        <f t="shared" si="4"/>
        <v>HBM346.FQHN.263</v>
      </c>
      <c r="E31" s="7" t="s">
        <v>860</v>
      </c>
      <c r="F31" s="7" t="s">
        <v>829</v>
      </c>
      <c r="G31" s="7" t="s">
        <v>28</v>
      </c>
      <c r="H31" s="7" t="s">
        <v>29</v>
      </c>
      <c r="I31" s="7" t="s">
        <v>30</v>
      </c>
      <c r="J31" s="5" t="b">
        <v>0</v>
      </c>
      <c r="K31" s="5" t="s">
        <v>31</v>
      </c>
      <c r="L31" s="7" t="s">
        <v>32</v>
      </c>
      <c r="M31" s="7" t="s">
        <v>50</v>
      </c>
      <c r="N31" s="7" t="s">
        <v>51</v>
      </c>
      <c r="O31" s="7" t="s">
        <v>35</v>
      </c>
      <c r="P31" s="9">
        <v>45524.80868138889</v>
      </c>
      <c r="Q31" s="9">
        <v>45524.85673746528</v>
      </c>
    </row>
    <row r="32" ht="15.75" customHeight="1">
      <c r="A32" s="5" t="str">
        <f>HYPERLINK("https://portal.hubmapconsortium.org/browse/sample/fec2ac8001a99274fdd4e1e2a10e3e3d", "HBM275.LLQV.649")</f>
        <v>HBM275.LLQV.649</v>
      </c>
      <c r="B32" s="7" t="s">
        <v>413</v>
      </c>
      <c r="C32" s="7" t="s">
        <v>427</v>
      </c>
      <c r="D32" s="5" t="str">
        <f t="shared" si="4"/>
        <v>HBM346.FQHN.263</v>
      </c>
      <c r="E32" s="7" t="s">
        <v>861</v>
      </c>
      <c r="F32" s="7" t="s">
        <v>862</v>
      </c>
      <c r="G32" s="7" t="s">
        <v>28</v>
      </c>
      <c r="H32" s="7" t="s">
        <v>29</v>
      </c>
      <c r="I32" s="7" t="s">
        <v>30</v>
      </c>
      <c r="J32" s="5" t="b">
        <v>0</v>
      </c>
      <c r="K32" s="5" t="s">
        <v>31</v>
      </c>
      <c r="L32" s="7" t="s">
        <v>32</v>
      </c>
      <c r="M32" s="7" t="s">
        <v>50</v>
      </c>
      <c r="N32" s="7" t="s">
        <v>51</v>
      </c>
      <c r="O32" s="7" t="s">
        <v>35</v>
      </c>
      <c r="P32" s="9">
        <v>45524.80869604167</v>
      </c>
      <c r="Q32" s="9">
        <v>45524.85779133102</v>
      </c>
    </row>
    <row r="33" ht="15.75" customHeight="1">
      <c r="A33" s="5" t="str">
        <f>HYPERLINK("https://portal.hubmapconsortium.org/browse/sample/84d957b62890a88f084b11bf8847cea5", "HBM746.QLGX.352")</f>
        <v>HBM746.QLGX.352</v>
      </c>
      <c r="B33" s="7" t="s">
        <v>413</v>
      </c>
      <c r="C33" s="7" t="s">
        <v>427</v>
      </c>
      <c r="D33" s="5" t="str">
        <f t="shared" si="4"/>
        <v>HBM346.FQHN.263</v>
      </c>
      <c r="E33" s="7" t="s">
        <v>863</v>
      </c>
      <c r="F33" s="7" t="s">
        <v>864</v>
      </c>
      <c r="G33" s="7" t="s">
        <v>28</v>
      </c>
      <c r="H33" s="7" t="s">
        <v>29</v>
      </c>
      <c r="I33" s="7" t="s">
        <v>30</v>
      </c>
      <c r="J33" s="5" t="b">
        <v>0</v>
      </c>
      <c r="K33" s="5" t="s">
        <v>31</v>
      </c>
      <c r="L33" s="7" t="s">
        <v>32</v>
      </c>
      <c r="M33" s="7" t="s">
        <v>50</v>
      </c>
      <c r="N33" s="7" t="s">
        <v>51</v>
      </c>
      <c r="O33" s="7" t="s">
        <v>35</v>
      </c>
      <c r="P33" s="9">
        <v>45524.80871076389</v>
      </c>
      <c r="Q33" s="9">
        <v>45524.85890620371</v>
      </c>
    </row>
    <row r="34" ht="15.75" customHeight="1">
      <c r="A34" s="5" t="str">
        <f>HYPERLINK("https://portal.hubmapconsortium.org/browse/sample/aa1c6646f92bd8c7785f1c8b4bb0f194", "HBM692.JNSB.587")</f>
        <v>HBM692.JNSB.587</v>
      </c>
      <c r="B34" s="7" t="s">
        <v>413</v>
      </c>
      <c r="C34" s="7" t="s">
        <v>427</v>
      </c>
      <c r="D34" s="5" t="str">
        <f t="shared" si="4"/>
        <v>HBM346.FQHN.263</v>
      </c>
      <c r="E34" s="7" t="s">
        <v>865</v>
      </c>
      <c r="F34" s="7" t="s">
        <v>835</v>
      </c>
      <c r="G34" s="7" t="s">
        <v>28</v>
      </c>
      <c r="H34" s="7" t="s">
        <v>29</v>
      </c>
      <c r="I34" s="7" t="s">
        <v>30</v>
      </c>
      <c r="J34" s="5" t="b">
        <v>0</v>
      </c>
      <c r="K34" s="5" t="s">
        <v>31</v>
      </c>
      <c r="L34" s="7" t="s">
        <v>32</v>
      </c>
      <c r="M34" s="7" t="s">
        <v>50</v>
      </c>
      <c r="N34" s="7" t="s">
        <v>51</v>
      </c>
      <c r="O34" s="7" t="s">
        <v>35</v>
      </c>
      <c r="P34" s="9">
        <v>45524.8087242824</v>
      </c>
      <c r="Q34" s="9">
        <v>45524.8604252662</v>
      </c>
    </row>
    <row r="35" ht="15.75" customHeight="1">
      <c r="A35" s="5" t="str">
        <f>HYPERLINK("https://portal.hubmapconsortium.org/browse/sample/4f2283d7dde5f09dac4e5ed0f32ebaa7", "HBM748.PRMV.689")</f>
        <v>HBM748.PRMV.689</v>
      </c>
      <c r="B35" s="7" t="s">
        <v>413</v>
      </c>
      <c r="C35" s="7" t="s">
        <v>427</v>
      </c>
      <c r="D35" s="5" t="str">
        <f t="shared" si="4"/>
        <v>HBM346.FQHN.263</v>
      </c>
      <c r="E35" s="7" t="s">
        <v>866</v>
      </c>
      <c r="F35" s="7" t="s">
        <v>837</v>
      </c>
      <c r="G35" s="7" t="s">
        <v>28</v>
      </c>
      <c r="H35" s="7" t="s">
        <v>29</v>
      </c>
      <c r="I35" s="7" t="s">
        <v>30</v>
      </c>
      <c r="J35" s="5" t="b">
        <v>0</v>
      </c>
      <c r="K35" s="5" t="s">
        <v>31</v>
      </c>
      <c r="L35" s="7" t="s">
        <v>32</v>
      </c>
      <c r="M35" s="7" t="s">
        <v>50</v>
      </c>
      <c r="N35" s="7" t="s">
        <v>51</v>
      </c>
      <c r="O35" s="7" t="s">
        <v>35</v>
      </c>
      <c r="P35" s="9">
        <v>45524.8087390162</v>
      </c>
      <c r="Q35" s="9">
        <v>45524.85712383102</v>
      </c>
    </row>
    <row r="36" ht="15.75" customHeight="1">
      <c r="A36" s="5" t="str">
        <f>HYPERLINK("https://portal.hubmapconsortium.org/browse/sample/ac60f355bd03e8f7c1b4f42d7bec057b", "HBM484.JDFG.896")</f>
        <v>HBM484.JDFG.896</v>
      </c>
      <c r="B36" s="7" t="s">
        <v>413</v>
      </c>
      <c r="C36" s="7" t="s">
        <v>427</v>
      </c>
      <c r="D36" s="5" t="str">
        <f t="shared" si="4"/>
        <v>HBM346.FQHN.263</v>
      </c>
      <c r="E36" s="7" t="s">
        <v>867</v>
      </c>
      <c r="F36" s="7" t="s">
        <v>868</v>
      </c>
      <c r="G36" s="7" t="s">
        <v>28</v>
      </c>
      <c r="H36" s="7" t="s">
        <v>29</v>
      </c>
      <c r="I36" s="7" t="s">
        <v>30</v>
      </c>
      <c r="J36" s="5" t="b">
        <v>0</v>
      </c>
      <c r="K36" s="5" t="s">
        <v>31</v>
      </c>
      <c r="L36" s="7" t="s">
        <v>32</v>
      </c>
      <c r="M36" s="7" t="s">
        <v>50</v>
      </c>
      <c r="N36" s="7" t="s">
        <v>51</v>
      </c>
      <c r="O36" s="7" t="s">
        <v>35</v>
      </c>
      <c r="P36" s="9">
        <v>45524.80875346065</v>
      </c>
      <c r="Q36" s="9">
        <v>45524.85813269676</v>
      </c>
    </row>
    <row r="37" ht="15.75" customHeight="1">
      <c r="A37" s="5" t="str">
        <f>HYPERLINK("https://portal.hubmapconsortium.org/browse/sample/b5516bc487d13aeeb8c2777266f22bf3", "HBM764.TPWG.624")</f>
        <v>HBM764.TPWG.624</v>
      </c>
      <c r="B37" s="7" t="s">
        <v>413</v>
      </c>
      <c r="C37" s="7" t="s">
        <v>427</v>
      </c>
      <c r="D37" s="5" t="str">
        <f t="shared" si="4"/>
        <v>HBM346.FQHN.263</v>
      </c>
      <c r="E37" s="7" t="s">
        <v>869</v>
      </c>
      <c r="F37" s="7" t="s">
        <v>870</v>
      </c>
      <c r="G37" s="7" t="s">
        <v>28</v>
      </c>
      <c r="H37" s="7" t="s">
        <v>29</v>
      </c>
      <c r="I37" s="7" t="s">
        <v>30</v>
      </c>
      <c r="J37" s="5" t="b">
        <v>0</v>
      </c>
      <c r="K37" s="5" t="s">
        <v>31</v>
      </c>
      <c r="L37" s="7" t="s">
        <v>32</v>
      </c>
      <c r="M37" s="7" t="s">
        <v>50</v>
      </c>
      <c r="N37" s="7" t="s">
        <v>51</v>
      </c>
      <c r="O37" s="7" t="s">
        <v>35</v>
      </c>
      <c r="P37" s="9">
        <v>45524.80876762731</v>
      </c>
      <c r="Q37" s="9">
        <v>45524.85947987268</v>
      </c>
    </row>
    <row r="38" ht="15.75" customHeight="1">
      <c r="A38" s="5" t="str">
        <f>HYPERLINK("https://portal.hubmapconsortium.org/browse/sample/a2fedcc6676e43cf18d0bf3176dbfade", "HBM222.FPPN.275")</f>
        <v>HBM222.FPPN.275</v>
      </c>
      <c r="B38" s="7" t="s">
        <v>413</v>
      </c>
      <c r="C38" s="7" t="s">
        <v>427</v>
      </c>
      <c r="D38" s="5" t="str">
        <f t="shared" si="4"/>
        <v>HBM346.FQHN.263</v>
      </c>
      <c r="E38" s="7" t="s">
        <v>871</v>
      </c>
      <c r="F38" s="7" t="s">
        <v>843</v>
      </c>
      <c r="G38" s="7" t="s">
        <v>28</v>
      </c>
      <c r="H38" s="7" t="s">
        <v>29</v>
      </c>
      <c r="I38" s="7" t="s">
        <v>30</v>
      </c>
      <c r="J38" s="5" t="b">
        <v>0</v>
      </c>
      <c r="K38" s="5" t="s">
        <v>31</v>
      </c>
      <c r="L38" s="7" t="s">
        <v>32</v>
      </c>
      <c r="M38" s="7" t="s">
        <v>50</v>
      </c>
      <c r="N38" s="7" t="s">
        <v>51</v>
      </c>
      <c r="O38" s="7" t="s">
        <v>35</v>
      </c>
      <c r="P38" s="9">
        <v>45524.8087830787</v>
      </c>
      <c r="Q38" s="9">
        <v>45524.86076040509</v>
      </c>
    </row>
    <row r="39" ht="15.75" customHeight="1">
      <c r="A39" s="5" t="str">
        <f>HYPERLINK("https://portal.hubmapconsortium.org/browse/sample/867144de994a0ea55085996042c171fc", "HBM939.LSZG.387")</f>
        <v>HBM939.LSZG.387</v>
      </c>
      <c r="B39" s="7" t="s">
        <v>413</v>
      </c>
      <c r="C39" s="7" t="s">
        <v>536</v>
      </c>
      <c r="D39" s="5" t="str">
        <f t="shared" ref="D39:D40" si="5">HYPERLINK("https://portal.hubmapconsortium.org/browse/sample/a71ec2c3319d3c6e51febfd5f115347d", "HBM797.FCBQ.962")</f>
        <v>HBM797.FCBQ.962</v>
      </c>
      <c r="E39" s="7" t="s">
        <v>872</v>
      </c>
      <c r="F39" s="7" t="s">
        <v>873</v>
      </c>
      <c r="G39" s="7" t="s">
        <v>28</v>
      </c>
      <c r="H39" s="7" t="s">
        <v>29</v>
      </c>
      <c r="I39" s="7" t="s">
        <v>30</v>
      </c>
      <c r="J39" s="5" t="b">
        <v>0</v>
      </c>
      <c r="K39" s="5" t="s">
        <v>31</v>
      </c>
      <c r="L39" s="7" t="s">
        <v>32</v>
      </c>
      <c r="M39" s="7" t="s">
        <v>50</v>
      </c>
      <c r="N39" s="7" t="s">
        <v>51</v>
      </c>
      <c r="O39" s="7" t="s">
        <v>35</v>
      </c>
      <c r="P39" s="9">
        <v>45524.80852690972</v>
      </c>
      <c r="Q39" s="9">
        <v>45545.77334136574</v>
      </c>
    </row>
    <row r="40" ht="15.75" customHeight="1">
      <c r="A40" s="5" t="str">
        <f>HYPERLINK("https://portal.hubmapconsortium.org/browse/sample/46760b0051be67d5e510ddada587f7f7", "HBM828.WKZT.367")</f>
        <v>HBM828.WKZT.367</v>
      </c>
      <c r="B40" s="7" t="s">
        <v>413</v>
      </c>
      <c r="C40" s="7" t="s">
        <v>536</v>
      </c>
      <c r="D40" s="5" t="str">
        <f t="shared" si="5"/>
        <v>HBM797.FCBQ.962</v>
      </c>
      <c r="E40" s="7" t="s">
        <v>874</v>
      </c>
      <c r="F40" s="7" t="s">
        <v>875</v>
      </c>
      <c r="G40" s="7" t="s">
        <v>28</v>
      </c>
      <c r="H40" s="7" t="s">
        <v>29</v>
      </c>
      <c r="I40" s="7" t="s">
        <v>30</v>
      </c>
      <c r="J40" s="5" t="b">
        <v>0</v>
      </c>
      <c r="K40" s="5" t="s">
        <v>31</v>
      </c>
      <c r="L40" s="7" t="s">
        <v>32</v>
      </c>
      <c r="M40" s="7" t="s">
        <v>50</v>
      </c>
      <c r="N40" s="7" t="s">
        <v>51</v>
      </c>
      <c r="O40" s="7" t="s">
        <v>35</v>
      </c>
      <c r="P40" s="9">
        <v>45524.80854331019</v>
      </c>
      <c r="Q40" s="9">
        <v>45545.77423605324</v>
      </c>
    </row>
    <row r="41" ht="15.75" customHeight="1">
      <c r="A41" s="5" t="str">
        <f>HYPERLINK("https://portal.hubmapconsortium.org/browse/sample/cea26eb7cb1e9876a6ad1bc89035247f", "HBM559.QKPC.674")</f>
        <v>HBM559.QKPC.674</v>
      </c>
      <c r="B41" s="7" t="s">
        <v>549</v>
      </c>
      <c r="C41" s="7" t="s">
        <v>550</v>
      </c>
      <c r="D41" s="5" t="str">
        <f t="shared" ref="D41:D42" si="6">HYPERLINK("https://portal.hubmapconsortium.org/browse/sample/fbc0f117563df0ca324dd2001e9b7df6", "HBM387.FLPV.658")</f>
        <v>HBM387.FLPV.658</v>
      </c>
      <c r="E41" s="7" t="s">
        <v>876</v>
      </c>
      <c r="F41" s="7" t="s">
        <v>809</v>
      </c>
      <c r="G41" s="7" t="s">
        <v>28</v>
      </c>
      <c r="H41" s="7" t="s">
        <v>29</v>
      </c>
      <c r="I41" s="7" t="s">
        <v>30</v>
      </c>
      <c r="J41" s="5" t="b">
        <v>0</v>
      </c>
      <c r="K41" s="5" t="s">
        <v>553</v>
      </c>
      <c r="L41" s="7" t="s">
        <v>32</v>
      </c>
      <c r="M41" s="7" t="s">
        <v>33</v>
      </c>
      <c r="N41" s="7" t="s">
        <v>34</v>
      </c>
      <c r="O41" s="7" t="s">
        <v>35</v>
      </c>
      <c r="P41" s="9">
        <v>45726.67325751157</v>
      </c>
      <c r="Q41" s="9">
        <v>45726.67325751157</v>
      </c>
    </row>
    <row r="42" ht="15.75" customHeight="1">
      <c r="A42" s="5" t="str">
        <f>HYPERLINK("https://portal.hubmapconsortium.org/browse/sample/c27662d4328d039ef39891811c46b0b6", "HBM398.WLHH.959")</f>
        <v>HBM398.WLHH.959</v>
      </c>
      <c r="B42" s="7" t="s">
        <v>549</v>
      </c>
      <c r="C42" s="7" t="s">
        <v>550</v>
      </c>
      <c r="D42" s="5" t="str">
        <f t="shared" si="6"/>
        <v>HBM387.FLPV.658</v>
      </c>
      <c r="E42" s="7" t="s">
        <v>877</v>
      </c>
      <c r="F42" s="7" t="s">
        <v>811</v>
      </c>
      <c r="G42" s="7" t="s">
        <v>28</v>
      </c>
      <c r="H42" s="7" t="s">
        <v>29</v>
      </c>
      <c r="I42" s="7" t="s">
        <v>30</v>
      </c>
      <c r="J42" s="5" t="b">
        <v>0</v>
      </c>
      <c r="K42" s="5" t="s">
        <v>553</v>
      </c>
      <c r="L42" s="7" t="s">
        <v>32</v>
      </c>
      <c r="M42" s="7" t="s">
        <v>33</v>
      </c>
      <c r="N42" s="7" t="s">
        <v>34</v>
      </c>
      <c r="O42" s="7" t="s">
        <v>35</v>
      </c>
      <c r="P42" s="9">
        <v>45726.67327862269</v>
      </c>
      <c r="Q42" s="9">
        <v>45726.67327862269</v>
      </c>
    </row>
    <row r="43" ht="15.75" customHeight="1">
      <c r="A43" s="5" t="str">
        <f>HYPERLINK("https://portal.hubmapconsortium.org/browse/sample/75c08239e35bc97e3dbbabf8e8c112d9", "HBM644.BXBT.854")</f>
        <v>HBM644.BXBT.854</v>
      </c>
      <c r="B43" s="7" t="s">
        <v>549</v>
      </c>
      <c r="C43" s="7" t="s">
        <v>563</v>
      </c>
      <c r="D43" s="5" t="str">
        <f t="shared" ref="D43:D58" si="7">HYPERLINK("https://portal.hubmapconsortium.org/browse/sample/76b132346676d19ecc52dd0e7f6ec220", "HBM758.PXTF.453")</f>
        <v>HBM758.PXTF.453</v>
      </c>
      <c r="E43" s="7" t="s">
        <v>878</v>
      </c>
      <c r="F43" s="7" t="s">
        <v>813</v>
      </c>
      <c r="G43" s="7" t="s">
        <v>28</v>
      </c>
      <c r="H43" s="7" t="s">
        <v>29</v>
      </c>
      <c r="I43" s="7" t="s">
        <v>30</v>
      </c>
      <c r="J43" s="5" t="b">
        <v>0</v>
      </c>
      <c r="K43" s="5" t="s">
        <v>553</v>
      </c>
      <c r="L43" s="7" t="s">
        <v>32</v>
      </c>
      <c r="M43" s="7" t="s">
        <v>33</v>
      </c>
      <c r="N43" s="7" t="s">
        <v>34</v>
      </c>
      <c r="O43" s="7" t="s">
        <v>35</v>
      </c>
      <c r="P43" s="9">
        <v>45726.67346987269</v>
      </c>
      <c r="Q43" s="9">
        <v>45726.67346987269</v>
      </c>
    </row>
    <row r="44" ht="15.75" customHeight="1">
      <c r="A44" s="5" t="str">
        <f>HYPERLINK("https://portal.hubmapconsortium.org/browse/sample/96b3e9c17028ab5d032a59c14e5a6899", "HBM799.TMTM.736")</f>
        <v>HBM799.TMTM.736</v>
      </c>
      <c r="B44" s="7" t="s">
        <v>549</v>
      </c>
      <c r="C44" s="7" t="s">
        <v>563</v>
      </c>
      <c r="D44" s="5" t="str">
        <f t="shared" si="7"/>
        <v>HBM758.PXTF.453</v>
      </c>
      <c r="E44" s="7" t="s">
        <v>879</v>
      </c>
      <c r="F44" s="7" t="s">
        <v>849</v>
      </c>
      <c r="G44" s="7" t="s">
        <v>28</v>
      </c>
      <c r="H44" s="7" t="s">
        <v>29</v>
      </c>
      <c r="I44" s="7" t="s">
        <v>30</v>
      </c>
      <c r="J44" s="5" t="b">
        <v>0</v>
      </c>
      <c r="K44" s="5" t="s">
        <v>553</v>
      </c>
      <c r="L44" s="7" t="s">
        <v>32</v>
      </c>
      <c r="M44" s="7" t="s">
        <v>33</v>
      </c>
      <c r="N44" s="7" t="s">
        <v>34</v>
      </c>
      <c r="O44" s="7" t="s">
        <v>35</v>
      </c>
      <c r="P44" s="9">
        <v>45726.67349009259</v>
      </c>
      <c r="Q44" s="9">
        <v>45726.67349009259</v>
      </c>
    </row>
    <row r="45" ht="15.75" customHeight="1">
      <c r="A45" s="5" t="str">
        <f>HYPERLINK("https://portal.hubmapconsortium.org/browse/sample/4d174a3a9dc9b4f49b55dae9b1e64285", "HBM468.VNWZ.253")</f>
        <v>HBM468.VNWZ.253</v>
      </c>
      <c r="B45" s="7" t="s">
        <v>549</v>
      </c>
      <c r="C45" s="7" t="s">
        <v>563</v>
      </c>
      <c r="D45" s="5" t="str">
        <f t="shared" si="7"/>
        <v>HBM758.PXTF.453</v>
      </c>
      <c r="E45" s="7" t="s">
        <v>880</v>
      </c>
      <c r="F45" s="7" t="s">
        <v>851</v>
      </c>
      <c r="G45" s="7" t="s">
        <v>28</v>
      </c>
      <c r="H45" s="7" t="s">
        <v>29</v>
      </c>
      <c r="I45" s="7" t="s">
        <v>30</v>
      </c>
      <c r="J45" s="5" t="b">
        <v>0</v>
      </c>
      <c r="K45" s="5" t="s">
        <v>553</v>
      </c>
      <c r="L45" s="7" t="s">
        <v>32</v>
      </c>
      <c r="M45" s="7" t="s">
        <v>33</v>
      </c>
      <c r="N45" s="7" t="s">
        <v>34</v>
      </c>
      <c r="O45" s="7" t="s">
        <v>35</v>
      </c>
      <c r="P45" s="9">
        <v>45726.67351086806</v>
      </c>
      <c r="Q45" s="9">
        <v>45726.67351086806</v>
      </c>
    </row>
    <row r="46" ht="15.75" customHeight="1">
      <c r="A46" s="5" t="str">
        <f>HYPERLINK("https://portal.hubmapconsortium.org/browse/sample/3600541121630e1b581b168181ebe226", "HBM779.DPWP.654")</f>
        <v>HBM779.DPWP.654</v>
      </c>
      <c r="B46" s="7" t="s">
        <v>549</v>
      </c>
      <c r="C46" s="7" t="s">
        <v>563</v>
      </c>
      <c r="D46" s="5" t="str">
        <f t="shared" si="7"/>
        <v>HBM758.PXTF.453</v>
      </c>
      <c r="E46" s="7" t="s">
        <v>881</v>
      </c>
      <c r="F46" s="7" t="s">
        <v>819</v>
      </c>
      <c r="G46" s="7" t="s">
        <v>28</v>
      </c>
      <c r="H46" s="7" t="s">
        <v>29</v>
      </c>
      <c r="I46" s="7" t="s">
        <v>30</v>
      </c>
      <c r="J46" s="5" t="b">
        <v>0</v>
      </c>
      <c r="K46" s="5" t="s">
        <v>553</v>
      </c>
      <c r="L46" s="7" t="s">
        <v>32</v>
      </c>
      <c r="M46" s="7" t="s">
        <v>33</v>
      </c>
      <c r="N46" s="7" t="s">
        <v>34</v>
      </c>
      <c r="O46" s="7" t="s">
        <v>35</v>
      </c>
      <c r="P46" s="9">
        <v>45726.67353001158</v>
      </c>
      <c r="Q46" s="9">
        <v>45726.67353001158</v>
      </c>
    </row>
    <row r="47" ht="15.75" customHeight="1">
      <c r="A47" s="5" t="str">
        <f>HYPERLINK("https://portal.hubmapconsortium.org/browse/sample/7fb3ad0f70ef08483fdbab460506f6b3", "HBM652.SZDJ.278")</f>
        <v>HBM652.SZDJ.278</v>
      </c>
      <c r="B47" s="7" t="s">
        <v>549</v>
      </c>
      <c r="C47" s="7" t="s">
        <v>563</v>
      </c>
      <c r="D47" s="5" t="str">
        <f t="shared" si="7"/>
        <v>HBM758.PXTF.453</v>
      </c>
      <c r="E47" s="7" t="s">
        <v>882</v>
      </c>
      <c r="F47" s="7" t="s">
        <v>821</v>
      </c>
      <c r="G47" s="7" t="s">
        <v>28</v>
      </c>
      <c r="H47" s="7" t="s">
        <v>29</v>
      </c>
      <c r="I47" s="7" t="s">
        <v>30</v>
      </c>
      <c r="J47" s="5" t="b">
        <v>0</v>
      </c>
      <c r="K47" s="5" t="s">
        <v>553</v>
      </c>
      <c r="L47" s="7" t="s">
        <v>32</v>
      </c>
      <c r="M47" s="7" t="s">
        <v>33</v>
      </c>
      <c r="N47" s="7" t="s">
        <v>34</v>
      </c>
      <c r="O47" s="7" t="s">
        <v>35</v>
      </c>
      <c r="P47" s="9">
        <v>45726.67354940972</v>
      </c>
      <c r="Q47" s="9">
        <v>45726.67354940972</v>
      </c>
    </row>
    <row r="48" ht="15.75" customHeight="1">
      <c r="A48" s="5" t="str">
        <f>HYPERLINK("https://portal.hubmapconsortium.org/browse/sample/d22cb193ee59d61adb22fb3b9293721c", "HBM256.BPXQ.842")</f>
        <v>HBM256.BPXQ.842</v>
      </c>
      <c r="B48" s="7" t="s">
        <v>549</v>
      </c>
      <c r="C48" s="7" t="s">
        <v>563</v>
      </c>
      <c r="D48" s="5" t="str">
        <f t="shared" si="7"/>
        <v>HBM758.PXTF.453</v>
      </c>
      <c r="E48" s="7" t="s">
        <v>883</v>
      </c>
      <c r="F48" s="7" t="s">
        <v>856</v>
      </c>
      <c r="G48" s="7" t="s">
        <v>28</v>
      </c>
      <c r="H48" s="7" t="s">
        <v>29</v>
      </c>
      <c r="I48" s="7" t="s">
        <v>30</v>
      </c>
      <c r="J48" s="5" t="b">
        <v>0</v>
      </c>
      <c r="K48" s="5" t="s">
        <v>553</v>
      </c>
      <c r="L48" s="7" t="s">
        <v>32</v>
      </c>
      <c r="M48" s="7" t="s">
        <v>33</v>
      </c>
      <c r="N48" s="7" t="s">
        <v>34</v>
      </c>
      <c r="O48" s="7" t="s">
        <v>35</v>
      </c>
      <c r="P48" s="9">
        <v>45726.67357091435</v>
      </c>
      <c r="Q48" s="9">
        <v>45726.67357091435</v>
      </c>
    </row>
    <row r="49" ht="15.75" customHeight="1">
      <c r="A49" s="5" t="str">
        <f>HYPERLINK("https://portal.hubmapconsortium.org/browse/sample/95b523d352a0e595b54ade5cef40bf7b", "HBM988.HPTN.664")</f>
        <v>HBM988.HPTN.664</v>
      </c>
      <c r="B49" s="7" t="s">
        <v>549</v>
      </c>
      <c r="C49" s="7" t="s">
        <v>563</v>
      </c>
      <c r="D49" s="5" t="str">
        <f t="shared" si="7"/>
        <v>HBM758.PXTF.453</v>
      </c>
      <c r="E49" s="7" t="s">
        <v>884</v>
      </c>
      <c r="F49" s="7" t="s">
        <v>858</v>
      </c>
      <c r="G49" s="7" t="s">
        <v>28</v>
      </c>
      <c r="H49" s="7" t="s">
        <v>29</v>
      </c>
      <c r="I49" s="7" t="s">
        <v>30</v>
      </c>
      <c r="J49" s="5" t="b">
        <v>0</v>
      </c>
      <c r="K49" s="5" t="s">
        <v>553</v>
      </c>
      <c r="L49" s="7" t="s">
        <v>32</v>
      </c>
      <c r="M49" s="7" t="s">
        <v>33</v>
      </c>
      <c r="N49" s="7" t="s">
        <v>34</v>
      </c>
      <c r="O49" s="7" t="s">
        <v>35</v>
      </c>
      <c r="P49" s="9">
        <v>45726.67359299769</v>
      </c>
      <c r="Q49" s="9">
        <v>45726.67359299769</v>
      </c>
    </row>
    <row r="50" ht="15.75" customHeight="1">
      <c r="A50" s="5" t="str">
        <f>HYPERLINK("https://portal.hubmapconsortium.org/browse/sample/4b9534342d6e7a0b33a59af8191d9408", "HBM863.LJTZ.679")</f>
        <v>HBM863.LJTZ.679</v>
      </c>
      <c r="B50" s="7" t="s">
        <v>549</v>
      </c>
      <c r="C50" s="7" t="s">
        <v>563</v>
      </c>
      <c r="D50" s="5" t="str">
        <f t="shared" si="7"/>
        <v>HBM758.PXTF.453</v>
      </c>
      <c r="E50" s="7" t="s">
        <v>885</v>
      </c>
      <c r="F50" s="7" t="s">
        <v>827</v>
      </c>
      <c r="G50" s="7" t="s">
        <v>28</v>
      </c>
      <c r="H50" s="7" t="s">
        <v>29</v>
      </c>
      <c r="I50" s="7" t="s">
        <v>30</v>
      </c>
      <c r="J50" s="5" t="b">
        <v>0</v>
      </c>
      <c r="K50" s="5" t="s">
        <v>553</v>
      </c>
      <c r="L50" s="7" t="s">
        <v>32</v>
      </c>
      <c r="M50" s="7" t="s">
        <v>33</v>
      </c>
      <c r="N50" s="7" t="s">
        <v>34</v>
      </c>
      <c r="O50" s="7" t="s">
        <v>35</v>
      </c>
      <c r="P50" s="9">
        <v>45726.67361287037</v>
      </c>
      <c r="Q50" s="9">
        <v>45726.67361287037</v>
      </c>
    </row>
    <row r="51" ht="15.75" customHeight="1">
      <c r="A51" s="5" t="str">
        <f>HYPERLINK("https://portal.hubmapconsortium.org/browse/sample/fe52cce4196f761a1ba3daa80c616ef5", "HBM647.GCFL.324")</f>
        <v>HBM647.GCFL.324</v>
      </c>
      <c r="B51" s="7" t="s">
        <v>549</v>
      </c>
      <c r="C51" s="7" t="s">
        <v>563</v>
      </c>
      <c r="D51" s="5" t="str">
        <f t="shared" si="7"/>
        <v>HBM758.PXTF.453</v>
      </c>
      <c r="E51" s="7" t="s">
        <v>886</v>
      </c>
      <c r="F51" s="7" t="s">
        <v>829</v>
      </c>
      <c r="G51" s="7" t="s">
        <v>28</v>
      </c>
      <c r="H51" s="7" t="s">
        <v>29</v>
      </c>
      <c r="I51" s="7" t="s">
        <v>30</v>
      </c>
      <c r="J51" s="5" t="b">
        <v>0</v>
      </c>
      <c r="K51" s="5" t="s">
        <v>553</v>
      </c>
      <c r="L51" s="7" t="s">
        <v>32</v>
      </c>
      <c r="M51" s="7" t="s">
        <v>33</v>
      </c>
      <c r="N51" s="7" t="s">
        <v>34</v>
      </c>
      <c r="O51" s="7" t="s">
        <v>35</v>
      </c>
      <c r="P51" s="9">
        <v>45726.67330137731</v>
      </c>
      <c r="Q51" s="9">
        <v>45726.67330137731</v>
      </c>
    </row>
    <row r="52" ht="15.75" customHeight="1">
      <c r="A52" s="5" t="str">
        <f>HYPERLINK("https://portal.hubmapconsortium.org/browse/sample/b7ef88ad7473472b92ac8d51b484b24b", "HBM846.GMQL.896")</f>
        <v>HBM846.GMQL.896</v>
      </c>
      <c r="B52" s="7" t="s">
        <v>549</v>
      </c>
      <c r="C52" s="7" t="s">
        <v>563</v>
      </c>
      <c r="D52" s="5" t="str">
        <f t="shared" si="7"/>
        <v>HBM758.PXTF.453</v>
      </c>
      <c r="E52" s="7" t="s">
        <v>887</v>
      </c>
      <c r="F52" s="7" t="s">
        <v>862</v>
      </c>
      <c r="G52" s="7" t="s">
        <v>28</v>
      </c>
      <c r="H52" s="7" t="s">
        <v>29</v>
      </c>
      <c r="I52" s="7" t="s">
        <v>30</v>
      </c>
      <c r="J52" s="5" t="b">
        <v>0</v>
      </c>
      <c r="K52" s="5" t="s">
        <v>553</v>
      </c>
      <c r="L52" s="7" t="s">
        <v>32</v>
      </c>
      <c r="M52" s="7" t="s">
        <v>33</v>
      </c>
      <c r="N52" s="7" t="s">
        <v>34</v>
      </c>
      <c r="O52" s="7" t="s">
        <v>35</v>
      </c>
      <c r="P52" s="9">
        <v>45726.67332371528</v>
      </c>
      <c r="Q52" s="9">
        <v>45726.67332371528</v>
      </c>
    </row>
    <row r="53" ht="15.75" customHeight="1">
      <c r="A53" s="5" t="str">
        <f>HYPERLINK("https://portal.hubmapconsortium.org/browse/sample/cc8bcbf981826d200c63bf25ebcacff5", "HBM948.MFZH.759")</f>
        <v>HBM948.MFZH.759</v>
      </c>
      <c r="B53" s="7" t="s">
        <v>549</v>
      </c>
      <c r="C53" s="7" t="s">
        <v>563</v>
      </c>
      <c r="D53" s="5" t="str">
        <f t="shared" si="7"/>
        <v>HBM758.PXTF.453</v>
      </c>
      <c r="E53" s="7" t="s">
        <v>888</v>
      </c>
      <c r="F53" s="7" t="s">
        <v>864</v>
      </c>
      <c r="G53" s="7" t="s">
        <v>28</v>
      </c>
      <c r="H53" s="7" t="s">
        <v>29</v>
      </c>
      <c r="I53" s="7" t="s">
        <v>30</v>
      </c>
      <c r="J53" s="5" t="b">
        <v>0</v>
      </c>
      <c r="K53" s="5" t="s">
        <v>553</v>
      </c>
      <c r="L53" s="7" t="s">
        <v>32</v>
      </c>
      <c r="M53" s="7" t="s">
        <v>33</v>
      </c>
      <c r="N53" s="7" t="s">
        <v>34</v>
      </c>
      <c r="O53" s="7" t="s">
        <v>35</v>
      </c>
      <c r="P53" s="9">
        <v>45726.67334335648</v>
      </c>
      <c r="Q53" s="9">
        <v>45726.67334335648</v>
      </c>
    </row>
    <row r="54" ht="15.75" customHeight="1">
      <c r="A54" s="5" t="str">
        <f>HYPERLINK("https://portal.hubmapconsortium.org/browse/sample/3b3e197b0ebe7d0621f964e9535648fc", "HBM237.GWRM.927")</f>
        <v>HBM237.GWRM.927</v>
      </c>
      <c r="B54" s="7" t="s">
        <v>549</v>
      </c>
      <c r="C54" s="7" t="s">
        <v>563</v>
      </c>
      <c r="D54" s="5" t="str">
        <f t="shared" si="7"/>
        <v>HBM758.PXTF.453</v>
      </c>
      <c r="E54" s="7" t="s">
        <v>889</v>
      </c>
      <c r="F54" s="7" t="s">
        <v>835</v>
      </c>
      <c r="G54" s="7" t="s">
        <v>28</v>
      </c>
      <c r="H54" s="7" t="s">
        <v>29</v>
      </c>
      <c r="I54" s="7" t="s">
        <v>30</v>
      </c>
      <c r="J54" s="5" t="b">
        <v>0</v>
      </c>
      <c r="K54" s="5" t="s">
        <v>553</v>
      </c>
      <c r="L54" s="7" t="s">
        <v>32</v>
      </c>
      <c r="M54" s="7" t="s">
        <v>33</v>
      </c>
      <c r="N54" s="7" t="s">
        <v>34</v>
      </c>
      <c r="O54" s="7" t="s">
        <v>35</v>
      </c>
      <c r="P54" s="9">
        <v>45726.67336311343</v>
      </c>
      <c r="Q54" s="9">
        <v>45726.67336311343</v>
      </c>
    </row>
    <row r="55" ht="15.75" customHeight="1">
      <c r="A55" s="5" t="str">
        <f>HYPERLINK("https://portal.hubmapconsortium.org/browse/sample/a7527e91d351d5efdce2f8372356dbbf", "HBM826.NZKX.472")</f>
        <v>HBM826.NZKX.472</v>
      </c>
      <c r="B55" s="7" t="s">
        <v>549</v>
      </c>
      <c r="C55" s="7" t="s">
        <v>563</v>
      </c>
      <c r="D55" s="5" t="str">
        <f t="shared" si="7"/>
        <v>HBM758.PXTF.453</v>
      </c>
      <c r="E55" s="7" t="s">
        <v>890</v>
      </c>
      <c r="F55" s="7" t="s">
        <v>837</v>
      </c>
      <c r="G55" s="7" t="s">
        <v>28</v>
      </c>
      <c r="H55" s="7" t="s">
        <v>29</v>
      </c>
      <c r="I55" s="7" t="s">
        <v>30</v>
      </c>
      <c r="J55" s="5" t="b">
        <v>0</v>
      </c>
      <c r="K55" s="5" t="s">
        <v>553</v>
      </c>
      <c r="L55" s="7" t="s">
        <v>32</v>
      </c>
      <c r="M55" s="7" t="s">
        <v>33</v>
      </c>
      <c r="N55" s="7" t="s">
        <v>34</v>
      </c>
      <c r="O55" s="7" t="s">
        <v>35</v>
      </c>
      <c r="P55" s="9">
        <v>45726.67338298611</v>
      </c>
      <c r="Q55" s="9">
        <v>45726.67338298611</v>
      </c>
    </row>
    <row r="56" ht="15.75" customHeight="1">
      <c r="A56" s="5" t="str">
        <f>HYPERLINK("https://portal.hubmapconsortium.org/browse/sample/bb72bcc9730a355d2701b0381611df11", "HBM229.RTNP.957")</f>
        <v>HBM229.RTNP.957</v>
      </c>
      <c r="B56" s="7" t="s">
        <v>549</v>
      </c>
      <c r="C56" s="7" t="s">
        <v>563</v>
      </c>
      <c r="D56" s="5" t="str">
        <f t="shared" si="7"/>
        <v>HBM758.PXTF.453</v>
      </c>
      <c r="E56" s="7" t="s">
        <v>891</v>
      </c>
      <c r="F56" s="7" t="s">
        <v>868</v>
      </c>
      <c r="G56" s="7" t="s">
        <v>28</v>
      </c>
      <c r="H56" s="7" t="s">
        <v>29</v>
      </c>
      <c r="I56" s="7" t="s">
        <v>30</v>
      </c>
      <c r="J56" s="5" t="b">
        <v>0</v>
      </c>
      <c r="K56" s="5" t="s">
        <v>553</v>
      </c>
      <c r="L56" s="7" t="s">
        <v>32</v>
      </c>
      <c r="M56" s="7" t="s">
        <v>33</v>
      </c>
      <c r="N56" s="7" t="s">
        <v>34</v>
      </c>
      <c r="O56" s="7" t="s">
        <v>35</v>
      </c>
      <c r="P56" s="9">
        <v>45726.67340357639</v>
      </c>
      <c r="Q56" s="9">
        <v>45726.67340357639</v>
      </c>
    </row>
    <row r="57" ht="15.75" customHeight="1">
      <c r="A57" s="5" t="str">
        <f>HYPERLINK("https://portal.hubmapconsortium.org/browse/sample/58dfb52e5b8f89446e046170152f0efd", "HBM395.VQSP.232")</f>
        <v>HBM395.VQSP.232</v>
      </c>
      <c r="B57" s="7" t="s">
        <v>549</v>
      </c>
      <c r="C57" s="7" t="s">
        <v>563</v>
      </c>
      <c r="D57" s="5" t="str">
        <f t="shared" si="7"/>
        <v>HBM758.PXTF.453</v>
      </c>
      <c r="E57" s="7" t="s">
        <v>892</v>
      </c>
      <c r="F57" s="7" t="s">
        <v>870</v>
      </c>
      <c r="G57" s="7" t="s">
        <v>28</v>
      </c>
      <c r="H57" s="7" t="s">
        <v>29</v>
      </c>
      <c r="I57" s="7" t="s">
        <v>30</v>
      </c>
      <c r="J57" s="5" t="b">
        <v>0</v>
      </c>
      <c r="K57" s="5" t="s">
        <v>553</v>
      </c>
      <c r="L57" s="7" t="s">
        <v>32</v>
      </c>
      <c r="M57" s="7" t="s">
        <v>33</v>
      </c>
      <c r="N57" s="7" t="s">
        <v>34</v>
      </c>
      <c r="O57" s="7" t="s">
        <v>35</v>
      </c>
      <c r="P57" s="9">
        <v>45726.67342543982</v>
      </c>
      <c r="Q57" s="9">
        <v>45726.67342543982</v>
      </c>
    </row>
    <row r="58" ht="15.75" customHeight="1">
      <c r="A58" s="5" t="str">
        <f>HYPERLINK("https://portal.hubmapconsortium.org/browse/sample/dc89d5377f30c631cd8bc283a4549cd2", "HBM587.ZBTK.548")</f>
        <v>HBM587.ZBTK.548</v>
      </c>
      <c r="B58" s="7" t="s">
        <v>549</v>
      </c>
      <c r="C58" s="7" t="s">
        <v>563</v>
      </c>
      <c r="D58" s="5" t="str">
        <f t="shared" si="7"/>
        <v>HBM758.PXTF.453</v>
      </c>
      <c r="E58" s="7" t="s">
        <v>893</v>
      </c>
      <c r="F58" s="7" t="s">
        <v>843</v>
      </c>
      <c r="G58" s="7" t="s">
        <v>28</v>
      </c>
      <c r="H58" s="7" t="s">
        <v>29</v>
      </c>
      <c r="I58" s="7" t="s">
        <v>30</v>
      </c>
      <c r="J58" s="5" t="b">
        <v>0</v>
      </c>
      <c r="K58" s="5" t="s">
        <v>553</v>
      </c>
      <c r="L58" s="7" t="s">
        <v>32</v>
      </c>
      <c r="M58" s="7" t="s">
        <v>33</v>
      </c>
      <c r="N58" s="7" t="s">
        <v>34</v>
      </c>
      <c r="O58" s="7" t="s">
        <v>35</v>
      </c>
      <c r="P58" s="9">
        <v>45726.67344707176</v>
      </c>
      <c r="Q58" s="9">
        <v>45726.67344707176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K3"/>
    <hyperlink r:id="rId2" ref="K4"/>
    <hyperlink r:id="rId3" ref="K5"/>
    <hyperlink r:id="rId4" ref="K6"/>
    <hyperlink r:id="rId5" ref="K7"/>
    <hyperlink r:id="rId6" ref="K8"/>
    <hyperlink r:id="rId7" ref="K9"/>
    <hyperlink r:id="rId8" ref="K10"/>
    <hyperlink r:id="rId9" ref="K11"/>
    <hyperlink r:id="rId10" ref="K12"/>
    <hyperlink r:id="rId11" ref="K13"/>
    <hyperlink r:id="rId12" ref="K14"/>
    <hyperlink r:id="rId13" ref="K15"/>
    <hyperlink r:id="rId14" ref="K16"/>
    <hyperlink r:id="rId15" ref="K17"/>
    <hyperlink r:id="rId16" ref="K18"/>
    <hyperlink r:id="rId17" ref="K19"/>
    <hyperlink r:id="rId18" ref="K20"/>
    <hyperlink r:id="rId19" ref="K21"/>
    <hyperlink r:id="rId20" ref="K22"/>
    <hyperlink r:id="rId21" ref="K23"/>
    <hyperlink r:id="rId22" ref="K24"/>
    <hyperlink r:id="rId23" ref="K25"/>
    <hyperlink r:id="rId24" ref="K26"/>
    <hyperlink r:id="rId25" ref="K27"/>
    <hyperlink r:id="rId26" ref="K28"/>
    <hyperlink r:id="rId27" ref="K29"/>
    <hyperlink r:id="rId28" ref="K30"/>
    <hyperlink r:id="rId29" ref="K31"/>
    <hyperlink r:id="rId30" ref="K32"/>
    <hyperlink r:id="rId31" ref="K33"/>
    <hyperlink r:id="rId32" ref="K34"/>
    <hyperlink r:id="rId33" ref="K35"/>
    <hyperlink r:id="rId34" ref="K36"/>
    <hyperlink r:id="rId35" ref="K37"/>
    <hyperlink r:id="rId36" ref="K38"/>
    <hyperlink r:id="rId37" ref="K39"/>
    <hyperlink r:id="rId38" ref="K40"/>
    <hyperlink r:id="rId39" ref="K41"/>
    <hyperlink r:id="rId40" ref="K42"/>
    <hyperlink r:id="rId41" ref="K43"/>
    <hyperlink r:id="rId42" ref="K44"/>
    <hyperlink r:id="rId43" ref="K45"/>
    <hyperlink r:id="rId44" ref="K46"/>
    <hyperlink r:id="rId45" ref="K47"/>
    <hyperlink r:id="rId46" ref="K48"/>
    <hyperlink r:id="rId47" ref="K49"/>
    <hyperlink r:id="rId48" ref="K50"/>
    <hyperlink r:id="rId49" ref="K51"/>
    <hyperlink r:id="rId50" ref="K52"/>
    <hyperlink r:id="rId51" ref="K53"/>
    <hyperlink r:id="rId52" ref="K54"/>
    <hyperlink r:id="rId53" ref="K55"/>
    <hyperlink r:id="rId54" ref="K56"/>
    <hyperlink r:id="rId55" ref="K57"/>
    <hyperlink r:id="rId56" ref="K58"/>
  </hyperlinks>
  <printOptions/>
  <pageMargins bottom="0.75" footer="0.0" header="0.0" left="0.7" right="0.7" top="0.75"/>
  <pageSetup orientation="landscape"/>
  <drawing r:id="rId5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7.11"/>
    <col customWidth="1" min="2" max="3" width="10.56"/>
    <col customWidth="1" min="4" max="4" width="16.78"/>
    <col customWidth="1" min="5" max="5" width="26.11"/>
    <col customWidth="1" min="6" max="26" width="10.56"/>
  </cols>
  <sheetData>
    <row r="1" ht="15.75" customHeight="1">
      <c r="A1" s="3" t="s">
        <v>0</v>
      </c>
      <c r="B1" s="3" t="s">
        <v>2</v>
      </c>
      <c r="C1" s="3" t="s">
        <v>5</v>
      </c>
      <c r="D1" s="3" t="s">
        <v>7</v>
      </c>
      <c r="E1" s="3" t="s">
        <v>8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</row>
    <row r="2" ht="15.75" customHeight="1">
      <c r="A2" s="5" t="str">
        <f>HYPERLINK("https://portal.hubmapconsortium.org/browse/sample/5f1a591f7548bd41ba41da49aa54c833", "HBM784.MZKD.558")</f>
        <v>HBM784.MZKD.558</v>
      </c>
      <c r="B2" s="7" t="s">
        <v>43</v>
      </c>
      <c r="C2" s="7" t="s">
        <v>45</v>
      </c>
      <c r="D2" s="5" t="str">
        <f>HYPERLINK("https://portal.hubmapconsortium.org/browse/sample/671fe5ae8fd5aac945d1d9260a0a89d2", "HBM524.PSGH.765")</f>
        <v>HBM524.PSGH.765</v>
      </c>
      <c r="E2" s="7" t="s">
        <v>894</v>
      </c>
      <c r="F2" s="7" t="s">
        <v>895</v>
      </c>
      <c r="G2" s="7" t="s">
        <v>28</v>
      </c>
      <c r="H2" s="7" t="s">
        <v>29</v>
      </c>
      <c r="I2" s="7" t="s">
        <v>30</v>
      </c>
      <c r="J2" s="5" t="b">
        <v>0</v>
      </c>
      <c r="K2" s="5" t="s">
        <v>896</v>
      </c>
      <c r="L2" s="7" t="s">
        <v>49</v>
      </c>
      <c r="M2" s="7" t="s">
        <v>50</v>
      </c>
      <c r="N2" s="7" t="s">
        <v>51</v>
      </c>
      <c r="O2" s="7" t="s">
        <v>35</v>
      </c>
      <c r="P2" s="9">
        <v>45853.6743684375</v>
      </c>
      <c r="Q2" s="9">
        <v>45853.6743684375</v>
      </c>
    </row>
    <row r="3" ht="15.75" customHeight="1">
      <c r="A3" s="5" t="str">
        <f>HYPERLINK("https://portal.hubmapconsortium.org/browse/sample/700e6f7bfc745955e6811464f8b0f03f", "HBM234.MPDP.858")</f>
        <v>HBM234.MPDP.858</v>
      </c>
      <c r="B3" s="7" t="s">
        <v>43</v>
      </c>
      <c r="C3" s="7" t="s">
        <v>52</v>
      </c>
      <c r="D3" s="5" t="str">
        <f t="shared" ref="D3:D11" si="1">HYPERLINK("https://portal.hubmapconsortium.org/browse/sample/8d7323f8e67fae6440c934eeb1ab3d9a", "HBM888.XXWD.357")</f>
        <v>HBM888.XXWD.357</v>
      </c>
      <c r="E3" s="7" t="s">
        <v>897</v>
      </c>
      <c r="F3" s="7" t="s">
        <v>895</v>
      </c>
      <c r="G3" s="7" t="s">
        <v>28</v>
      </c>
      <c r="H3" s="7" t="s">
        <v>29</v>
      </c>
      <c r="I3" s="7" t="s">
        <v>30</v>
      </c>
      <c r="J3" s="5" t="b">
        <v>0</v>
      </c>
      <c r="K3" s="5" t="s">
        <v>896</v>
      </c>
      <c r="L3" s="7" t="s">
        <v>49</v>
      </c>
      <c r="M3" s="7" t="s">
        <v>50</v>
      </c>
      <c r="N3" s="7" t="s">
        <v>51</v>
      </c>
      <c r="O3" s="7" t="s">
        <v>35</v>
      </c>
      <c r="P3" s="9">
        <v>45848.87840880787</v>
      </c>
      <c r="Q3" s="9">
        <v>45848.87840880787</v>
      </c>
    </row>
    <row r="4" ht="15.75" customHeight="1">
      <c r="A4" s="5" t="str">
        <f>HYPERLINK("https://portal.hubmapconsortium.org/browse/sample/09ce932088be1666e75ff8e29fa4de7e", "HBM526.PDMQ.345")</f>
        <v>HBM526.PDMQ.345</v>
      </c>
      <c r="B4" s="7" t="s">
        <v>43</v>
      </c>
      <c r="C4" s="7" t="s">
        <v>52</v>
      </c>
      <c r="D4" s="5" t="str">
        <f t="shared" si="1"/>
        <v>HBM888.XXWD.357</v>
      </c>
      <c r="E4" s="7" t="s">
        <v>898</v>
      </c>
      <c r="F4" s="7" t="s">
        <v>895</v>
      </c>
      <c r="G4" s="7" t="s">
        <v>28</v>
      </c>
      <c r="H4" s="7" t="s">
        <v>29</v>
      </c>
      <c r="I4" s="7" t="s">
        <v>30</v>
      </c>
      <c r="J4" s="5" t="b">
        <v>0</v>
      </c>
      <c r="K4" s="5" t="s">
        <v>896</v>
      </c>
      <c r="L4" s="7" t="s">
        <v>49</v>
      </c>
      <c r="M4" s="7" t="s">
        <v>50</v>
      </c>
      <c r="N4" s="7" t="s">
        <v>51</v>
      </c>
      <c r="O4" s="7" t="s">
        <v>35</v>
      </c>
      <c r="P4" s="9">
        <v>45835.5797587037</v>
      </c>
      <c r="Q4" s="9">
        <v>45835.5797587037</v>
      </c>
    </row>
    <row r="5" ht="15.75" customHeight="1">
      <c r="A5" s="5" t="str">
        <f>HYPERLINK("https://portal.hubmapconsortium.org/browse/sample/9d46b75055622ea1aedc88251022d18d", "HBM459.FFLG.725")</f>
        <v>HBM459.FFLG.725</v>
      </c>
      <c r="B5" s="7" t="s">
        <v>43</v>
      </c>
      <c r="C5" s="7" t="s">
        <v>52</v>
      </c>
      <c r="D5" s="5" t="str">
        <f t="shared" si="1"/>
        <v>HBM888.XXWD.357</v>
      </c>
      <c r="E5" s="7" t="s">
        <v>899</v>
      </c>
      <c r="F5" s="7" t="s">
        <v>895</v>
      </c>
      <c r="G5" s="7" t="s">
        <v>28</v>
      </c>
      <c r="H5" s="7" t="s">
        <v>29</v>
      </c>
      <c r="I5" s="7" t="s">
        <v>30</v>
      </c>
      <c r="J5" s="5" t="b">
        <v>0</v>
      </c>
      <c r="K5" s="5" t="s">
        <v>896</v>
      </c>
      <c r="L5" s="7" t="s">
        <v>49</v>
      </c>
      <c r="M5" s="7" t="s">
        <v>50</v>
      </c>
      <c r="N5" s="7" t="s">
        <v>51</v>
      </c>
      <c r="O5" s="7" t="s">
        <v>35</v>
      </c>
      <c r="P5" s="9">
        <v>45853.66265578704</v>
      </c>
      <c r="Q5" s="9">
        <v>45853.66265578704</v>
      </c>
    </row>
    <row r="6" ht="15.75" customHeight="1">
      <c r="A6" s="5" t="str">
        <f>HYPERLINK("https://portal.hubmapconsortium.org/browse/sample/1f7021c306a6fae6139c7958f720a527", "HBM263.FWZC.357")</f>
        <v>HBM263.FWZC.357</v>
      </c>
      <c r="B6" s="7" t="s">
        <v>43</v>
      </c>
      <c r="C6" s="7" t="s">
        <v>52</v>
      </c>
      <c r="D6" s="5" t="str">
        <f t="shared" si="1"/>
        <v>HBM888.XXWD.357</v>
      </c>
      <c r="E6" s="7" t="s">
        <v>900</v>
      </c>
      <c r="F6" s="7" t="s">
        <v>895</v>
      </c>
      <c r="G6" s="7" t="s">
        <v>28</v>
      </c>
      <c r="H6" s="7" t="s">
        <v>29</v>
      </c>
      <c r="I6" s="7" t="s">
        <v>30</v>
      </c>
      <c r="J6" s="5" t="b">
        <v>0</v>
      </c>
      <c r="K6" s="5" t="s">
        <v>896</v>
      </c>
      <c r="L6" s="7" t="s">
        <v>49</v>
      </c>
      <c r="M6" s="7" t="s">
        <v>50</v>
      </c>
      <c r="N6" s="7" t="s">
        <v>51</v>
      </c>
      <c r="O6" s="7" t="s">
        <v>35</v>
      </c>
      <c r="P6" s="9">
        <v>45848.87842166667</v>
      </c>
      <c r="Q6" s="9">
        <v>45848.87842166667</v>
      </c>
    </row>
    <row r="7" ht="15.75" customHeight="1">
      <c r="A7" s="5" t="str">
        <f>HYPERLINK("https://portal.hubmapconsortium.org/browse/sample/1e58ae52704b9f6132e5cb97d9f9d31f", "HBM539.SNKT.625")</f>
        <v>HBM539.SNKT.625</v>
      </c>
      <c r="B7" s="7" t="s">
        <v>43</v>
      </c>
      <c r="C7" s="7" t="s">
        <v>52</v>
      </c>
      <c r="D7" s="5" t="str">
        <f t="shared" si="1"/>
        <v>HBM888.XXWD.357</v>
      </c>
      <c r="E7" s="7" t="s">
        <v>901</v>
      </c>
      <c r="F7" s="7" t="s">
        <v>895</v>
      </c>
      <c r="G7" s="7" t="s">
        <v>28</v>
      </c>
      <c r="H7" s="7" t="s">
        <v>29</v>
      </c>
      <c r="I7" s="7" t="s">
        <v>30</v>
      </c>
      <c r="J7" s="5" t="b">
        <v>0</v>
      </c>
      <c r="K7" s="5" t="s">
        <v>896</v>
      </c>
      <c r="L7" s="7" t="s">
        <v>49</v>
      </c>
      <c r="M7" s="7" t="s">
        <v>50</v>
      </c>
      <c r="N7" s="7" t="s">
        <v>51</v>
      </c>
      <c r="O7" s="7" t="s">
        <v>35</v>
      </c>
      <c r="P7" s="9">
        <v>45853.66266722222</v>
      </c>
      <c r="Q7" s="9">
        <v>45853.66266722222</v>
      </c>
    </row>
    <row r="8" ht="15.75" customHeight="1">
      <c r="A8" s="5" t="str">
        <f>HYPERLINK("https://portal.hubmapconsortium.org/browse/sample/b583c3ce0cac5a968c3053872dc70190", "HBM648.GVFD.542")</f>
        <v>HBM648.GVFD.542</v>
      </c>
      <c r="B8" s="7" t="s">
        <v>43</v>
      </c>
      <c r="C8" s="7" t="s">
        <v>52</v>
      </c>
      <c r="D8" s="5" t="str">
        <f t="shared" si="1"/>
        <v>HBM888.XXWD.357</v>
      </c>
      <c r="E8" s="7" t="s">
        <v>902</v>
      </c>
      <c r="F8" s="7" t="s">
        <v>895</v>
      </c>
      <c r="G8" s="7" t="s">
        <v>28</v>
      </c>
      <c r="H8" s="7" t="s">
        <v>29</v>
      </c>
      <c r="I8" s="7" t="s">
        <v>30</v>
      </c>
      <c r="J8" s="5" t="b">
        <v>0</v>
      </c>
      <c r="K8" s="5" t="s">
        <v>896</v>
      </c>
      <c r="L8" s="7" t="s">
        <v>49</v>
      </c>
      <c r="M8" s="7" t="s">
        <v>50</v>
      </c>
      <c r="N8" s="7" t="s">
        <v>51</v>
      </c>
      <c r="O8" s="7" t="s">
        <v>35</v>
      </c>
      <c r="P8" s="9">
        <v>45835.57977190972</v>
      </c>
      <c r="Q8" s="9">
        <v>45835.57977190972</v>
      </c>
    </row>
    <row r="9" ht="15.75" customHeight="1">
      <c r="A9" s="5" t="str">
        <f>HYPERLINK("https://portal.hubmapconsortium.org/browse/sample/cde3222ef74566117d66ecaf76e37088", "HBM764.HHDW.497")</f>
        <v>HBM764.HHDW.497</v>
      </c>
      <c r="B9" s="7" t="s">
        <v>43</v>
      </c>
      <c r="C9" s="7" t="s">
        <v>52</v>
      </c>
      <c r="D9" s="5" t="str">
        <f t="shared" si="1"/>
        <v>HBM888.XXWD.357</v>
      </c>
      <c r="E9" s="7" t="s">
        <v>903</v>
      </c>
      <c r="F9" s="7" t="s">
        <v>895</v>
      </c>
      <c r="G9" s="7" t="s">
        <v>28</v>
      </c>
      <c r="H9" s="7" t="s">
        <v>29</v>
      </c>
      <c r="I9" s="7" t="s">
        <v>30</v>
      </c>
      <c r="J9" s="5" t="b">
        <v>0</v>
      </c>
      <c r="K9" s="5" t="s">
        <v>896</v>
      </c>
      <c r="L9" s="7" t="s">
        <v>49</v>
      </c>
      <c r="M9" s="7" t="s">
        <v>50</v>
      </c>
      <c r="N9" s="7" t="s">
        <v>51</v>
      </c>
      <c r="O9" s="7" t="s">
        <v>35</v>
      </c>
      <c r="P9" s="9">
        <v>45853.67438202546</v>
      </c>
      <c r="Q9" s="9">
        <v>45853.67438202546</v>
      </c>
    </row>
    <row r="10" ht="15.75" customHeight="1">
      <c r="A10" s="5" t="str">
        <f>HYPERLINK("https://portal.hubmapconsortium.org/browse/sample/e77484d6e77b22bbde79dd5a272fa35d", "HBM555.ZNVD.445")</f>
        <v>HBM555.ZNVD.445</v>
      </c>
      <c r="B10" s="7" t="s">
        <v>43</v>
      </c>
      <c r="C10" s="7" t="s">
        <v>52</v>
      </c>
      <c r="D10" s="5" t="str">
        <f t="shared" si="1"/>
        <v>HBM888.XXWD.357</v>
      </c>
      <c r="E10" s="7" t="s">
        <v>904</v>
      </c>
      <c r="F10" s="7" t="s">
        <v>895</v>
      </c>
      <c r="G10" s="7" t="s">
        <v>28</v>
      </c>
      <c r="H10" s="7" t="s">
        <v>29</v>
      </c>
      <c r="I10" s="7" t="s">
        <v>30</v>
      </c>
      <c r="J10" s="5" t="b">
        <v>0</v>
      </c>
      <c r="K10" s="5" t="s">
        <v>896</v>
      </c>
      <c r="L10" s="7" t="s">
        <v>49</v>
      </c>
      <c r="M10" s="7" t="s">
        <v>50</v>
      </c>
      <c r="N10" s="7" t="s">
        <v>51</v>
      </c>
      <c r="O10" s="7" t="s">
        <v>35</v>
      </c>
      <c r="P10" s="9">
        <v>45853.67439920139</v>
      </c>
      <c r="Q10" s="9">
        <v>45853.67439920139</v>
      </c>
    </row>
    <row r="11" ht="15.75" customHeight="1">
      <c r="A11" s="5" t="str">
        <f>HYPERLINK("https://portal.hubmapconsortium.org/browse/sample/93c93fb07fd1576be89a5ab0fb5a0815", "HBM354.SZPB.386")</f>
        <v>HBM354.SZPB.386</v>
      </c>
      <c r="B11" s="7" t="s">
        <v>43</v>
      </c>
      <c r="C11" s="7" t="s">
        <v>52</v>
      </c>
      <c r="D11" s="5" t="str">
        <f t="shared" si="1"/>
        <v>HBM888.XXWD.357</v>
      </c>
      <c r="E11" s="7" t="s">
        <v>905</v>
      </c>
      <c r="F11" s="7" t="s">
        <v>895</v>
      </c>
      <c r="G11" s="7" t="s">
        <v>28</v>
      </c>
      <c r="H11" s="7" t="s">
        <v>29</v>
      </c>
      <c r="I11" s="7" t="s">
        <v>30</v>
      </c>
      <c r="J11" s="5" t="b">
        <v>0</v>
      </c>
      <c r="K11" s="5" t="s">
        <v>896</v>
      </c>
      <c r="L11" s="7" t="s">
        <v>49</v>
      </c>
      <c r="M11" s="7" t="s">
        <v>50</v>
      </c>
      <c r="N11" s="7" t="s">
        <v>51</v>
      </c>
      <c r="O11" s="7" t="s">
        <v>35</v>
      </c>
      <c r="P11" s="9">
        <v>45835.57978357639</v>
      </c>
      <c r="Q11" s="9">
        <v>45835.57978357639</v>
      </c>
    </row>
    <row r="12" ht="15.75" customHeight="1">
      <c r="A12" s="5" t="str">
        <f>HYPERLINK("https://portal.hubmapconsortium.org/browse/sample/571e21b1395cd4fe3db6a6d15bda92c6", "HBM486.RCFS.875")</f>
        <v>HBM486.RCFS.875</v>
      </c>
      <c r="B12" s="7" t="s">
        <v>75</v>
      </c>
      <c r="C12" s="7" t="s">
        <v>76</v>
      </c>
      <c r="D12" s="5" t="str">
        <f>HYPERLINK("https://portal.hubmapconsortium.org/browse/sample/d84f2ca886df60fa3c88da03da0b1fe9", "HBM598.WKVR.237")</f>
        <v>HBM598.WKVR.237</v>
      </c>
      <c r="E12" s="7" t="s">
        <v>906</v>
      </c>
      <c r="F12" s="7" t="s">
        <v>907</v>
      </c>
      <c r="G12" s="7" t="s">
        <v>28</v>
      </c>
      <c r="H12" s="7" t="s">
        <v>29</v>
      </c>
      <c r="I12" s="7" t="s">
        <v>30</v>
      </c>
      <c r="J12" s="5" t="b">
        <v>0</v>
      </c>
      <c r="K12" s="5" t="s">
        <v>896</v>
      </c>
      <c r="L12" s="7" t="s">
        <v>49</v>
      </c>
      <c r="M12" s="7" t="s">
        <v>50</v>
      </c>
      <c r="N12" s="7" t="s">
        <v>51</v>
      </c>
      <c r="O12" s="7" t="s">
        <v>35</v>
      </c>
      <c r="P12" s="9">
        <v>45835.57979886574</v>
      </c>
      <c r="Q12" s="9">
        <v>45835.57979886574</v>
      </c>
    </row>
    <row r="13" ht="15.75" customHeight="1">
      <c r="A13" s="5" t="str">
        <f>HYPERLINK("https://portal.hubmapconsortium.org/browse/sample/d9b43ea22c49f007e2472bcea5067286", "HBM363.GTCG.592")</f>
        <v>HBM363.GTCG.592</v>
      </c>
      <c r="B13" s="7" t="s">
        <v>75</v>
      </c>
      <c r="C13" s="7" t="s">
        <v>79</v>
      </c>
      <c r="D13" s="5" t="str">
        <f t="shared" ref="D13:D21" si="2">HYPERLINK("https://portal.hubmapconsortium.org/browse/sample/83ab99a06a11a99e3fb971c922b50642", "HBM972.ZVMR.866")</f>
        <v>HBM972.ZVMR.866</v>
      </c>
      <c r="E13" s="7" t="s">
        <v>908</v>
      </c>
      <c r="F13" s="7" t="s">
        <v>907</v>
      </c>
      <c r="G13" s="7" t="s">
        <v>28</v>
      </c>
      <c r="H13" s="7" t="s">
        <v>29</v>
      </c>
      <c r="I13" s="7" t="s">
        <v>30</v>
      </c>
      <c r="J13" s="5" t="b">
        <v>0</v>
      </c>
      <c r="K13" s="5" t="s">
        <v>896</v>
      </c>
      <c r="L13" s="7" t="s">
        <v>49</v>
      </c>
      <c r="M13" s="7" t="s">
        <v>50</v>
      </c>
      <c r="N13" s="7" t="s">
        <v>51</v>
      </c>
      <c r="O13" s="7" t="s">
        <v>35</v>
      </c>
      <c r="P13" s="9">
        <v>45853.67441384259</v>
      </c>
      <c r="Q13" s="9">
        <v>45853.67441384259</v>
      </c>
    </row>
    <row r="14" ht="15.75" customHeight="1">
      <c r="A14" s="5" t="str">
        <f>HYPERLINK("https://portal.hubmapconsortium.org/browse/sample/3fa1932296953655051f1f5865ad3cdd", "HBM687.NZSP.353")</f>
        <v>HBM687.NZSP.353</v>
      </c>
      <c r="B14" s="7" t="s">
        <v>75</v>
      </c>
      <c r="C14" s="7" t="s">
        <v>79</v>
      </c>
      <c r="D14" s="5" t="str">
        <f t="shared" si="2"/>
        <v>HBM972.ZVMR.866</v>
      </c>
      <c r="E14" s="7" t="s">
        <v>909</v>
      </c>
      <c r="F14" s="7" t="s">
        <v>907</v>
      </c>
      <c r="G14" s="7" t="s">
        <v>28</v>
      </c>
      <c r="H14" s="7" t="s">
        <v>29</v>
      </c>
      <c r="I14" s="7" t="s">
        <v>30</v>
      </c>
      <c r="J14" s="5" t="b">
        <v>0</v>
      </c>
      <c r="K14" s="5" t="s">
        <v>896</v>
      </c>
      <c r="L14" s="7" t="s">
        <v>49</v>
      </c>
      <c r="M14" s="7" t="s">
        <v>50</v>
      </c>
      <c r="N14" s="7" t="s">
        <v>51</v>
      </c>
      <c r="O14" s="7" t="s">
        <v>35</v>
      </c>
      <c r="P14" s="9">
        <v>45853.66268275463</v>
      </c>
      <c r="Q14" s="9">
        <v>45853.66268275463</v>
      </c>
    </row>
    <row r="15" ht="15.75" customHeight="1">
      <c r="A15" s="5" t="str">
        <f>HYPERLINK("https://portal.hubmapconsortium.org/browse/sample/32c7714b2e98d7d4e0de6760919ba0d9", "HBM329.QXZW.545")</f>
        <v>HBM329.QXZW.545</v>
      </c>
      <c r="B15" s="7" t="s">
        <v>75</v>
      </c>
      <c r="C15" s="7" t="s">
        <v>79</v>
      </c>
      <c r="D15" s="5" t="str">
        <f t="shared" si="2"/>
        <v>HBM972.ZVMR.866</v>
      </c>
      <c r="E15" s="7" t="s">
        <v>910</v>
      </c>
      <c r="F15" s="7" t="s">
        <v>907</v>
      </c>
      <c r="G15" s="7" t="s">
        <v>28</v>
      </c>
      <c r="H15" s="7" t="s">
        <v>29</v>
      </c>
      <c r="I15" s="7" t="s">
        <v>30</v>
      </c>
      <c r="J15" s="5" t="b">
        <v>0</v>
      </c>
      <c r="K15" s="5" t="s">
        <v>896</v>
      </c>
      <c r="L15" s="7" t="s">
        <v>49</v>
      </c>
      <c r="M15" s="7" t="s">
        <v>50</v>
      </c>
      <c r="N15" s="7" t="s">
        <v>51</v>
      </c>
      <c r="O15" s="7" t="s">
        <v>35</v>
      </c>
      <c r="P15" s="9">
        <v>45853.67442914352</v>
      </c>
      <c r="Q15" s="9">
        <v>45853.67442914352</v>
      </c>
    </row>
    <row r="16" ht="15.75" customHeight="1">
      <c r="A16" s="5" t="str">
        <f>HYPERLINK("https://portal.hubmapconsortium.org/browse/sample/07372d0b5e844352aab09b63ffc30c0f", "HBM724.XQHT.833")</f>
        <v>HBM724.XQHT.833</v>
      </c>
      <c r="B16" s="7" t="s">
        <v>75</v>
      </c>
      <c r="C16" s="7" t="s">
        <v>79</v>
      </c>
      <c r="D16" s="5" t="str">
        <f t="shared" si="2"/>
        <v>HBM972.ZVMR.866</v>
      </c>
      <c r="E16" s="7" t="s">
        <v>911</v>
      </c>
      <c r="F16" s="7" t="s">
        <v>907</v>
      </c>
      <c r="G16" s="7" t="s">
        <v>28</v>
      </c>
      <c r="H16" s="7" t="s">
        <v>29</v>
      </c>
      <c r="I16" s="7" t="s">
        <v>30</v>
      </c>
      <c r="J16" s="5" t="b">
        <v>0</v>
      </c>
      <c r="K16" s="5" t="s">
        <v>896</v>
      </c>
      <c r="L16" s="7" t="s">
        <v>49</v>
      </c>
      <c r="M16" s="7" t="s">
        <v>50</v>
      </c>
      <c r="N16" s="7" t="s">
        <v>51</v>
      </c>
      <c r="O16" s="7" t="s">
        <v>35</v>
      </c>
      <c r="P16" s="9">
        <v>45853.66269626158</v>
      </c>
      <c r="Q16" s="9">
        <v>45853.66269626158</v>
      </c>
    </row>
    <row r="17" ht="15.75" customHeight="1">
      <c r="A17" s="5" t="str">
        <f>HYPERLINK("https://portal.hubmapconsortium.org/browse/sample/91ecf4f7a1c4ecc1322f27e3cb3be538", "HBM738.WJKG.622")</f>
        <v>HBM738.WJKG.622</v>
      </c>
      <c r="B17" s="7" t="s">
        <v>75</v>
      </c>
      <c r="C17" s="7" t="s">
        <v>79</v>
      </c>
      <c r="D17" s="5" t="str">
        <f t="shared" si="2"/>
        <v>HBM972.ZVMR.866</v>
      </c>
      <c r="E17" s="7" t="s">
        <v>912</v>
      </c>
      <c r="F17" s="7" t="s">
        <v>907</v>
      </c>
      <c r="G17" s="7" t="s">
        <v>28</v>
      </c>
      <c r="H17" s="7" t="s">
        <v>29</v>
      </c>
      <c r="I17" s="7" t="s">
        <v>30</v>
      </c>
      <c r="J17" s="5" t="b">
        <v>0</v>
      </c>
      <c r="K17" s="5" t="s">
        <v>896</v>
      </c>
      <c r="L17" s="7" t="s">
        <v>49</v>
      </c>
      <c r="M17" s="7" t="s">
        <v>50</v>
      </c>
      <c r="N17" s="7" t="s">
        <v>51</v>
      </c>
      <c r="O17" s="7" t="s">
        <v>35</v>
      </c>
      <c r="P17" s="9">
        <v>45848.87843403935</v>
      </c>
      <c r="Q17" s="9">
        <v>45848.87843403935</v>
      </c>
    </row>
    <row r="18" ht="15.75" customHeight="1">
      <c r="A18" s="5" t="str">
        <f>HYPERLINK("https://portal.hubmapconsortium.org/browse/sample/437385de8ac36c5abe2564c79c949604", "HBM226.WQCS.966")</f>
        <v>HBM226.WQCS.966</v>
      </c>
      <c r="B18" s="7" t="s">
        <v>75</v>
      </c>
      <c r="C18" s="7" t="s">
        <v>79</v>
      </c>
      <c r="D18" s="5" t="str">
        <f t="shared" si="2"/>
        <v>HBM972.ZVMR.866</v>
      </c>
      <c r="E18" s="7" t="s">
        <v>913</v>
      </c>
      <c r="F18" s="7" t="s">
        <v>907</v>
      </c>
      <c r="G18" s="7" t="s">
        <v>28</v>
      </c>
      <c r="H18" s="7" t="s">
        <v>29</v>
      </c>
      <c r="I18" s="7" t="s">
        <v>30</v>
      </c>
      <c r="J18" s="5" t="b">
        <v>0</v>
      </c>
      <c r="K18" s="5" t="s">
        <v>896</v>
      </c>
      <c r="L18" s="7" t="s">
        <v>49</v>
      </c>
      <c r="M18" s="7" t="s">
        <v>50</v>
      </c>
      <c r="N18" s="7" t="s">
        <v>51</v>
      </c>
      <c r="O18" s="7" t="s">
        <v>35</v>
      </c>
      <c r="P18" s="9">
        <v>45853.66271199074</v>
      </c>
      <c r="Q18" s="9">
        <v>45853.66271199074</v>
      </c>
    </row>
    <row r="19" ht="15.75" customHeight="1">
      <c r="A19" s="5" t="str">
        <f>HYPERLINK("https://portal.hubmapconsortium.org/browse/sample/81e5a7da28e014147f31cb90a52fb64e", "HBM389.GBKS.327")</f>
        <v>HBM389.GBKS.327</v>
      </c>
      <c r="B19" s="7" t="s">
        <v>75</v>
      </c>
      <c r="C19" s="7" t="s">
        <v>79</v>
      </c>
      <c r="D19" s="5" t="str">
        <f t="shared" si="2"/>
        <v>HBM972.ZVMR.866</v>
      </c>
      <c r="E19" s="7" t="s">
        <v>914</v>
      </c>
      <c r="F19" s="7" t="s">
        <v>907</v>
      </c>
      <c r="G19" s="7" t="s">
        <v>28</v>
      </c>
      <c r="H19" s="7" t="s">
        <v>29</v>
      </c>
      <c r="I19" s="7" t="s">
        <v>30</v>
      </c>
      <c r="J19" s="5" t="b">
        <v>0</v>
      </c>
      <c r="K19" s="5" t="s">
        <v>896</v>
      </c>
      <c r="L19" s="7" t="s">
        <v>49</v>
      </c>
      <c r="M19" s="7" t="s">
        <v>50</v>
      </c>
      <c r="N19" s="7" t="s">
        <v>51</v>
      </c>
      <c r="O19" s="7" t="s">
        <v>35</v>
      </c>
      <c r="P19" s="9">
        <v>45835.57981396991</v>
      </c>
      <c r="Q19" s="9">
        <v>45835.57981396991</v>
      </c>
    </row>
    <row r="20" ht="15.75" customHeight="1">
      <c r="A20" s="5" t="str">
        <f>HYPERLINK("https://portal.hubmapconsortium.org/browse/sample/82f18a05a077d002bfdb2adfe876b4d0", "HBM459.JXDJ.952")</f>
        <v>HBM459.JXDJ.952</v>
      </c>
      <c r="B20" s="7" t="s">
        <v>75</v>
      </c>
      <c r="C20" s="7" t="s">
        <v>79</v>
      </c>
      <c r="D20" s="5" t="str">
        <f t="shared" si="2"/>
        <v>HBM972.ZVMR.866</v>
      </c>
      <c r="E20" s="7" t="s">
        <v>915</v>
      </c>
      <c r="F20" s="7" t="s">
        <v>907</v>
      </c>
      <c r="G20" s="7" t="s">
        <v>28</v>
      </c>
      <c r="H20" s="7" t="s">
        <v>29</v>
      </c>
      <c r="I20" s="7" t="s">
        <v>30</v>
      </c>
      <c r="J20" s="5" t="b">
        <v>0</v>
      </c>
      <c r="K20" s="5" t="s">
        <v>896</v>
      </c>
      <c r="L20" s="7" t="s">
        <v>49</v>
      </c>
      <c r="M20" s="7" t="s">
        <v>50</v>
      </c>
      <c r="N20" s="7" t="s">
        <v>51</v>
      </c>
      <c r="O20" s="7" t="s">
        <v>35</v>
      </c>
      <c r="P20" s="9">
        <v>45848.87845883102</v>
      </c>
      <c r="Q20" s="9">
        <v>45848.87845883102</v>
      </c>
    </row>
    <row r="21" ht="15.75" customHeight="1">
      <c r="A21" s="5" t="str">
        <f>HYPERLINK("https://portal.hubmapconsortium.org/browse/sample/1800e1c91f4ed9521b1e2def56aeb283", "HBM273.PVCG.424")</f>
        <v>HBM273.PVCG.424</v>
      </c>
      <c r="B21" s="7" t="s">
        <v>75</v>
      </c>
      <c r="C21" s="7" t="s">
        <v>79</v>
      </c>
      <c r="D21" s="5" t="str">
        <f t="shared" si="2"/>
        <v>HBM972.ZVMR.866</v>
      </c>
      <c r="E21" s="7" t="s">
        <v>916</v>
      </c>
      <c r="F21" s="7" t="s">
        <v>907</v>
      </c>
      <c r="G21" s="7" t="s">
        <v>28</v>
      </c>
      <c r="H21" s="7" t="s">
        <v>29</v>
      </c>
      <c r="I21" s="7" t="s">
        <v>30</v>
      </c>
      <c r="J21" s="5" t="b">
        <v>0</v>
      </c>
      <c r="K21" s="5" t="s">
        <v>896</v>
      </c>
      <c r="L21" s="7" t="s">
        <v>49</v>
      </c>
      <c r="M21" s="7" t="s">
        <v>50</v>
      </c>
      <c r="N21" s="7" t="s">
        <v>51</v>
      </c>
      <c r="O21" s="7" t="s">
        <v>35</v>
      </c>
      <c r="P21" s="9">
        <v>45835.57983168981</v>
      </c>
      <c r="Q21" s="9">
        <v>45835.57983168981</v>
      </c>
    </row>
    <row r="22" ht="15.75" customHeight="1">
      <c r="A22" s="5" t="str">
        <f>HYPERLINK("https://portal.hubmapconsortium.org/browse/sample/2692a22a5a22b58832a802b8fa1737e6", "HBM885.GQNX.934")</f>
        <v>HBM885.GQNX.934</v>
      </c>
      <c r="B22" s="7" t="s">
        <v>217</v>
      </c>
      <c r="C22" s="7" t="s">
        <v>218</v>
      </c>
      <c r="D22" s="5" t="str">
        <f>HYPERLINK("https://portal.hubmapconsortium.org/browse/sample/c02b6ebeab4d35ab4834f7b2cbb1bd06", "HBM546.SGVC.249")</f>
        <v>HBM546.SGVC.249</v>
      </c>
      <c r="E22" s="7" t="s">
        <v>917</v>
      </c>
      <c r="F22" s="7" t="s">
        <v>918</v>
      </c>
      <c r="G22" s="7" t="s">
        <v>28</v>
      </c>
      <c r="H22" s="7" t="s">
        <v>29</v>
      </c>
      <c r="I22" s="7" t="s">
        <v>30</v>
      </c>
      <c r="J22" s="5" t="b">
        <v>0</v>
      </c>
      <c r="K22" s="5" t="s">
        <v>896</v>
      </c>
      <c r="L22" s="7" t="s">
        <v>49</v>
      </c>
      <c r="M22" s="7" t="s">
        <v>50</v>
      </c>
      <c r="N22" s="7" t="s">
        <v>51</v>
      </c>
      <c r="O22" s="7" t="s">
        <v>35</v>
      </c>
      <c r="P22" s="9">
        <v>45848.87848832176</v>
      </c>
      <c r="Q22" s="9">
        <v>45848.87848832176</v>
      </c>
    </row>
    <row r="23" ht="15.75" customHeight="1">
      <c r="A23" s="5" t="str">
        <f>HYPERLINK("https://portal.hubmapconsortium.org/browse/sample/42d95e89e05cd9a7be9f7bd3edb8d09a", "HBM922.MJLH.566")</f>
        <v>HBM922.MJLH.566</v>
      </c>
      <c r="B23" s="7" t="s">
        <v>217</v>
      </c>
      <c r="C23" s="7" t="s">
        <v>221</v>
      </c>
      <c r="D23" s="5" t="str">
        <f t="shared" ref="D23:D31" si="3">HYPERLINK("https://portal.hubmapconsortium.org/browse/sample/bf6797891187c90525e7e2a4778f58a8", "HBM559.ZVDB.249")</f>
        <v>HBM559.ZVDB.249</v>
      </c>
      <c r="E23" s="7" t="s">
        <v>919</v>
      </c>
      <c r="F23" s="7" t="s">
        <v>920</v>
      </c>
      <c r="G23" s="7" t="s">
        <v>28</v>
      </c>
      <c r="H23" s="7" t="s">
        <v>29</v>
      </c>
      <c r="I23" s="7" t="s">
        <v>30</v>
      </c>
      <c r="J23" s="5" t="b">
        <v>0</v>
      </c>
      <c r="K23" s="5" t="s">
        <v>896</v>
      </c>
      <c r="L23" s="7" t="s">
        <v>49</v>
      </c>
      <c r="M23" s="7" t="s">
        <v>50</v>
      </c>
      <c r="N23" s="7" t="s">
        <v>51</v>
      </c>
      <c r="O23" s="7" t="s">
        <v>35</v>
      </c>
      <c r="P23" s="9">
        <v>45853.67445819444</v>
      </c>
      <c r="Q23" s="9">
        <v>45853.67445819444</v>
      </c>
    </row>
    <row r="24" ht="15.75" customHeight="1">
      <c r="A24" s="5" t="str">
        <f>HYPERLINK("https://portal.hubmapconsortium.org/browse/sample/e82745887a2b238bff5712e63ded8161", "HBM443.BZHM.653")</f>
        <v>HBM443.BZHM.653</v>
      </c>
      <c r="B24" s="7" t="s">
        <v>217</v>
      </c>
      <c r="C24" s="7" t="s">
        <v>221</v>
      </c>
      <c r="D24" s="5" t="str">
        <f t="shared" si="3"/>
        <v>HBM559.ZVDB.249</v>
      </c>
      <c r="E24" s="7" t="s">
        <v>921</v>
      </c>
      <c r="F24" s="7" t="s">
        <v>918</v>
      </c>
      <c r="G24" s="7" t="s">
        <v>28</v>
      </c>
      <c r="H24" s="7" t="s">
        <v>29</v>
      </c>
      <c r="I24" s="7" t="s">
        <v>30</v>
      </c>
      <c r="J24" s="5" t="b">
        <v>0</v>
      </c>
      <c r="K24" s="5" t="s">
        <v>896</v>
      </c>
      <c r="L24" s="7" t="s">
        <v>49</v>
      </c>
      <c r="M24" s="7" t="s">
        <v>50</v>
      </c>
      <c r="N24" s="7" t="s">
        <v>51</v>
      </c>
      <c r="O24" s="7" t="s">
        <v>35</v>
      </c>
      <c r="P24" s="9">
        <v>45835.57985060185</v>
      </c>
      <c r="Q24" s="9">
        <v>45835.57985060185</v>
      </c>
    </row>
    <row r="25" ht="15.75" customHeight="1">
      <c r="A25" s="5" t="str">
        <f>HYPERLINK("https://portal.hubmapconsortium.org/browse/sample/eba383121509136758f66afe17219208", "HBM943.NPRP.986")</f>
        <v>HBM943.NPRP.986</v>
      </c>
      <c r="B25" s="7" t="s">
        <v>217</v>
      </c>
      <c r="C25" s="7" t="s">
        <v>221</v>
      </c>
      <c r="D25" s="5" t="str">
        <f t="shared" si="3"/>
        <v>HBM559.ZVDB.249</v>
      </c>
      <c r="E25" s="7" t="s">
        <v>922</v>
      </c>
      <c r="F25" s="7" t="s">
        <v>918</v>
      </c>
      <c r="G25" s="7" t="s">
        <v>28</v>
      </c>
      <c r="H25" s="7" t="s">
        <v>29</v>
      </c>
      <c r="I25" s="7" t="s">
        <v>30</v>
      </c>
      <c r="J25" s="5" t="b">
        <v>0</v>
      </c>
      <c r="K25" s="5" t="s">
        <v>896</v>
      </c>
      <c r="L25" s="7" t="s">
        <v>49</v>
      </c>
      <c r="M25" s="7" t="s">
        <v>50</v>
      </c>
      <c r="N25" s="7" t="s">
        <v>51</v>
      </c>
      <c r="O25" s="7" t="s">
        <v>35</v>
      </c>
      <c r="P25" s="9">
        <v>45848.87852872685</v>
      </c>
      <c r="Q25" s="9">
        <v>45848.87852872685</v>
      </c>
    </row>
    <row r="26" ht="15.75" customHeight="1">
      <c r="A26" s="5" t="str">
        <f>HYPERLINK("https://portal.hubmapconsortium.org/browse/sample/786504864bfaae8d235ca2865424b324", "HBM282.FJNQ.845")</f>
        <v>HBM282.FJNQ.845</v>
      </c>
      <c r="B26" s="7" t="s">
        <v>217</v>
      </c>
      <c r="C26" s="7" t="s">
        <v>221</v>
      </c>
      <c r="D26" s="5" t="str">
        <f t="shared" si="3"/>
        <v>HBM559.ZVDB.249</v>
      </c>
      <c r="E26" s="7" t="s">
        <v>923</v>
      </c>
      <c r="F26" s="7" t="s">
        <v>918</v>
      </c>
      <c r="G26" s="7" t="s">
        <v>28</v>
      </c>
      <c r="H26" s="7" t="s">
        <v>29</v>
      </c>
      <c r="I26" s="7" t="s">
        <v>30</v>
      </c>
      <c r="J26" s="5" t="b">
        <v>0</v>
      </c>
      <c r="K26" s="5" t="s">
        <v>896</v>
      </c>
      <c r="L26" s="7" t="s">
        <v>49</v>
      </c>
      <c r="M26" s="7" t="s">
        <v>50</v>
      </c>
      <c r="N26" s="7" t="s">
        <v>51</v>
      </c>
      <c r="O26" s="7" t="s">
        <v>35</v>
      </c>
      <c r="P26" s="9">
        <v>45853.6744859375</v>
      </c>
      <c r="Q26" s="9">
        <v>45853.6744859375</v>
      </c>
    </row>
    <row r="27" ht="15.75" customHeight="1">
      <c r="A27" s="5" t="str">
        <f>HYPERLINK("https://portal.hubmapconsortium.org/browse/sample/a4a5477cf8d75e058bc7cbc3ee041b3d", "HBM852.DZFW.723")</f>
        <v>HBM852.DZFW.723</v>
      </c>
      <c r="B27" s="7" t="s">
        <v>217</v>
      </c>
      <c r="C27" s="7" t="s">
        <v>221</v>
      </c>
      <c r="D27" s="5" t="str">
        <f t="shared" si="3"/>
        <v>HBM559.ZVDB.249</v>
      </c>
      <c r="E27" s="7" t="s">
        <v>924</v>
      </c>
      <c r="F27" s="7" t="s">
        <v>920</v>
      </c>
      <c r="G27" s="7" t="s">
        <v>28</v>
      </c>
      <c r="H27" s="7" t="s">
        <v>29</v>
      </c>
      <c r="I27" s="7" t="s">
        <v>30</v>
      </c>
      <c r="J27" s="5" t="b">
        <v>0</v>
      </c>
      <c r="K27" s="5" t="s">
        <v>896</v>
      </c>
      <c r="L27" s="7" t="s">
        <v>49</v>
      </c>
      <c r="M27" s="7" t="s">
        <v>50</v>
      </c>
      <c r="N27" s="7" t="s">
        <v>51</v>
      </c>
      <c r="O27" s="7" t="s">
        <v>35</v>
      </c>
      <c r="P27" s="9">
        <v>45853.6627325</v>
      </c>
      <c r="Q27" s="9">
        <v>45853.6627325</v>
      </c>
    </row>
    <row r="28" ht="15.75" customHeight="1">
      <c r="A28" s="5" t="str">
        <f>HYPERLINK("https://portal.hubmapconsortium.org/browse/sample/e38b9e0bba508500f17d2b3f0ff6e669", "HBM825.HNBN.789")</f>
        <v>HBM825.HNBN.789</v>
      </c>
      <c r="B28" s="7" t="s">
        <v>217</v>
      </c>
      <c r="C28" s="7" t="s">
        <v>221</v>
      </c>
      <c r="D28" s="5" t="str">
        <f t="shared" si="3"/>
        <v>HBM559.ZVDB.249</v>
      </c>
      <c r="E28" s="7" t="s">
        <v>925</v>
      </c>
      <c r="F28" s="7" t="s">
        <v>918</v>
      </c>
      <c r="G28" s="7" t="s">
        <v>28</v>
      </c>
      <c r="H28" s="7" t="s">
        <v>29</v>
      </c>
      <c r="I28" s="7" t="s">
        <v>30</v>
      </c>
      <c r="J28" s="5" t="b">
        <v>0</v>
      </c>
      <c r="K28" s="5" t="s">
        <v>896</v>
      </c>
      <c r="L28" s="7" t="s">
        <v>49</v>
      </c>
      <c r="M28" s="7" t="s">
        <v>50</v>
      </c>
      <c r="N28" s="7" t="s">
        <v>51</v>
      </c>
      <c r="O28" s="7" t="s">
        <v>35</v>
      </c>
      <c r="P28" s="9">
        <v>45835.57987054398</v>
      </c>
      <c r="Q28" s="9">
        <v>45835.57987054398</v>
      </c>
    </row>
    <row r="29" ht="15.75" customHeight="1">
      <c r="A29" s="5" t="str">
        <f>HYPERLINK("https://portal.hubmapconsortium.org/browse/sample/946fa6cea23cc9e46b5dcfc27f5bbdd6", "HBM754.KKGF.242")</f>
        <v>HBM754.KKGF.242</v>
      </c>
      <c r="B29" s="7" t="s">
        <v>217</v>
      </c>
      <c r="C29" s="7" t="s">
        <v>221</v>
      </c>
      <c r="D29" s="5" t="str">
        <f t="shared" si="3"/>
        <v>HBM559.ZVDB.249</v>
      </c>
      <c r="E29" s="7" t="s">
        <v>926</v>
      </c>
      <c r="F29" s="7" t="s">
        <v>918</v>
      </c>
      <c r="G29" s="7" t="s">
        <v>28</v>
      </c>
      <c r="H29" s="7" t="s">
        <v>29</v>
      </c>
      <c r="I29" s="7" t="s">
        <v>30</v>
      </c>
      <c r="J29" s="5" t="b">
        <v>0</v>
      </c>
      <c r="K29" s="5" t="s">
        <v>896</v>
      </c>
      <c r="L29" s="7" t="s">
        <v>49</v>
      </c>
      <c r="M29" s="7" t="s">
        <v>50</v>
      </c>
      <c r="N29" s="7" t="s">
        <v>51</v>
      </c>
      <c r="O29" s="7" t="s">
        <v>35</v>
      </c>
      <c r="P29" s="9">
        <v>45853.66275741898</v>
      </c>
      <c r="Q29" s="9">
        <v>45853.66275741898</v>
      </c>
    </row>
    <row r="30" ht="15.75" customHeight="1">
      <c r="A30" s="5" t="str">
        <f>HYPERLINK("https://portal.hubmapconsortium.org/browse/sample/f1e9ed7d09406cd62ed5ed40e34467eb", "HBM837.GQQN.245")</f>
        <v>HBM837.GQQN.245</v>
      </c>
      <c r="B30" s="7" t="s">
        <v>217</v>
      </c>
      <c r="C30" s="7" t="s">
        <v>221</v>
      </c>
      <c r="D30" s="5" t="str">
        <f t="shared" si="3"/>
        <v>HBM559.ZVDB.249</v>
      </c>
      <c r="E30" s="7" t="s">
        <v>927</v>
      </c>
      <c r="F30" s="7" t="s">
        <v>918</v>
      </c>
      <c r="G30" s="7" t="s">
        <v>28</v>
      </c>
      <c r="H30" s="7" t="s">
        <v>29</v>
      </c>
      <c r="I30" s="7" t="s">
        <v>30</v>
      </c>
      <c r="J30" s="5" t="b">
        <v>0</v>
      </c>
      <c r="K30" s="5" t="s">
        <v>896</v>
      </c>
      <c r="L30" s="7" t="s">
        <v>49</v>
      </c>
      <c r="M30" s="7" t="s">
        <v>50</v>
      </c>
      <c r="N30" s="7" t="s">
        <v>51</v>
      </c>
      <c r="O30" s="7" t="s">
        <v>35</v>
      </c>
      <c r="P30" s="9">
        <v>45848.87858084491</v>
      </c>
      <c r="Q30" s="9">
        <v>45848.87858084491</v>
      </c>
    </row>
    <row r="31" ht="15.75" customHeight="1">
      <c r="A31" s="5" t="str">
        <f>HYPERLINK("https://portal.hubmapconsortium.org/browse/sample/c7419104ca2f54b29a631c33f804740f", "HBM782.PNRH.494")</f>
        <v>HBM782.PNRH.494</v>
      </c>
      <c r="B31" s="7" t="s">
        <v>217</v>
      </c>
      <c r="C31" s="7" t="s">
        <v>221</v>
      </c>
      <c r="D31" s="5" t="str">
        <f t="shared" si="3"/>
        <v>HBM559.ZVDB.249</v>
      </c>
      <c r="E31" s="7" t="s">
        <v>928</v>
      </c>
      <c r="F31" s="7" t="s">
        <v>918</v>
      </c>
      <c r="G31" s="7" t="s">
        <v>28</v>
      </c>
      <c r="H31" s="7" t="s">
        <v>29</v>
      </c>
      <c r="I31" s="7" t="s">
        <v>30</v>
      </c>
      <c r="J31" s="5" t="b">
        <v>0</v>
      </c>
      <c r="K31" s="5" t="s">
        <v>896</v>
      </c>
      <c r="L31" s="7" t="s">
        <v>49</v>
      </c>
      <c r="M31" s="7" t="s">
        <v>50</v>
      </c>
      <c r="N31" s="7" t="s">
        <v>51</v>
      </c>
      <c r="O31" s="7" t="s">
        <v>35</v>
      </c>
      <c r="P31" s="9">
        <v>45848.87864012732</v>
      </c>
      <c r="Q31" s="9">
        <v>45848.87864012732</v>
      </c>
    </row>
    <row r="32" ht="15.75" customHeight="1">
      <c r="A32" s="5" t="str">
        <f>HYPERLINK("https://portal.hubmapconsortium.org/browse/sample/44a8bb58fb8faf5b3e33245c03da5e20", "HBM358.MRLP.538")</f>
        <v>HBM358.MRLP.538</v>
      </c>
      <c r="B32" s="7" t="s">
        <v>246</v>
      </c>
      <c r="C32" s="7" t="s">
        <v>247</v>
      </c>
      <c r="D32" s="5" t="str">
        <f>HYPERLINK("https://portal.hubmapconsortium.org/browse/sample/3c3158470b8f6dedc828cbcf1d0c20df", "HBM665.TTZV.976")</f>
        <v>HBM665.TTZV.976</v>
      </c>
      <c r="E32" s="7" t="s">
        <v>929</v>
      </c>
      <c r="F32" s="7" t="s">
        <v>930</v>
      </c>
      <c r="G32" s="7" t="s">
        <v>28</v>
      </c>
      <c r="H32" s="7" t="s">
        <v>29</v>
      </c>
      <c r="I32" s="7" t="s">
        <v>30</v>
      </c>
      <c r="J32" s="5" t="b">
        <v>0</v>
      </c>
      <c r="K32" s="5" t="s">
        <v>896</v>
      </c>
      <c r="L32" s="7" t="s">
        <v>49</v>
      </c>
      <c r="M32" s="7" t="s">
        <v>50</v>
      </c>
      <c r="N32" s="7" t="s">
        <v>51</v>
      </c>
      <c r="O32" s="7" t="s">
        <v>35</v>
      </c>
      <c r="P32" s="9">
        <v>45835.5799105787</v>
      </c>
      <c r="Q32" s="9">
        <v>45835.5799105787</v>
      </c>
    </row>
    <row r="33" ht="15.75" customHeight="1">
      <c r="A33" s="5" t="str">
        <f>HYPERLINK("https://portal.hubmapconsortium.org/browse/sample/496edfd13051b5e86137adeb2c2e657b", "HBM629.NFDQ.824")</f>
        <v>HBM629.NFDQ.824</v>
      </c>
      <c r="B33" s="7" t="s">
        <v>246</v>
      </c>
      <c r="C33" s="7" t="s">
        <v>250</v>
      </c>
      <c r="D33" s="5" t="str">
        <f t="shared" ref="D33:D41" si="4">HYPERLINK("https://portal.hubmapconsortium.org/browse/sample/647bb669b1302c49cada4274553543e1", "HBM436.JQXP.677")</f>
        <v>HBM436.JQXP.677</v>
      </c>
      <c r="E33" s="7" t="s">
        <v>931</v>
      </c>
      <c r="F33" s="7" t="s">
        <v>930</v>
      </c>
      <c r="G33" s="7" t="s">
        <v>28</v>
      </c>
      <c r="H33" s="7" t="s">
        <v>29</v>
      </c>
      <c r="I33" s="7" t="s">
        <v>30</v>
      </c>
      <c r="J33" s="5" t="b">
        <v>0</v>
      </c>
      <c r="K33" s="5" t="s">
        <v>896</v>
      </c>
      <c r="L33" s="7" t="s">
        <v>49</v>
      </c>
      <c r="M33" s="7" t="s">
        <v>50</v>
      </c>
      <c r="N33" s="7" t="s">
        <v>51</v>
      </c>
      <c r="O33" s="7" t="s">
        <v>35</v>
      </c>
      <c r="P33" s="9">
        <v>45853.6628003125</v>
      </c>
      <c r="Q33" s="9">
        <v>45853.6628003125</v>
      </c>
    </row>
    <row r="34" ht="15.75" customHeight="1">
      <c r="A34" s="5" t="str">
        <f>HYPERLINK("https://portal.hubmapconsortium.org/browse/sample/0292edf5d182b157b832344aabad36e2", "HBM253.XCTV.735")</f>
        <v>HBM253.XCTV.735</v>
      </c>
      <c r="B34" s="7" t="s">
        <v>246</v>
      </c>
      <c r="C34" s="7" t="s">
        <v>250</v>
      </c>
      <c r="D34" s="5" t="str">
        <f t="shared" si="4"/>
        <v>HBM436.JQXP.677</v>
      </c>
      <c r="E34" s="7" t="s">
        <v>932</v>
      </c>
      <c r="F34" s="7" t="s">
        <v>930</v>
      </c>
      <c r="G34" s="7" t="s">
        <v>28</v>
      </c>
      <c r="H34" s="7" t="s">
        <v>29</v>
      </c>
      <c r="I34" s="7" t="s">
        <v>30</v>
      </c>
      <c r="J34" s="5" t="b">
        <v>0</v>
      </c>
      <c r="K34" s="5" t="s">
        <v>896</v>
      </c>
      <c r="L34" s="7" t="s">
        <v>49</v>
      </c>
      <c r="M34" s="7" t="s">
        <v>50</v>
      </c>
      <c r="N34" s="7" t="s">
        <v>51</v>
      </c>
      <c r="O34" s="7" t="s">
        <v>35</v>
      </c>
      <c r="P34" s="9">
        <v>45848.87872174769</v>
      </c>
      <c r="Q34" s="9">
        <v>45848.87872174769</v>
      </c>
    </row>
    <row r="35" ht="15.75" customHeight="1">
      <c r="A35" s="5" t="str">
        <f>HYPERLINK("https://portal.hubmapconsortium.org/browse/sample/0e84c6738c67b930475a3a8d7ab34214", "HBM285.MMVZ.675")</f>
        <v>HBM285.MMVZ.675</v>
      </c>
      <c r="B35" s="7" t="s">
        <v>246</v>
      </c>
      <c r="C35" s="7" t="s">
        <v>250</v>
      </c>
      <c r="D35" s="5" t="str">
        <f t="shared" si="4"/>
        <v>HBM436.JQXP.677</v>
      </c>
      <c r="E35" s="7" t="s">
        <v>933</v>
      </c>
      <c r="F35" s="7" t="s">
        <v>930</v>
      </c>
      <c r="G35" s="7" t="s">
        <v>28</v>
      </c>
      <c r="H35" s="7" t="s">
        <v>29</v>
      </c>
      <c r="I35" s="7" t="s">
        <v>30</v>
      </c>
      <c r="J35" s="5" t="b">
        <v>0</v>
      </c>
      <c r="K35" s="5" t="s">
        <v>896</v>
      </c>
      <c r="L35" s="7" t="s">
        <v>49</v>
      </c>
      <c r="M35" s="7" t="s">
        <v>50</v>
      </c>
      <c r="N35" s="7" t="s">
        <v>51</v>
      </c>
      <c r="O35" s="7" t="s">
        <v>35</v>
      </c>
      <c r="P35" s="9">
        <v>45835.57999592592</v>
      </c>
      <c r="Q35" s="9">
        <v>45835.57999592592</v>
      </c>
    </row>
    <row r="36" ht="15.75" customHeight="1">
      <c r="A36" s="5" t="str">
        <f>HYPERLINK("https://portal.hubmapconsortium.org/browse/sample/5e31707ffc5291e72de28f268520fa98", "HBM574.VNPP.939")</f>
        <v>HBM574.VNPP.939</v>
      </c>
      <c r="B36" s="7" t="s">
        <v>246</v>
      </c>
      <c r="C36" s="7" t="s">
        <v>250</v>
      </c>
      <c r="D36" s="5" t="str">
        <f t="shared" si="4"/>
        <v>HBM436.JQXP.677</v>
      </c>
      <c r="E36" s="7" t="s">
        <v>934</v>
      </c>
      <c r="F36" s="7" t="s">
        <v>930</v>
      </c>
      <c r="G36" s="7" t="s">
        <v>28</v>
      </c>
      <c r="H36" s="7" t="s">
        <v>29</v>
      </c>
      <c r="I36" s="7" t="s">
        <v>30</v>
      </c>
      <c r="J36" s="5" t="b">
        <v>0</v>
      </c>
      <c r="K36" s="5" t="s">
        <v>896</v>
      </c>
      <c r="L36" s="7" t="s">
        <v>49</v>
      </c>
      <c r="M36" s="7" t="s">
        <v>50</v>
      </c>
      <c r="N36" s="7" t="s">
        <v>51</v>
      </c>
      <c r="O36" s="7" t="s">
        <v>35</v>
      </c>
      <c r="P36" s="9">
        <v>45853.67452561342</v>
      </c>
      <c r="Q36" s="9">
        <v>45853.67452561342</v>
      </c>
    </row>
    <row r="37" ht="15.75" customHeight="1">
      <c r="A37" s="5" t="str">
        <f>HYPERLINK("https://portal.hubmapconsortium.org/browse/sample/6e9e7617183ae24e7029486912635ba3", "HBM793.ZRCF.689")</f>
        <v>HBM793.ZRCF.689</v>
      </c>
      <c r="B37" s="7" t="s">
        <v>246</v>
      </c>
      <c r="C37" s="7" t="s">
        <v>250</v>
      </c>
      <c r="D37" s="5" t="str">
        <f t="shared" si="4"/>
        <v>HBM436.JQXP.677</v>
      </c>
      <c r="E37" s="7" t="s">
        <v>935</v>
      </c>
      <c r="F37" s="7" t="s">
        <v>930</v>
      </c>
      <c r="G37" s="7" t="s">
        <v>28</v>
      </c>
      <c r="H37" s="7" t="s">
        <v>29</v>
      </c>
      <c r="I37" s="7" t="s">
        <v>30</v>
      </c>
      <c r="J37" s="5" t="b">
        <v>0</v>
      </c>
      <c r="K37" s="5" t="s">
        <v>896</v>
      </c>
      <c r="L37" s="7" t="s">
        <v>49</v>
      </c>
      <c r="M37" s="7" t="s">
        <v>50</v>
      </c>
      <c r="N37" s="7" t="s">
        <v>51</v>
      </c>
      <c r="O37" s="7" t="s">
        <v>35</v>
      </c>
      <c r="P37" s="9">
        <v>45853.67458483797</v>
      </c>
      <c r="Q37" s="9">
        <v>45853.67458483797</v>
      </c>
    </row>
    <row r="38" ht="15.75" customHeight="1">
      <c r="A38" s="5" t="str">
        <f>HYPERLINK("https://portal.hubmapconsortium.org/browse/sample/4a98adf46dd224e3a75661e2e5019679", "HBM373.HFQZ.263")</f>
        <v>HBM373.HFQZ.263</v>
      </c>
      <c r="B38" s="7" t="s">
        <v>246</v>
      </c>
      <c r="C38" s="7" t="s">
        <v>250</v>
      </c>
      <c r="D38" s="5" t="str">
        <f t="shared" si="4"/>
        <v>HBM436.JQXP.677</v>
      </c>
      <c r="E38" s="7" t="s">
        <v>936</v>
      </c>
      <c r="F38" s="7" t="s">
        <v>930</v>
      </c>
      <c r="G38" s="7" t="s">
        <v>28</v>
      </c>
      <c r="H38" s="7" t="s">
        <v>29</v>
      </c>
      <c r="I38" s="7" t="s">
        <v>30</v>
      </c>
      <c r="J38" s="5" t="b">
        <v>0</v>
      </c>
      <c r="K38" s="5" t="s">
        <v>896</v>
      </c>
      <c r="L38" s="7" t="s">
        <v>49</v>
      </c>
      <c r="M38" s="7" t="s">
        <v>50</v>
      </c>
      <c r="N38" s="7" t="s">
        <v>51</v>
      </c>
      <c r="O38" s="7" t="s">
        <v>35</v>
      </c>
      <c r="P38" s="9">
        <v>45835.58003377315</v>
      </c>
      <c r="Q38" s="9">
        <v>45835.58003377315</v>
      </c>
    </row>
    <row r="39" ht="15.75" customHeight="1">
      <c r="A39" s="5" t="str">
        <f>HYPERLINK("https://portal.hubmapconsortium.org/browse/sample/100a3f93dfab8fe6c500b5c1b0b82f76", "HBM234.MKKV.873")</f>
        <v>HBM234.MKKV.873</v>
      </c>
      <c r="B39" s="7" t="s">
        <v>246</v>
      </c>
      <c r="C39" s="7" t="s">
        <v>250</v>
      </c>
      <c r="D39" s="5" t="str">
        <f t="shared" si="4"/>
        <v>HBM436.JQXP.677</v>
      </c>
      <c r="E39" s="7" t="s">
        <v>937</v>
      </c>
      <c r="F39" s="7" t="s">
        <v>930</v>
      </c>
      <c r="G39" s="7" t="s">
        <v>28</v>
      </c>
      <c r="H39" s="7" t="s">
        <v>29</v>
      </c>
      <c r="I39" s="7" t="s">
        <v>30</v>
      </c>
      <c r="J39" s="5" t="b">
        <v>0</v>
      </c>
      <c r="K39" s="5" t="s">
        <v>896</v>
      </c>
      <c r="L39" s="7" t="s">
        <v>49</v>
      </c>
      <c r="M39" s="7" t="s">
        <v>50</v>
      </c>
      <c r="N39" s="7" t="s">
        <v>51</v>
      </c>
      <c r="O39" s="7" t="s">
        <v>35</v>
      </c>
      <c r="P39" s="9">
        <v>45853.6628820949</v>
      </c>
      <c r="Q39" s="9">
        <v>45853.6628820949</v>
      </c>
    </row>
    <row r="40" ht="15.75" customHeight="1">
      <c r="A40" s="5" t="str">
        <f>HYPERLINK("https://portal.hubmapconsortium.org/browse/sample/bf35e932a48c717fab56a4b1b31a0d36", "HBM836.PKPP.432")</f>
        <v>HBM836.PKPP.432</v>
      </c>
      <c r="B40" s="7" t="s">
        <v>246</v>
      </c>
      <c r="C40" s="7" t="s">
        <v>250</v>
      </c>
      <c r="D40" s="5" t="str">
        <f t="shared" si="4"/>
        <v>HBM436.JQXP.677</v>
      </c>
      <c r="E40" s="7" t="s">
        <v>938</v>
      </c>
      <c r="F40" s="7" t="s">
        <v>930</v>
      </c>
      <c r="G40" s="7" t="s">
        <v>28</v>
      </c>
      <c r="H40" s="7" t="s">
        <v>29</v>
      </c>
      <c r="I40" s="7" t="s">
        <v>30</v>
      </c>
      <c r="J40" s="5" t="b">
        <v>0</v>
      </c>
      <c r="K40" s="5" t="s">
        <v>896</v>
      </c>
      <c r="L40" s="7" t="s">
        <v>49</v>
      </c>
      <c r="M40" s="7" t="s">
        <v>50</v>
      </c>
      <c r="N40" s="7" t="s">
        <v>51</v>
      </c>
      <c r="O40" s="7" t="s">
        <v>35</v>
      </c>
      <c r="P40" s="9">
        <v>45848.87878067129</v>
      </c>
      <c r="Q40" s="9">
        <v>45848.87878067129</v>
      </c>
    </row>
    <row r="41" ht="15.75" customHeight="1">
      <c r="A41" s="5" t="str">
        <f>HYPERLINK("https://portal.hubmapconsortium.org/browse/sample/af654397de0e217bd2bc46b4042da7dd", "HBM943.HBXS.767")</f>
        <v>HBM943.HBXS.767</v>
      </c>
      <c r="B41" s="7" t="s">
        <v>246</v>
      </c>
      <c r="C41" s="7" t="s">
        <v>250</v>
      </c>
      <c r="D41" s="5" t="str">
        <f t="shared" si="4"/>
        <v>HBM436.JQXP.677</v>
      </c>
      <c r="E41" s="7" t="s">
        <v>939</v>
      </c>
      <c r="F41" s="7" t="s">
        <v>930</v>
      </c>
      <c r="G41" s="7" t="s">
        <v>28</v>
      </c>
      <c r="H41" s="7" t="s">
        <v>29</v>
      </c>
      <c r="I41" s="7" t="s">
        <v>30</v>
      </c>
      <c r="J41" s="5" t="b">
        <v>0</v>
      </c>
      <c r="K41" s="5" t="s">
        <v>896</v>
      </c>
      <c r="L41" s="7" t="s">
        <v>49</v>
      </c>
      <c r="M41" s="7" t="s">
        <v>50</v>
      </c>
      <c r="N41" s="7" t="s">
        <v>51</v>
      </c>
      <c r="O41" s="7" t="s">
        <v>35</v>
      </c>
      <c r="P41" s="9">
        <v>45853.6629275926</v>
      </c>
      <c r="Q41" s="9">
        <v>45853.6629275926</v>
      </c>
    </row>
    <row r="42" ht="15.75" customHeight="1">
      <c r="A42" s="5" t="str">
        <f>HYPERLINK("https://portal.hubmapconsortium.org/browse/sample/568d11089b949f502ec2427d082d5769", "HBM964.DCSM.865")</f>
        <v>HBM964.DCSM.865</v>
      </c>
      <c r="B42" s="7" t="s">
        <v>287</v>
      </c>
      <c r="C42" s="7" t="s">
        <v>288</v>
      </c>
      <c r="D42" s="5" t="str">
        <f>HYPERLINK("https://portal.hubmapconsortium.org/browse/sample/74aeefbc8e5eb1ab9adba5bf2fd8be8b", "HBM652.DLTR.837")</f>
        <v>HBM652.DLTR.837</v>
      </c>
      <c r="E42" s="7" t="s">
        <v>940</v>
      </c>
      <c r="F42" s="7" t="s">
        <v>941</v>
      </c>
      <c r="G42" s="7" t="s">
        <v>28</v>
      </c>
      <c r="H42" s="7" t="s">
        <v>29</v>
      </c>
      <c r="I42" s="7" t="s">
        <v>30</v>
      </c>
      <c r="J42" s="5" t="b">
        <v>0</v>
      </c>
      <c r="K42" s="5" t="s">
        <v>896</v>
      </c>
      <c r="L42" s="7" t="s">
        <v>49</v>
      </c>
      <c r="M42" s="7" t="s">
        <v>50</v>
      </c>
      <c r="N42" s="7" t="s">
        <v>51</v>
      </c>
      <c r="O42" s="7" t="s">
        <v>35</v>
      </c>
      <c r="P42" s="9">
        <v>45853.67462440972</v>
      </c>
      <c r="Q42" s="9">
        <v>45853.67462440972</v>
      </c>
    </row>
    <row r="43" ht="15.75" customHeight="1">
      <c r="A43" s="5" t="str">
        <f>HYPERLINK("https://portal.hubmapconsortium.org/browse/sample/dc46e3c0d0626fa0731f1a2fb9d01752", "HBM589.NGGN.863")</f>
        <v>HBM589.NGGN.863</v>
      </c>
      <c r="B43" s="7" t="s">
        <v>287</v>
      </c>
      <c r="C43" s="7" t="s">
        <v>401</v>
      </c>
      <c r="D43" s="5" t="str">
        <f t="shared" ref="D43:D51" si="5">HYPERLINK("https://portal.hubmapconsortium.org/browse/sample/9954d4d8adb0a53a26179bc99b08b6c0", "HBM688.BJZV.237")</f>
        <v>HBM688.BJZV.237</v>
      </c>
      <c r="E43" s="7" t="s">
        <v>942</v>
      </c>
      <c r="F43" s="7" t="s">
        <v>941</v>
      </c>
      <c r="G43" s="7" t="s">
        <v>28</v>
      </c>
      <c r="H43" s="7" t="s">
        <v>29</v>
      </c>
      <c r="I43" s="7" t="s">
        <v>30</v>
      </c>
      <c r="J43" s="5" t="b">
        <v>0</v>
      </c>
      <c r="K43" s="5" t="s">
        <v>896</v>
      </c>
      <c r="L43" s="7" t="s">
        <v>49</v>
      </c>
      <c r="M43" s="7" t="s">
        <v>50</v>
      </c>
      <c r="N43" s="7" t="s">
        <v>51</v>
      </c>
      <c r="O43" s="7" t="s">
        <v>35</v>
      </c>
      <c r="P43" s="9">
        <v>45853.66303334491</v>
      </c>
      <c r="Q43" s="9">
        <v>45853.66303334491</v>
      </c>
    </row>
    <row r="44" ht="15.75" customHeight="1">
      <c r="A44" s="5" t="str">
        <f>HYPERLINK("https://portal.hubmapconsortium.org/browse/sample/e9625039401e12a3ab716b009a75db7a", "HBM435.ZVPD.974")</f>
        <v>HBM435.ZVPD.974</v>
      </c>
      <c r="B44" s="7" t="s">
        <v>287</v>
      </c>
      <c r="C44" s="7" t="s">
        <v>401</v>
      </c>
      <c r="D44" s="5" t="str">
        <f t="shared" si="5"/>
        <v>HBM688.BJZV.237</v>
      </c>
      <c r="E44" s="7" t="s">
        <v>943</v>
      </c>
      <c r="F44" s="7" t="s">
        <v>944</v>
      </c>
      <c r="G44" s="7" t="s">
        <v>28</v>
      </c>
      <c r="H44" s="7" t="s">
        <v>29</v>
      </c>
      <c r="I44" s="7" t="s">
        <v>30</v>
      </c>
      <c r="J44" s="5" t="b">
        <v>0</v>
      </c>
      <c r="K44" s="5" t="s">
        <v>896</v>
      </c>
      <c r="L44" s="7" t="s">
        <v>49</v>
      </c>
      <c r="M44" s="7" t="s">
        <v>50</v>
      </c>
      <c r="N44" s="7" t="s">
        <v>51</v>
      </c>
      <c r="O44" s="7" t="s">
        <v>35</v>
      </c>
      <c r="P44" s="9">
        <v>45848.8788616551</v>
      </c>
      <c r="Q44" s="9">
        <v>45848.8788616551</v>
      </c>
    </row>
    <row r="45" ht="15.75" customHeight="1">
      <c r="A45" s="5" t="str">
        <f>HYPERLINK("https://portal.hubmapconsortium.org/browse/sample/633b8391ac7604efebb6b462a81d1919", "HBM967.FFCW.834")</f>
        <v>HBM967.FFCW.834</v>
      </c>
      <c r="B45" s="7" t="s">
        <v>287</v>
      </c>
      <c r="C45" s="7" t="s">
        <v>401</v>
      </c>
      <c r="D45" s="5" t="str">
        <f t="shared" si="5"/>
        <v>HBM688.BJZV.237</v>
      </c>
      <c r="E45" s="7" t="s">
        <v>945</v>
      </c>
      <c r="F45" s="7" t="s">
        <v>941</v>
      </c>
      <c r="G45" s="7" t="s">
        <v>28</v>
      </c>
      <c r="H45" s="7" t="s">
        <v>29</v>
      </c>
      <c r="I45" s="7" t="s">
        <v>30</v>
      </c>
      <c r="J45" s="5" t="b">
        <v>0</v>
      </c>
      <c r="K45" s="5" t="s">
        <v>896</v>
      </c>
      <c r="L45" s="7" t="s">
        <v>49</v>
      </c>
      <c r="M45" s="7" t="s">
        <v>50</v>
      </c>
      <c r="N45" s="7" t="s">
        <v>51</v>
      </c>
      <c r="O45" s="7" t="s">
        <v>35</v>
      </c>
      <c r="P45" s="9">
        <v>45853.67465309027</v>
      </c>
      <c r="Q45" s="9">
        <v>45853.67465309027</v>
      </c>
    </row>
    <row r="46" ht="15.75" customHeight="1">
      <c r="A46" s="5" t="str">
        <f>HYPERLINK("https://portal.hubmapconsortium.org/browse/sample/5913cfaf9a37be4836fc91df10f4c0ce", "HBM462.QWWV.475")</f>
        <v>HBM462.QWWV.475</v>
      </c>
      <c r="B46" s="7" t="s">
        <v>287</v>
      </c>
      <c r="C46" s="7" t="s">
        <v>401</v>
      </c>
      <c r="D46" s="5" t="str">
        <f t="shared" si="5"/>
        <v>HBM688.BJZV.237</v>
      </c>
      <c r="E46" s="7" t="s">
        <v>946</v>
      </c>
      <c r="F46" s="7" t="s">
        <v>944</v>
      </c>
      <c r="G46" s="7" t="s">
        <v>28</v>
      </c>
      <c r="H46" s="7" t="s">
        <v>29</v>
      </c>
      <c r="I46" s="7" t="s">
        <v>30</v>
      </c>
      <c r="J46" s="5" t="b">
        <v>0</v>
      </c>
      <c r="K46" s="5" t="s">
        <v>896</v>
      </c>
      <c r="L46" s="7" t="s">
        <v>49</v>
      </c>
      <c r="M46" s="7" t="s">
        <v>50</v>
      </c>
      <c r="N46" s="7" t="s">
        <v>51</v>
      </c>
      <c r="O46" s="7" t="s">
        <v>35</v>
      </c>
      <c r="P46" s="9">
        <v>45848.87893820602</v>
      </c>
      <c r="Q46" s="9">
        <v>45848.87893820602</v>
      </c>
    </row>
    <row r="47" ht="15.75" customHeight="1">
      <c r="A47" s="5" t="str">
        <f>HYPERLINK("https://portal.hubmapconsortium.org/browse/sample/3deee3fa7067921264d5bd16b42eb6de", "HBM879.GFJB.625")</f>
        <v>HBM879.GFJB.625</v>
      </c>
      <c r="B47" s="7" t="s">
        <v>287</v>
      </c>
      <c r="C47" s="7" t="s">
        <v>401</v>
      </c>
      <c r="D47" s="5" t="str">
        <f t="shared" si="5"/>
        <v>HBM688.BJZV.237</v>
      </c>
      <c r="E47" s="7" t="s">
        <v>947</v>
      </c>
      <c r="F47" s="7" t="s">
        <v>944</v>
      </c>
      <c r="G47" s="7" t="s">
        <v>28</v>
      </c>
      <c r="H47" s="7" t="s">
        <v>29</v>
      </c>
      <c r="I47" s="7" t="s">
        <v>30</v>
      </c>
      <c r="J47" s="5" t="b">
        <v>0</v>
      </c>
      <c r="K47" s="5" t="s">
        <v>896</v>
      </c>
      <c r="L47" s="7" t="s">
        <v>49</v>
      </c>
      <c r="M47" s="7" t="s">
        <v>50</v>
      </c>
      <c r="N47" s="7" t="s">
        <v>51</v>
      </c>
      <c r="O47" s="7" t="s">
        <v>35</v>
      </c>
      <c r="P47" s="9">
        <v>45853.6631103125</v>
      </c>
      <c r="Q47" s="9">
        <v>45853.6631103125</v>
      </c>
    </row>
    <row r="48" ht="15.75" customHeight="1">
      <c r="A48" s="5" t="str">
        <f>HYPERLINK("https://portal.hubmapconsortium.org/browse/sample/05bef4bfc53aff14ae65e383b8fb86dd", "HBM289.XGWS.922")</f>
        <v>HBM289.XGWS.922</v>
      </c>
      <c r="B48" s="7" t="s">
        <v>287</v>
      </c>
      <c r="C48" s="7" t="s">
        <v>401</v>
      </c>
      <c r="D48" s="5" t="str">
        <f t="shared" si="5"/>
        <v>HBM688.BJZV.237</v>
      </c>
      <c r="E48" s="7" t="s">
        <v>948</v>
      </c>
      <c r="F48" s="7" t="s">
        <v>941</v>
      </c>
      <c r="G48" s="7" t="s">
        <v>28</v>
      </c>
      <c r="H48" s="7" t="s">
        <v>29</v>
      </c>
      <c r="I48" s="7" t="s">
        <v>30</v>
      </c>
      <c r="J48" s="5" t="b">
        <v>0</v>
      </c>
      <c r="K48" s="5" t="s">
        <v>896</v>
      </c>
      <c r="L48" s="7" t="s">
        <v>49</v>
      </c>
      <c r="M48" s="7" t="s">
        <v>50</v>
      </c>
      <c r="N48" s="7" t="s">
        <v>51</v>
      </c>
      <c r="O48" s="7" t="s">
        <v>35</v>
      </c>
      <c r="P48" s="9">
        <v>45853.66315173611</v>
      </c>
      <c r="Q48" s="9">
        <v>45853.66315173611</v>
      </c>
    </row>
    <row r="49" ht="15.75" customHeight="1">
      <c r="A49" s="5" t="str">
        <f>HYPERLINK("https://portal.hubmapconsortium.org/browse/sample/f0587692499588dec6071de0c43844fb", "HBM536.NVLF.338")</f>
        <v>HBM536.NVLF.338</v>
      </c>
      <c r="B49" s="7" t="s">
        <v>287</v>
      </c>
      <c r="C49" s="7" t="s">
        <v>401</v>
      </c>
      <c r="D49" s="5" t="str">
        <f t="shared" si="5"/>
        <v>HBM688.BJZV.237</v>
      </c>
      <c r="E49" s="7" t="s">
        <v>949</v>
      </c>
      <c r="F49" s="7" t="s">
        <v>944</v>
      </c>
      <c r="G49" s="7" t="s">
        <v>28</v>
      </c>
      <c r="H49" s="7" t="s">
        <v>29</v>
      </c>
      <c r="I49" s="7" t="s">
        <v>30</v>
      </c>
      <c r="J49" s="5" t="b">
        <v>0</v>
      </c>
      <c r="K49" s="5" t="s">
        <v>896</v>
      </c>
      <c r="L49" s="7" t="s">
        <v>49</v>
      </c>
      <c r="M49" s="7" t="s">
        <v>50</v>
      </c>
      <c r="N49" s="7" t="s">
        <v>51</v>
      </c>
      <c r="O49" s="7" t="s">
        <v>35</v>
      </c>
      <c r="P49" s="9">
        <v>45853.67469756945</v>
      </c>
      <c r="Q49" s="9">
        <v>45853.67469756945</v>
      </c>
    </row>
    <row r="50" ht="15.75" customHeight="1">
      <c r="A50" s="5" t="str">
        <f>HYPERLINK("https://portal.hubmapconsortium.org/browse/sample/29ca93761b3a8c2a27671140ea4dffc2", "HBM634.GGQC.623")</f>
        <v>HBM634.GGQC.623</v>
      </c>
      <c r="B50" s="7" t="s">
        <v>287</v>
      </c>
      <c r="C50" s="7" t="s">
        <v>401</v>
      </c>
      <c r="D50" s="5" t="str">
        <f t="shared" si="5"/>
        <v>HBM688.BJZV.237</v>
      </c>
      <c r="E50" s="7" t="s">
        <v>950</v>
      </c>
      <c r="F50" s="7" t="s">
        <v>944</v>
      </c>
      <c r="G50" s="7" t="s">
        <v>28</v>
      </c>
      <c r="H50" s="7" t="s">
        <v>29</v>
      </c>
      <c r="I50" s="7" t="s">
        <v>30</v>
      </c>
      <c r="J50" s="5" t="b">
        <v>0</v>
      </c>
      <c r="K50" s="5" t="s">
        <v>896</v>
      </c>
      <c r="L50" s="7" t="s">
        <v>49</v>
      </c>
      <c r="M50" s="7" t="s">
        <v>50</v>
      </c>
      <c r="N50" s="7" t="s">
        <v>51</v>
      </c>
      <c r="O50" s="7" t="s">
        <v>35</v>
      </c>
      <c r="P50" s="9">
        <v>45835.58005305556</v>
      </c>
      <c r="Q50" s="9">
        <v>45835.58005305556</v>
      </c>
    </row>
    <row r="51" ht="15.75" customHeight="1">
      <c r="A51" s="5" t="str">
        <f>HYPERLINK("https://portal.hubmapconsortium.org/browse/sample/4b66ef0d6ecd98354cbd814c0abb1732", "HBM699.JWGD.752")</f>
        <v>HBM699.JWGD.752</v>
      </c>
      <c r="B51" s="7" t="s">
        <v>287</v>
      </c>
      <c r="C51" s="7" t="s">
        <v>401</v>
      </c>
      <c r="D51" s="5" t="str">
        <f t="shared" si="5"/>
        <v>HBM688.BJZV.237</v>
      </c>
      <c r="E51" s="7" t="s">
        <v>951</v>
      </c>
      <c r="F51" s="7" t="s">
        <v>941</v>
      </c>
      <c r="G51" s="7" t="s">
        <v>28</v>
      </c>
      <c r="H51" s="7" t="s">
        <v>29</v>
      </c>
      <c r="I51" s="7" t="s">
        <v>30</v>
      </c>
      <c r="J51" s="5" t="b">
        <v>0</v>
      </c>
      <c r="K51" s="5" t="s">
        <v>896</v>
      </c>
      <c r="L51" s="7" t="s">
        <v>49</v>
      </c>
      <c r="M51" s="7" t="s">
        <v>50</v>
      </c>
      <c r="N51" s="7" t="s">
        <v>51</v>
      </c>
      <c r="O51" s="7" t="s">
        <v>35</v>
      </c>
      <c r="P51" s="9">
        <v>45835.58006701389</v>
      </c>
      <c r="Q51" s="9">
        <v>45835.58006701389</v>
      </c>
    </row>
    <row r="52" ht="15.75" customHeight="1">
      <c r="A52" s="5" t="str">
        <f>HYPERLINK("https://portal.hubmapconsortium.org/browse/sample/2af76e4f98530dba11fa28ad1967dc62", "HBM295.VMGJ.752")</f>
        <v>HBM295.VMGJ.752</v>
      </c>
      <c r="B52" s="7" t="s">
        <v>413</v>
      </c>
      <c r="C52" s="7" t="s">
        <v>414</v>
      </c>
      <c r="D52" s="5" t="str">
        <f>HYPERLINK("https://portal.hubmapconsortium.org/browse/sample/bc7918805c94ad395dd26c50573d1e40", "HBM367.CMSK.938")</f>
        <v>HBM367.CMSK.938</v>
      </c>
      <c r="E52" s="7" t="s">
        <v>952</v>
      </c>
      <c r="F52" s="7" t="s">
        <v>953</v>
      </c>
      <c r="G52" s="7" t="s">
        <v>28</v>
      </c>
      <c r="H52" s="7" t="s">
        <v>29</v>
      </c>
      <c r="I52" s="7" t="s">
        <v>30</v>
      </c>
      <c r="J52" s="5" t="b">
        <v>0</v>
      </c>
      <c r="K52" s="5" t="s">
        <v>896</v>
      </c>
      <c r="L52" s="7" t="s">
        <v>49</v>
      </c>
      <c r="M52" s="7" t="s">
        <v>50</v>
      </c>
      <c r="N52" s="7" t="s">
        <v>51</v>
      </c>
      <c r="O52" s="7" t="s">
        <v>35</v>
      </c>
      <c r="P52" s="9">
        <v>45853.66317560185</v>
      </c>
      <c r="Q52" s="9">
        <v>45853.66317560185</v>
      </c>
    </row>
    <row r="53" ht="15.75" customHeight="1">
      <c r="A53" s="5" t="str">
        <f>HYPERLINK("https://portal.hubmapconsortium.org/browse/sample/b7b220deaebf46cd729ab81a57f2ce30", "HBM957.GZHZ.588")</f>
        <v>HBM957.GZHZ.588</v>
      </c>
      <c r="B53" s="7" t="s">
        <v>413</v>
      </c>
      <c r="C53" s="7" t="s">
        <v>524</v>
      </c>
      <c r="D53" s="5" t="str">
        <f t="shared" ref="D53:D61" si="6">HYPERLINK("https://portal.hubmapconsortium.org/browse/sample/7f7f6faf1ed24ed62109de031b99a555", "HBM876.WSJF.893")</f>
        <v>HBM876.WSJF.893</v>
      </c>
      <c r="E53" s="7" t="s">
        <v>954</v>
      </c>
      <c r="F53" s="7" t="s">
        <v>953</v>
      </c>
      <c r="G53" s="7" t="s">
        <v>28</v>
      </c>
      <c r="H53" s="7" t="s">
        <v>29</v>
      </c>
      <c r="I53" s="7" t="s">
        <v>30</v>
      </c>
      <c r="J53" s="5" t="b">
        <v>0</v>
      </c>
      <c r="K53" s="5" t="s">
        <v>896</v>
      </c>
      <c r="L53" s="7" t="s">
        <v>49</v>
      </c>
      <c r="M53" s="7" t="s">
        <v>50</v>
      </c>
      <c r="N53" s="7" t="s">
        <v>51</v>
      </c>
      <c r="O53" s="7" t="s">
        <v>35</v>
      </c>
      <c r="P53" s="9">
        <v>45848.87895905093</v>
      </c>
      <c r="Q53" s="9">
        <v>45848.87895905093</v>
      </c>
    </row>
    <row r="54" ht="15.75" customHeight="1">
      <c r="A54" s="5" t="str">
        <f>HYPERLINK("https://portal.hubmapconsortium.org/browse/sample/2126aff6366f3dab6fd874eb98c682f9", "HBM924.DDQH.986")</f>
        <v>HBM924.DDQH.986</v>
      </c>
      <c r="B54" s="7" t="s">
        <v>413</v>
      </c>
      <c r="C54" s="7" t="s">
        <v>524</v>
      </c>
      <c r="D54" s="5" t="str">
        <f t="shared" si="6"/>
        <v>HBM876.WSJF.893</v>
      </c>
      <c r="E54" s="7" t="s">
        <v>955</v>
      </c>
      <c r="F54" s="7" t="s">
        <v>953</v>
      </c>
      <c r="G54" s="7" t="s">
        <v>28</v>
      </c>
      <c r="H54" s="7" t="s">
        <v>29</v>
      </c>
      <c r="I54" s="7" t="s">
        <v>30</v>
      </c>
      <c r="J54" s="5" t="b">
        <v>0</v>
      </c>
      <c r="K54" s="5" t="s">
        <v>896</v>
      </c>
      <c r="L54" s="7" t="s">
        <v>49</v>
      </c>
      <c r="M54" s="7" t="s">
        <v>50</v>
      </c>
      <c r="N54" s="7" t="s">
        <v>51</v>
      </c>
      <c r="O54" s="7" t="s">
        <v>35</v>
      </c>
      <c r="P54" s="9">
        <v>45848.87900314815</v>
      </c>
      <c r="Q54" s="9">
        <v>45848.87900314815</v>
      </c>
    </row>
    <row r="55" ht="15.75" customHeight="1">
      <c r="A55" s="5" t="str">
        <f>HYPERLINK("https://portal.hubmapconsortium.org/browse/sample/4c37e6f7c399a0828b7c1b9bcdc854b9", "HBM464.DVRJ.724")</f>
        <v>HBM464.DVRJ.724</v>
      </c>
      <c r="B55" s="7" t="s">
        <v>413</v>
      </c>
      <c r="C55" s="7" t="s">
        <v>524</v>
      </c>
      <c r="D55" s="5" t="str">
        <f t="shared" si="6"/>
        <v>HBM876.WSJF.893</v>
      </c>
      <c r="E55" s="7" t="s">
        <v>956</v>
      </c>
      <c r="F55" s="7" t="s">
        <v>953</v>
      </c>
      <c r="G55" s="7" t="s">
        <v>28</v>
      </c>
      <c r="H55" s="7" t="s">
        <v>29</v>
      </c>
      <c r="I55" s="7" t="s">
        <v>30</v>
      </c>
      <c r="J55" s="5" t="b">
        <v>0</v>
      </c>
      <c r="K55" s="5" t="s">
        <v>896</v>
      </c>
      <c r="L55" s="7" t="s">
        <v>49</v>
      </c>
      <c r="M55" s="7" t="s">
        <v>50</v>
      </c>
      <c r="N55" s="7" t="s">
        <v>51</v>
      </c>
      <c r="O55" s="7" t="s">
        <v>35</v>
      </c>
      <c r="P55" s="9">
        <v>45853.67483243056</v>
      </c>
      <c r="Q55" s="9">
        <v>45853.67483243056</v>
      </c>
    </row>
    <row r="56" ht="15.75" customHeight="1">
      <c r="A56" s="5" t="str">
        <f>HYPERLINK("https://portal.hubmapconsortium.org/browse/sample/32c809bc9e06a346dafcc9adbb484960", "HBM722.RMWV.297")</f>
        <v>HBM722.RMWV.297</v>
      </c>
      <c r="B56" s="7" t="s">
        <v>413</v>
      </c>
      <c r="C56" s="7" t="s">
        <v>524</v>
      </c>
      <c r="D56" s="5" t="str">
        <f t="shared" si="6"/>
        <v>HBM876.WSJF.893</v>
      </c>
      <c r="E56" s="7" t="s">
        <v>957</v>
      </c>
      <c r="F56" s="7" t="s">
        <v>953</v>
      </c>
      <c r="G56" s="7" t="s">
        <v>28</v>
      </c>
      <c r="H56" s="7" t="s">
        <v>29</v>
      </c>
      <c r="I56" s="7" t="s">
        <v>30</v>
      </c>
      <c r="J56" s="5" t="b">
        <v>0</v>
      </c>
      <c r="K56" s="5" t="s">
        <v>896</v>
      </c>
      <c r="L56" s="7" t="s">
        <v>49</v>
      </c>
      <c r="M56" s="7" t="s">
        <v>50</v>
      </c>
      <c r="N56" s="7" t="s">
        <v>51</v>
      </c>
      <c r="O56" s="7" t="s">
        <v>35</v>
      </c>
      <c r="P56" s="9">
        <v>45835.58007962963</v>
      </c>
      <c r="Q56" s="9">
        <v>45835.58007962963</v>
      </c>
    </row>
    <row r="57" ht="15.75" customHeight="1">
      <c r="A57" s="5" t="str">
        <f>HYPERLINK("https://portal.hubmapconsortium.org/browse/sample/8fce5608fc928b433768ae6bc15d2dfe", "HBM353.XZVK.286")</f>
        <v>HBM353.XZVK.286</v>
      </c>
      <c r="B57" s="7" t="s">
        <v>413</v>
      </c>
      <c r="C57" s="7" t="s">
        <v>524</v>
      </c>
      <c r="D57" s="5" t="str">
        <f t="shared" si="6"/>
        <v>HBM876.WSJF.893</v>
      </c>
      <c r="E57" s="7" t="s">
        <v>958</v>
      </c>
      <c r="F57" s="7" t="s">
        <v>953</v>
      </c>
      <c r="G57" s="7" t="s">
        <v>28</v>
      </c>
      <c r="H57" s="7" t="s">
        <v>29</v>
      </c>
      <c r="I57" s="7" t="s">
        <v>30</v>
      </c>
      <c r="J57" s="5" t="b">
        <v>0</v>
      </c>
      <c r="K57" s="5" t="s">
        <v>896</v>
      </c>
      <c r="L57" s="7" t="s">
        <v>49</v>
      </c>
      <c r="M57" s="7" t="s">
        <v>50</v>
      </c>
      <c r="N57" s="7" t="s">
        <v>51</v>
      </c>
      <c r="O57" s="7" t="s">
        <v>35</v>
      </c>
      <c r="P57" s="9">
        <v>45835.58009978009</v>
      </c>
      <c r="Q57" s="9">
        <v>45835.58009978009</v>
      </c>
    </row>
    <row r="58" ht="15.75" customHeight="1">
      <c r="A58" s="5" t="str">
        <f>HYPERLINK("https://portal.hubmapconsortium.org/browse/sample/a6f2cd3f447e53894328bc846278d198", "HBM835.DGHR.736")</f>
        <v>HBM835.DGHR.736</v>
      </c>
      <c r="B58" s="7" t="s">
        <v>413</v>
      </c>
      <c r="C58" s="7" t="s">
        <v>524</v>
      </c>
      <c r="D58" s="5" t="str">
        <f t="shared" si="6"/>
        <v>HBM876.WSJF.893</v>
      </c>
      <c r="E58" s="7" t="s">
        <v>959</v>
      </c>
      <c r="F58" s="7" t="s">
        <v>960</v>
      </c>
      <c r="G58" s="7" t="s">
        <v>28</v>
      </c>
      <c r="H58" s="7" t="s">
        <v>29</v>
      </c>
      <c r="I58" s="7" t="s">
        <v>30</v>
      </c>
      <c r="J58" s="5" t="b">
        <v>0</v>
      </c>
      <c r="K58" s="5" t="s">
        <v>896</v>
      </c>
      <c r="L58" s="7" t="s">
        <v>49</v>
      </c>
      <c r="M58" s="7" t="s">
        <v>50</v>
      </c>
      <c r="N58" s="7" t="s">
        <v>51</v>
      </c>
      <c r="O58" s="7" t="s">
        <v>35</v>
      </c>
      <c r="P58" s="9">
        <v>45853.66320380787</v>
      </c>
      <c r="Q58" s="9">
        <v>45853.66320380787</v>
      </c>
    </row>
    <row r="59" ht="15.75" customHeight="1">
      <c r="A59" s="5" t="str">
        <f>HYPERLINK("https://portal.hubmapconsortium.org/browse/sample/3ad9fa2f2b1254116bfe4e2747843a30", "HBM538.RPNV.965")</f>
        <v>HBM538.RPNV.965</v>
      </c>
      <c r="B59" s="7" t="s">
        <v>413</v>
      </c>
      <c r="C59" s="7" t="s">
        <v>524</v>
      </c>
      <c r="D59" s="5" t="str">
        <f t="shared" si="6"/>
        <v>HBM876.WSJF.893</v>
      </c>
      <c r="E59" s="7" t="s">
        <v>961</v>
      </c>
      <c r="F59" s="7" t="s">
        <v>953</v>
      </c>
      <c r="G59" s="7" t="s">
        <v>28</v>
      </c>
      <c r="H59" s="7" t="s">
        <v>29</v>
      </c>
      <c r="I59" s="7" t="s">
        <v>30</v>
      </c>
      <c r="J59" s="5" t="b">
        <v>0</v>
      </c>
      <c r="K59" s="5" t="s">
        <v>896</v>
      </c>
      <c r="L59" s="7" t="s">
        <v>49</v>
      </c>
      <c r="M59" s="7" t="s">
        <v>50</v>
      </c>
      <c r="N59" s="7" t="s">
        <v>51</v>
      </c>
      <c r="O59" s="7" t="s">
        <v>35</v>
      </c>
      <c r="P59" s="9">
        <v>45848.87907991898</v>
      </c>
      <c r="Q59" s="9">
        <v>45848.87907991898</v>
      </c>
    </row>
    <row r="60" ht="15.75" customHeight="1">
      <c r="A60" s="5" t="str">
        <f>HYPERLINK("https://portal.hubmapconsortium.org/browse/sample/dc7ea37cf98fabef4e257ffe99132eb9", "HBM377.ZTGD.332")</f>
        <v>HBM377.ZTGD.332</v>
      </c>
      <c r="B60" s="7" t="s">
        <v>413</v>
      </c>
      <c r="C60" s="7" t="s">
        <v>524</v>
      </c>
      <c r="D60" s="5" t="str">
        <f t="shared" si="6"/>
        <v>HBM876.WSJF.893</v>
      </c>
      <c r="E60" s="7" t="s">
        <v>962</v>
      </c>
      <c r="F60" s="7" t="s">
        <v>953</v>
      </c>
      <c r="G60" s="7" t="s">
        <v>28</v>
      </c>
      <c r="H60" s="7" t="s">
        <v>29</v>
      </c>
      <c r="I60" s="7" t="s">
        <v>30</v>
      </c>
      <c r="J60" s="5" t="b">
        <v>0</v>
      </c>
      <c r="K60" s="5" t="s">
        <v>896</v>
      </c>
      <c r="L60" s="7" t="s">
        <v>49</v>
      </c>
      <c r="M60" s="7" t="s">
        <v>50</v>
      </c>
      <c r="N60" s="7" t="s">
        <v>51</v>
      </c>
      <c r="O60" s="7" t="s">
        <v>35</v>
      </c>
      <c r="P60" s="9">
        <v>45853.67492094907</v>
      </c>
      <c r="Q60" s="9">
        <v>45853.67492094907</v>
      </c>
    </row>
    <row r="61" ht="15.75" customHeight="1">
      <c r="A61" s="5" t="str">
        <f>HYPERLINK("https://portal.hubmapconsortium.org/browse/sample/97ea169270708e7446dc32231e41de10", "HBM942.TJTH.934")</f>
        <v>HBM942.TJTH.934</v>
      </c>
      <c r="B61" s="7" t="s">
        <v>413</v>
      </c>
      <c r="C61" s="7" t="s">
        <v>524</v>
      </c>
      <c r="D61" s="5" t="str">
        <f t="shared" si="6"/>
        <v>HBM876.WSJF.893</v>
      </c>
      <c r="E61" s="7" t="s">
        <v>963</v>
      </c>
      <c r="F61" s="7" t="s">
        <v>960</v>
      </c>
      <c r="G61" s="7" t="s">
        <v>28</v>
      </c>
      <c r="H61" s="7" t="s">
        <v>29</v>
      </c>
      <c r="I61" s="7" t="s">
        <v>30</v>
      </c>
      <c r="J61" s="5" t="b">
        <v>0</v>
      </c>
      <c r="K61" s="5" t="s">
        <v>896</v>
      </c>
      <c r="L61" s="7" t="s">
        <v>49</v>
      </c>
      <c r="M61" s="7" t="s">
        <v>50</v>
      </c>
      <c r="N61" s="7" t="s">
        <v>51</v>
      </c>
      <c r="O61" s="7" t="s">
        <v>35</v>
      </c>
      <c r="P61" s="9">
        <v>45853.674950625</v>
      </c>
      <c r="Q61" s="9">
        <v>45853.674950625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  <hyperlink r:id="rId22" ref="K23"/>
    <hyperlink r:id="rId23" ref="K24"/>
    <hyperlink r:id="rId24" ref="K25"/>
    <hyperlink r:id="rId25" ref="K26"/>
    <hyperlink r:id="rId26" ref="K27"/>
    <hyperlink r:id="rId27" ref="K28"/>
    <hyperlink r:id="rId28" ref="K29"/>
    <hyperlink r:id="rId29" ref="K30"/>
    <hyperlink r:id="rId30" ref="K31"/>
    <hyperlink r:id="rId31" ref="K32"/>
    <hyperlink r:id="rId32" ref="K33"/>
    <hyperlink r:id="rId33" ref="K34"/>
    <hyperlink r:id="rId34" ref="K35"/>
    <hyperlink r:id="rId35" ref="K36"/>
    <hyperlink r:id="rId36" ref="K37"/>
    <hyperlink r:id="rId37" ref="K38"/>
    <hyperlink r:id="rId38" ref="K39"/>
    <hyperlink r:id="rId39" ref="K40"/>
    <hyperlink r:id="rId40" ref="K41"/>
    <hyperlink r:id="rId41" ref="K42"/>
    <hyperlink r:id="rId42" ref="K43"/>
    <hyperlink r:id="rId43" ref="K44"/>
    <hyperlink r:id="rId44" ref="K45"/>
    <hyperlink r:id="rId45" ref="K46"/>
    <hyperlink r:id="rId46" ref="K47"/>
    <hyperlink r:id="rId47" ref="K48"/>
    <hyperlink r:id="rId48" ref="K49"/>
    <hyperlink r:id="rId49" ref="K50"/>
    <hyperlink r:id="rId50" ref="K51"/>
    <hyperlink r:id="rId51" ref="K52"/>
    <hyperlink r:id="rId52" ref="K53"/>
    <hyperlink r:id="rId53" ref="K54"/>
    <hyperlink r:id="rId54" ref="K55"/>
    <hyperlink r:id="rId55" ref="K56"/>
    <hyperlink r:id="rId56" ref="K57"/>
    <hyperlink r:id="rId57" ref="K58"/>
    <hyperlink r:id="rId58" ref="K59"/>
    <hyperlink r:id="rId59" ref="K60"/>
    <hyperlink r:id="rId60" ref="K61"/>
  </hyperlinks>
  <printOptions/>
  <pageMargins bottom="0.75" footer="0.0" header="0.0" left="0.7" right="0.7" top="0.75"/>
  <pageSetup orientation="landscape"/>
  <drawing r:id="rId6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2025-10-13T15:18:13Z</dcterms:created>
  <dc:creator>Watts, Andrew</dc:creator>
</cp:coreProperties>
</file>