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pryhuber/Library/CloudStorage/Box-Box/HuBMAP-Lung URMC TMC recompete all invited/Assay Development and Data/"/>
    </mc:Choice>
  </mc:AlternateContent>
  <xr:revisionPtr revIDLastSave="0" documentId="8_{2C2F4FA1-BCE2-3F4A-8580-49F09241F7DF}" xr6:coauthVersionLast="47" xr6:coauthVersionMax="47" xr10:uidLastSave="{00000000-0000-0000-0000-000000000000}"/>
  <bookViews>
    <workbookView xWindow="1620" yWindow="700" windowWidth="15200" windowHeight="18660" activeTab="3" xr2:uid="{411C7364-D3BA-AA42-8929-EB275766C646}"/>
  </bookViews>
  <sheets>
    <sheet name="Lobes" sheetId="2" r:id="rId1"/>
    <sheet name="Slices" sheetId="3" r:id="rId2"/>
    <sheet name="Non-terminal bronchus &amp; artery" sheetId="4" r:id="rId3"/>
    <sheet name="Blocks" sheetId="1" r:id="rId4"/>
    <sheet name="Cor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7" i="1" l="1"/>
  <c r="E137" i="1"/>
  <c r="A4" i="1"/>
  <c r="E4" i="1"/>
  <c r="A19" i="1"/>
  <c r="E19" i="1"/>
  <c r="A98" i="1"/>
  <c r="E98" i="1"/>
  <c r="A114" i="1"/>
  <c r="E114" i="1"/>
  <c r="D61" i="5"/>
  <c r="A61" i="5"/>
  <c r="D60" i="5"/>
  <c r="A60" i="5"/>
  <c r="D59" i="5"/>
  <c r="A59" i="5"/>
  <c r="D58" i="5"/>
  <c r="A58" i="5"/>
  <c r="D57" i="5"/>
  <c r="A57" i="5"/>
  <c r="D56" i="5"/>
  <c r="A56" i="5"/>
  <c r="D55" i="5"/>
  <c r="A55" i="5"/>
  <c r="D54" i="5"/>
  <c r="A54" i="5"/>
  <c r="D53" i="5"/>
  <c r="A53" i="5"/>
  <c r="D52" i="5"/>
  <c r="A52" i="5"/>
  <c r="D51" i="5"/>
  <c r="A51" i="5"/>
  <c r="D50" i="5"/>
  <c r="A50" i="5"/>
  <c r="D49" i="5"/>
  <c r="A49" i="5"/>
  <c r="D48" i="5"/>
  <c r="A48" i="5"/>
  <c r="D47" i="5"/>
  <c r="A47" i="5"/>
  <c r="D46" i="5"/>
  <c r="A46" i="5"/>
  <c r="D45" i="5"/>
  <c r="A45" i="5"/>
  <c r="D44" i="5"/>
  <c r="A44" i="5"/>
  <c r="D43" i="5"/>
  <c r="A43" i="5"/>
  <c r="D42" i="5"/>
  <c r="A42" i="5"/>
  <c r="D41" i="5"/>
  <c r="A41" i="5"/>
  <c r="D40" i="5"/>
  <c r="A40" i="5"/>
  <c r="D39" i="5"/>
  <c r="A39" i="5"/>
  <c r="D38" i="5"/>
  <c r="A38" i="5"/>
  <c r="D37" i="5"/>
  <c r="A37" i="5"/>
  <c r="D36" i="5"/>
  <c r="A36" i="5"/>
  <c r="D35" i="5"/>
  <c r="A35" i="5"/>
  <c r="D34" i="5"/>
  <c r="A34" i="5"/>
  <c r="D33" i="5"/>
  <c r="A33" i="5"/>
  <c r="D32" i="5"/>
  <c r="A32" i="5"/>
  <c r="D31" i="5"/>
  <c r="A31" i="5"/>
  <c r="D30" i="5"/>
  <c r="A30" i="5"/>
  <c r="D29" i="5"/>
  <c r="A29" i="5"/>
  <c r="D28" i="5"/>
  <c r="A28" i="5"/>
  <c r="D27" i="5"/>
  <c r="A27" i="5"/>
  <c r="D26" i="5"/>
  <c r="A26" i="5"/>
  <c r="D25" i="5"/>
  <c r="A25" i="5"/>
  <c r="D24" i="5"/>
  <c r="A24" i="5"/>
  <c r="D23" i="5"/>
  <c r="A23" i="5"/>
  <c r="D22" i="5"/>
  <c r="A22" i="5"/>
  <c r="D21" i="5"/>
  <c r="A21" i="5"/>
  <c r="D20" i="5"/>
  <c r="A20" i="5"/>
  <c r="D19" i="5"/>
  <c r="A19" i="5"/>
  <c r="D18" i="5"/>
  <c r="A18" i="5"/>
  <c r="D17" i="5"/>
  <c r="A17" i="5"/>
  <c r="D16" i="5"/>
  <c r="A16" i="5"/>
  <c r="D15" i="5"/>
  <c r="A15" i="5"/>
  <c r="D14" i="5"/>
  <c r="A14" i="5"/>
  <c r="D13" i="5"/>
  <c r="A13" i="5"/>
  <c r="D12" i="5"/>
  <c r="A12" i="5"/>
  <c r="D11" i="5"/>
  <c r="A11" i="5"/>
  <c r="D10" i="5"/>
  <c r="A10" i="5"/>
  <c r="D9" i="5"/>
  <c r="A9" i="5"/>
  <c r="D8" i="5"/>
  <c r="A8" i="5"/>
  <c r="D7" i="5"/>
  <c r="A7" i="5"/>
  <c r="D6" i="5"/>
  <c r="A6" i="5"/>
  <c r="D5" i="5"/>
  <c r="A5" i="5"/>
  <c r="D4" i="5"/>
  <c r="A4" i="5"/>
  <c r="D3" i="5"/>
  <c r="A3" i="5"/>
  <c r="D2" i="5"/>
  <c r="A2" i="5"/>
  <c r="D58" i="4"/>
  <c r="A58" i="4"/>
  <c r="D57" i="4"/>
  <c r="A57" i="4"/>
  <c r="D56" i="4"/>
  <c r="A56" i="4"/>
  <c r="D55" i="4"/>
  <c r="A55" i="4"/>
  <c r="D54" i="4"/>
  <c r="A54" i="4"/>
  <c r="D53" i="4"/>
  <c r="A53" i="4"/>
  <c r="D52" i="4"/>
  <c r="A52" i="4"/>
  <c r="D51" i="4"/>
  <c r="A51" i="4"/>
  <c r="D50" i="4"/>
  <c r="A50" i="4"/>
  <c r="D49" i="4"/>
  <c r="A49" i="4"/>
  <c r="D48" i="4"/>
  <c r="A48" i="4"/>
  <c r="D47" i="4"/>
  <c r="A47" i="4"/>
  <c r="D46" i="4"/>
  <c r="A46" i="4"/>
  <c r="D45" i="4"/>
  <c r="A45" i="4"/>
  <c r="D44" i="4"/>
  <c r="A44" i="4"/>
  <c r="D43" i="4"/>
  <c r="A43" i="4"/>
  <c r="D42" i="4"/>
  <c r="A42" i="4"/>
  <c r="D41" i="4"/>
  <c r="A41" i="4"/>
  <c r="D40" i="4"/>
  <c r="A40" i="4"/>
  <c r="D39" i="4"/>
  <c r="A39" i="4"/>
  <c r="D23" i="3"/>
  <c r="A23" i="3"/>
  <c r="D22" i="3"/>
  <c r="A22" i="3"/>
  <c r="D38" i="4"/>
  <c r="A38" i="4"/>
  <c r="D37" i="4"/>
  <c r="A37" i="4"/>
  <c r="D36" i="4"/>
  <c r="A36" i="4"/>
  <c r="D35" i="4"/>
  <c r="A35" i="4"/>
  <c r="D34" i="4"/>
  <c r="A34" i="4"/>
  <c r="D33" i="4"/>
  <c r="A33" i="4"/>
  <c r="D32" i="4"/>
  <c r="A32" i="4"/>
  <c r="D31" i="4"/>
  <c r="A31" i="4"/>
  <c r="D30" i="4"/>
  <c r="A30" i="4"/>
  <c r="D29" i="4"/>
  <c r="A29" i="4"/>
  <c r="D28" i="4"/>
  <c r="A28" i="4"/>
  <c r="D27" i="4"/>
  <c r="A27" i="4"/>
  <c r="D26" i="4"/>
  <c r="A26" i="4"/>
  <c r="D25" i="4"/>
  <c r="A25" i="4"/>
  <c r="D24" i="4"/>
  <c r="A24" i="4"/>
  <c r="D23" i="4"/>
  <c r="A23" i="4"/>
  <c r="D22" i="4"/>
  <c r="A22" i="4"/>
  <c r="D21" i="4"/>
  <c r="A21" i="4"/>
  <c r="D21" i="3"/>
  <c r="A21" i="3"/>
  <c r="D20" i="3"/>
  <c r="A20" i="3"/>
  <c r="D20" i="4"/>
  <c r="A20" i="4"/>
  <c r="D19" i="4"/>
  <c r="A19" i="4"/>
  <c r="D18" i="4"/>
  <c r="A18" i="4"/>
  <c r="D17" i="4"/>
  <c r="A17" i="4"/>
  <c r="D16" i="4"/>
  <c r="A16" i="4"/>
  <c r="D15" i="4"/>
  <c r="A15" i="4"/>
  <c r="D14" i="4"/>
  <c r="A14" i="4"/>
  <c r="D13" i="4"/>
  <c r="A13" i="4"/>
  <c r="D11" i="4"/>
  <c r="A11" i="4"/>
  <c r="D12" i="4"/>
  <c r="A12" i="4"/>
  <c r="D10" i="4"/>
  <c r="A10" i="4"/>
  <c r="D9" i="4"/>
  <c r="A9" i="4"/>
  <c r="D8" i="4"/>
  <c r="A8" i="4"/>
  <c r="D7" i="4"/>
  <c r="A7" i="4"/>
  <c r="D6" i="4"/>
  <c r="A6" i="4"/>
  <c r="D5" i="4"/>
  <c r="A5" i="4"/>
  <c r="D4" i="4"/>
  <c r="A4" i="4"/>
  <c r="D3" i="4"/>
  <c r="A3" i="4"/>
  <c r="D19" i="3"/>
  <c r="A19" i="3"/>
  <c r="D18" i="3"/>
  <c r="A18" i="3"/>
  <c r="D17" i="3"/>
  <c r="A17" i="3"/>
  <c r="D16" i="3"/>
  <c r="A16" i="3"/>
  <c r="D15" i="3"/>
  <c r="A15" i="3"/>
  <c r="D14" i="3"/>
  <c r="A14" i="3"/>
  <c r="D13" i="3"/>
  <c r="A13" i="3"/>
  <c r="D12" i="3"/>
  <c r="A12" i="3"/>
  <c r="D11" i="3"/>
  <c r="A11" i="3"/>
  <c r="D10" i="3"/>
  <c r="A10" i="3"/>
  <c r="D9" i="3"/>
  <c r="A9" i="3"/>
  <c r="D8" i="3"/>
  <c r="A8" i="3"/>
  <c r="D7" i="3"/>
  <c r="A7" i="3"/>
  <c r="D6" i="3"/>
  <c r="A6" i="3"/>
  <c r="D5" i="3"/>
  <c r="A5" i="3"/>
  <c r="D4" i="3"/>
  <c r="A4" i="3"/>
  <c r="D3" i="3"/>
  <c r="A3" i="3"/>
  <c r="A2" i="3"/>
  <c r="D2" i="3"/>
  <c r="D30" i="2"/>
  <c r="A30" i="2"/>
  <c r="D29" i="2"/>
  <c r="A29" i="2"/>
  <c r="D28" i="2"/>
  <c r="A28" i="2"/>
  <c r="D27" i="2"/>
  <c r="A27" i="2"/>
  <c r="D26" i="2"/>
  <c r="A26" i="2"/>
  <c r="D25" i="2"/>
  <c r="A25" i="2"/>
  <c r="D24" i="2"/>
  <c r="A24" i="2"/>
  <c r="D23" i="2"/>
  <c r="A23" i="2"/>
  <c r="D22" i="2"/>
  <c r="A22" i="2"/>
  <c r="D21" i="2"/>
  <c r="A21" i="2"/>
  <c r="D20" i="2"/>
  <c r="A20" i="2"/>
  <c r="D19" i="2"/>
  <c r="A19" i="2"/>
  <c r="D18" i="2"/>
  <c r="A18" i="2"/>
  <c r="D17" i="2"/>
  <c r="A17" i="2"/>
  <c r="D16" i="2"/>
  <c r="A16" i="2"/>
  <c r="D15" i="2"/>
  <c r="A15" i="2"/>
  <c r="D14" i="2"/>
  <c r="A14" i="2"/>
  <c r="D13" i="2"/>
  <c r="A13" i="2"/>
  <c r="D12" i="2"/>
  <c r="A12" i="2"/>
  <c r="D11" i="2"/>
  <c r="A11" i="2"/>
  <c r="D10" i="2"/>
  <c r="A10" i="2"/>
  <c r="D9" i="2"/>
  <c r="A9" i="2"/>
  <c r="D8" i="2"/>
  <c r="A8" i="2"/>
  <c r="D7" i="2"/>
  <c r="A7" i="2"/>
  <c r="D6" i="2"/>
  <c r="A6" i="2"/>
  <c r="D5" i="2"/>
  <c r="A5" i="2"/>
  <c r="D4" i="2"/>
  <c r="A4" i="2"/>
  <c r="D3" i="2"/>
  <c r="A3" i="2"/>
  <c r="A2" i="2"/>
  <c r="D2" i="2"/>
  <c r="E377" i="1"/>
  <c r="A377" i="1"/>
  <c r="E376" i="1"/>
  <c r="A376" i="1"/>
  <c r="E375" i="1"/>
  <c r="A375" i="1"/>
  <c r="E374" i="1"/>
  <c r="A374" i="1"/>
  <c r="E373" i="1"/>
  <c r="A373" i="1"/>
  <c r="E372" i="1"/>
  <c r="A372" i="1"/>
  <c r="E371" i="1"/>
  <c r="A371" i="1"/>
  <c r="E370" i="1"/>
  <c r="A370" i="1"/>
  <c r="E369" i="1"/>
  <c r="A369" i="1"/>
  <c r="E368" i="1"/>
  <c r="A368" i="1"/>
  <c r="E367" i="1"/>
  <c r="A367" i="1"/>
  <c r="E366" i="1"/>
  <c r="A366" i="1"/>
  <c r="E365" i="1"/>
  <c r="A365" i="1"/>
  <c r="E364" i="1"/>
  <c r="A364" i="1"/>
  <c r="E363" i="1"/>
  <c r="A363" i="1"/>
  <c r="E362" i="1"/>
  <c r="A362" i="1"/>
  <c r="E361" i="1"/>
  <c r="A361" i="1"/>
  <c r="E360" i="1"/>
  <c r="A360" i="1"/>
  <c r="E359" i="1"/>
  <c r="A359" i="1"/>
  <c r="E358" i="1"/>
  <c r="A358" i="1"/>
  <c r="E357" i="1"/>
  <c r="A357" i="1"/>
  <c r="E356" i="1"/>
  <c r="A356" i="1"/>
  <c r="E355" i="1"/>
  <c r="A355" i="1"/>
  <c r="E354" i="1"/>
  <c r="A354" i="1"/>
  <c r="E353" i="1"/>
  <c r="A353" i="1"/>
  <c r="E352" i="1"/>
  <c r="A352" i="1"/>
  <c r="E351" i="1"/>
  <c r="A351" i="1"/>
  <c r="E350" i="1"/>
  <c r="A350" i="1"/>
  <c r="E349" i="1"/>
  <c r="A349" i="1"/>
  <c r="E348" i="1"/>
  <c r="A348" i="1"/>
  <c r="E347" i="1"/>
  <c r="A347" i="1"/>
  <c r="E346" i="1"/>
  <c r="A346" i="1"/>
  <c r="E345" i="1"/>
  <c r="A345" i="1"/>
  <c r="E344" i="1"/>
  <c r="A344" i="1"/>
  <c r="E343" i="1"/>
  <c r="A343" i="1"/>
  <c r="E342" i="1"/>
  <c r="A342" i="1"/>
  <c r="E341" i="1"/>
  <c r="A341" i="1"/>
  <c r="E340" i="1"/>
  <c r="A340" i="1"/>
  <c r="E339" i="1"/>
  <c r="A339" i="1"/>
  <c r="E338" i="1"/>
  <c r="A338" i="1"/>
  <c r="E337" i="1"/>
  <c r="A337" i="1"/>
  <c r="E336" i="1"/>
  <c r="A336" i="1"/>
  <c r="E335" i="1"/>
  <c r="A335" i="1"/>
  <c r="E334" i="1"/>
  <c r="A334" i="1"/>
  <c r="E333" i="1"/>
  <c r="A333" i="1"/>
  <c r="E332" i="1"/>
  <c r="A332" i="1"/>
  <c r="E331" i="1"/>
  <c r="A331" i="1"/>
  <c r="E330" i="1"/>
  <c r="A330" i="1"/>
  <c r="E329" i="1"/>
  <c r="A329" i="1"/>
  <c r="E328" i="1"/>
  <c r="A328" i="1"/>
  <c r="E327" i="1"/>
  <c r="A327" i="1"/>
  <c r="E326" i="1"/>
  <c r="A326" i="1"/>
  <c r="E325" i="1"/>
  <c r="A325" i="1"/>
  <c r="E324" i="1"/>
  <c r="A324" i="1"/>
  <c r="E323" i="1"/>
  <c r="A323" i="1"/>
  <c r="E322" i="1"/>
  <c r="A322" i="1"/>
  <c r="E321" i="1"/>
  <c r="A321" i="1"/>
  <c r="E320" i="1"/>
  <c r="A320" i="1"/>
  <c r="E319" i="1"/>
  <c r="A319" i="1"/>
  <c r="E318" i="1"/>
  <c r="A318" i="1"/>
  <c r="E317" i="1"/>
  <c r="A317" i="1"/>
  <c r="E316" i="1"/>
  <c r="A316" i="1"/>
  <c r="E315" i="1"/>
  <c r="A315" i="1"/>
  <c r="E314" i="1"/>
  <c r="A314" i="1"/>
  <c r="E313" i="1"/>
  <c r="A313" i="1"/>
  <c r="E312" i="1"/>
  <c r="A312" i="1"/>
  <c r="E311" i="1"/>
  <c r="A311" i="1"/>
  <c r="E310" i="1"/>
  <c r="A310" i="1"/>
  <c r="E309" i="1"/>
  <c r="A309" i="1"/>
  <c r="E308" i="1"/>
  <c r="A308" i="1"/>
  <c r="E307" i="1"/>
  <c r="A307" i="1"/>
  <c r="E306" i="1"/>
  <c r="A306" i="1"/>
  <c r="E305" i="1"/>
  <c r="A305" i="1"/>
  <c r="E304" i="1"/>
  <c r="A304" i="1"/>
  <c r="E303" i="1"/>
  <c r="A303" i="1"/>
  <c r="E302" i="1"/>
  <c r="A302" i="1"/>
  <c r="E301" i="1"/>
  <c r="A301" i="1"/>
  <c r="E300" i="1"/>
  <c r="A300" i="1"/>
  <c r="E299" i="1"/>
  <c r="A299" i="1"/>
  <c r="E298" i="1"/>
  <c r="A298" i="1"/>
  <c r="E297" i="1"/>
  <c r="A297" i="1"/>
  <c r="E296" i="1"/>
  <c r="A296" i="1"/>
  <c r="E295" i="1"/>
  <c r="A295" i="1"/>
  <c r="E294" i="1"/>
  <c r="A294" i="1"/>
  <c r="E293" i="1"/>
  <c r="A293" i="1"/>
  <c r="E292" i="1"/>
  <c r="A292" i="1"/>
  <c r="E291" i="1"/>
  <c r="A291" i="1"/>
  <c r="E290" i="1"/>
  <c r="A290" i="1"/>
  <c r="E289" i="1"/>
  <c r="A289" i="1"/>
  <c r="E288" i="1"/>
  <c r="A288" i="1"/>
  <c r="E287" i="1"/>
  <c r="A287" i="1"/>
  <c r="E286" i="1"/>
  <c r="A286" i="1"/>
  <c r="E285" i="1"/>
  <c r="A285" i="1"/>
  <c r="E284" i="1"/>
  <c r="A284" i="1"/>
  <c r="E283" i="1"/>
  <c r="A283" i="1"/>
  <c r="E282" i="1"/>
  <c r="A282" i="1"/>
  <c r="E281" i="1"/>
  <c r="A281" i="1"/>
  <c r="E280" i="1"/>
  <c r="A280" i="1"/>
  <c r="E279" i="1"/>
  <c r="A279" i="1"/>
  <c r="E278" i="1"/>
  <c r="A278" i="1"/>
  <c r="E277" i="1"/>
  <c r="A277" i="1"/>
  <c r="E276" i="1"/>
  <c r="A276" i="1"/>
  <c r="E275" i="1"/>
  <c r="A275" i="1"/>
  <c r="E274" i="1"/>
  <c r="A274" i="1"/>
  <c r="E273" i="1"/>
  <c r="A273" i="1"/>
  <c r="E272" i="1"/>
  <c r="A272" i="1"/>
  <c r="E271" i="1"/>
  <c r="A271" i="1"/>
  <c r="E270" i="1"/>
  <c r="A270" i="1"/>
  <c r="E269" i="1"/>
  <c r="A269" i="1"/>
  <c r="E268" i="1"/>
  <c r="A268" i="1"/>
  <c r="E267" i="1"/>
  <c r="A267" i="1"/>
  <c r="E266" i="1"/>
  <c r="A266" i="1"/>
  <c r="E265" i="1"/>
  <c r="A265" i="1"/>
  <c r="E264" i="1"/>
  <c r="A264" i="1"/>
  <c r="E263" i="1"/>
  <c r="A263" i="1"/>
  <c r="E262" i="1"/>
  <c r="A262" i="1"/>
  <c r="E261" i="1"/>
  <c r="A261" i="1"/>
  <c r="E260" i="1"/>
  <c r="A260" i="1"/>
  <c r="E259" i="1"/>
  <c r="A259" i="1"/>
  <c r="E258" i="1"/>
  <c r="A258" i="1"/>
  <c r="E257" i="1"/>
  <c r="A257" i="1"/>
  <c r="E256" i="1"/>
  <c r="A256" i="1"/>
  <c r="E255" i="1"/>
  <c r="A255" i="1"/>
  <c r="E254" i="1"/>
  <c r="A254" i="1"/>
  <c r="E253" i="1"/>
  <c r="A253" i="1"/>
  <c r="E252" i="1"/>
  <c r="A252" i="1"/>
  <c r="E251" i="1"/>
  <c r="A251" i="1"/>
  <c r="E250" i="1"/>
  <c r="A250" i="1"/>
  <c r="E249" i="1"/>
  <c r="A249" i="1"/>
  <c r="E248" i="1"/>
  <c r="A248" i="1"/>
  <c r="E247" i="1"/>
  <c r="A247" i="1"/>
  <c r="E246" i="1"/>
  <c r="A246" i="1"/>
  <c r="E245" i="1"/>
  <c r="A245" i="1"/>
  <c r="E244" i="1"/>
  <c r="A244" i="1"/>
  <c r="E243" i="1"/>
  <c r="A243" i="1"/>
  <c r="E242" i="1"/>
  <c r="A242" i="1"/>
  <c r="E241" i="1"/>
  <c r="A241" i="1"/>
  <c r="E240" i="1"/>
  <c r="A240" i="1"/>
  <c r="E239" i="1"/>
  <c r="A239" i="1"/>
  <c r="E238" i="1"/>
  <c r="A238" i="1"/>
  <c r="E237" i="1"/>
  <c r="A237" i="1"/>
  <c r="E236" i="1"/>
  <c r="A236" i="1"/>
  <c r="E235" i="1"/>
  <c r="A235" i="1"/>
  <c r="E234" i="1"/>
  <c r="A234" i="1"/>
  <c r="E233" i="1"/>
  <c r="A233" i="1"/>
  <c r="E232" i="1"/>
  <c r="A232" i="1"/>
  <c r="E231" i="1"/>
  <c r="A231" i="1"/>
  <c r="E230" i="1"/>
  <c r="A230" i="1"/>
  <c r="E229" i="1"/>
  <c r="A229" i="1"/>
  <c r="E228" i="1"/>
  <c r="A228" i="1"/>
  <c r="E227" i="1"/>
  <c r="A227" i="1"/>
  <c r="E226" i="1"/>
  <c r="A226" i="1"/>
  <c r="E225" i="1"/>
  <c r="A225" i="1"/>
  <c r="E224" i="1"/>
  <c r="A224" i="1"/>
  <c r="E223" i="1"/>
  <c r="A223" i="1"/>
  <c r="E222" i="1"/>
  <c r="A222" i="1"/>
  <c r="E221" i="1"/>
  <c r="A221" i="1"/>
  <c r="E220" i="1"/>
  <c r="A220" i="1"/>
  <c r="E219" i="1"/>
  <c r="A219" i="1"/>
  <c r="E218" i="1"/>
  <c r="A218" i="1"/>
  <c r="E217" i="1"/>
  <c r="A217" i="1"/>
  <c r="E216" i="1"/>
  <c r="A216" i="1"/>
  <c r="E215" i="1"/>
  <c r="A215" i="1"/>
  <c r="E214" i="1"/>
  <c r="A214" i="1"/>
  <c r="E213" i="1"/>
  <c r="A213" i="1"/>
  <c r="E212" i="1"/>
  <c r="A212" i="1"/>
  <c r="E211" i="1"/>
  <c r="A211" i="1"/>
  <c r="E210" i="1"/>
  <c r="A210" i="1"/>
  <c r="E209" i="1"/>
  <c r="A209" i="1"/>
  <c r="E208" i="1"/>
  <c r="A208" i="1"/>
  <c r="E207" i="1"/>
  <c r="A207" i="1"/>
  <c r="E206" i="1"/>
  <c r="A206" i="1"/>
  <c r="E205" i="1"/>
  <c r="A205" i="1"/>
  <c r="E204" i="1"/>
  <c r="A204" i="1"/>
  <c r="E203" i="1"/>
  <c r="A203" i="1"/>
  <c r="E202" i="1"/>
  <c r="A202" i="1"/>
  <c r="E201" i="1"/>
  <c r="A201" i="1"/>
  <c r="E200" i="1"/>
  <c r="A200" i="1"/>
  <c r="E199" i="1"/>
  <c r="A199" i="1"/>
  <c r="E198" i="1"/>
  <c r="A198" i="1"/>
  <c r="E197" i="1"/>
  <c r="A197" i="1"/>
  <c r="E196" i="1"/>
  <c r="A196" i="1"/>
  <c r="E195" i="1"/>
  <c r="A195" i="1"/>
  <c r="E194" i="1"/>
  <c r="A194" i="1"/>
  <c r="E193" i="1"/>
  <c r="A193" i="1"/>
  <c r="E192" i="1"/>
  <c r="A192" i="1"/>
  <c r="E191" i="1"/>
  <c r="A191" i="1"/>
  <c r="E190" i="1"/>
  <c r="A190" i="1"/>
  <c r="E189" i="1"/>
  <c r="A189" i="1"/>
  <c r="E188" i="1"/>
  <c r="A188" i="1"/>
  <c r="E187" i="1"/>
  <c r="A187" i="1"/>
  <c r="E186" i="1"/>
  <c r="A186" i="1"/>
  <c r="E185" i="1"/>
  <c r="A185" i="1"/>
  <c r="E184" i="1"/>
  <c r="A184" i="1"/>
  <c r="E183" i="1"/>
  <c r="A183" i="1"/>
  <c r="E182" i="1"/>
  <c r="A182" i="1"/>
  <c r="E181" i="1"/>
  <c r="A181" i="1"/>
  <c r="E180" i="1"/>
  <c r="A180" i="1"/>
  <c r="E179" i="1"/>
  <c r="A179" i="1"/>
  <c r="E178" i="1"/>
  <c r="A178" i="1"/>
  <c r="E177" i="1"/>
  <c r="A177" i="1"/>
  <c r="E176" i="1"/>
  <c r="A176" i="1"/>
  <c r="E175" i="1"/>
  <c r="A175" i="1"/>
  <c r="E174" i="1"/>
  <c r="A174" i="1"/>
  <c r="E173" i="1"/>
  <c r="A173" i="1"/>
  <c r="E172" i="1"/>
  <c r="A172" i="1"/>
  <c r="E171" i="1"/>
  <c r="A171" i="1"/>
  <c r="E170" i="1"/>
  <c r="A170" i="1"/>
  <c r="E169" i="1"/>
  <c r="A169" i="1"/>
  <c r="E168" i="1"/>
  <c r="A168" i="1"/>
  <c r="E167" i="1"/>
  <c r="A167" i="1"/>
  <c r="E166" i="1"/>
  <c r="A166" i="1"/>
  <c r="E165" i="1"/>
  <c r="A165" i="1"/>
  <c r="E164" i="1"/>
  <c r="A164" i="1"/>
  <c r="E163" i="1"/>
  <c r="A163" i="1"/>
  <c r="E162" i="1"/>
  <c r="A162" i="1"/>
  <c r="E161" i="1"/>
  <c r="A161" i="1"/>
  <c r="E160" i="1"/>
  <c r="A160" i="1"/>
  <c r="E159" i="1"/>
  <c r="A159" i="1"/>
  <c r="E158" i="1"/>
  <c r="A158" i="1"/>
  <c r="E157" i="1"/>
  <c r="A157" i="1"/>
  <c r="E156" i="1"/>
  <c r="A156" i="1"/>
  <c r="E155" i="1"/>
  <c r="A155" i="1"/>
  <c r="E154" i="1"/>
  <c r="A154" i="1"/>
  <c r="E153" i="1"/>
  <c r="A153" i="1"/>
  <c r="E152" i="1"/>
  <c r="A152" i="1"/>
  <c r="E151" i="1"/>
  <c r="A151" i="1"/>
  <c r="E150" i="1"/>
  <c r="A150" i="1"/>
  <c r="E149" i="1"/>
  <c r="A149" i="1"/>
  <c r="E148" i="1"/>
  <c r="A148" i="1"/>
  <c r="E147" i="1"/>
  <c r="A147" i="1"/>
  <c r="E146" i="1"/>
  <c r="A146" i="1"/>
  <c r="E145" i="1"/>
  <c r="A145" i="1"/>
  <c r="E144" i="1"/>
  <c r="A144" i="1"/>
  <c r="E143" i="1"/>
  <c r="A143" i="1"/>
  <c r="E142" i="1"/>
  <c r="A142" i="1"/>
  <c r="E141" i="1"/>
  <c r="A141" i="1"/>
  <c r="E140" i="1"/>
  <c r="A140" i="1"/>
  <c r="E139" i="1"/>
  <c r="A139" i="1"/>
  <c r="E138" i="1"/>
  <c r="A138" i="1"/>
  <c r="E132" i="1"/>
  <c r="A132" i="1"/>
  <c r="E131" i="1"/>
  <c r="A131" i="1"/>
  <c r="E128" i="1"/>
  <c r="A128" i="1"/>
  <c r="E127" i="1"/>
  <c r="A127" i="1"/>
  <c r="E126" i="1"/>
  <c r="A126" i="1"/>
  <c r="E125" i="1"/>
  <c r="A125" i="1"/>
  <c r="E122" i="1"/>
  <c r="A122" i="1"/>
  <c r="E121" i="1"/>
  <c r="A121" i="1"/>
  <c r="E120" i="1"/>
  <c r="A120" i="1"/>
  <c r="E119" i="1"/>
  <c r="A119" i="1"/>
  <c r="E118" i="1"/>
  <c r="A118" i="1"/>
  <c r="E117" i="1"/>
  <c r="A117" i="1"/>
  <c r="E116" i="1"/>
  <c r="A116" i="1"/>
  <c r="E115" i="1"/>
  <c r="A115" i="1"/>
  <c r="E113" i="1"/>
  <c r="A113" i="1"/>
  <c r="E109" i="1"/>
  <c r="A109" i="1"/>
  <c r="E108" i="1"/>
  <c r="A108" i="1"/>
  <c r="E107" i="1"/>
  <c r="A107" i="1"/>
  <c r="E103" i="1"/>
  <c r="A103" i="1"/>
  <c r="E102" i="1"/>
  <c r="A102" i="1"/>
  <c r="E101" i="1"/>
  <c r="A101" i="1"/>
  <c r="E100" i="1"/>
  <c r="A100" i="1"/>
  <c r="E99" i="1"/>
  <c r="A99" i="1"/>
  <c r="E72" i="1"/>
  <c r="A72" i="1"/>
  <c r="E71" i="1"/>
  <c r="A71" i="1"/>
  <c r="E65" i="1"/>
  <c r="A65" i="1"/>
  <c r="E60" i="1"/>
  <c r="A60" i="1"/>
  <c r="E54" i="1"/>
  <c r="A54" i="1"/>
  <c r="E51" i="1"/>
  <c r="A51" i="1"/>
  <c r="E50" i="1"/>
  <c r="A50" i="1"/>
  <c r="E49" i="1"/>
  <c r="A49" i="1"/>
  <c r="E48" i="1"/>
  <c r="A48" i="1"/>
  <c r="E42" i="1"/>
  <c r="A42" i="1"/>
  <c r="E41" i="1"/>
  <c r="A41" i="1"/>
  <c r="E28" i="1"/>
  <c r="A28" i="1"/>
  <c r="E27" i="1"/>
  <c r="A27" i="1"/>
  <c r="E26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3" i="1"/>
  <c r="A13" i="1"/>
  <c r="E12" i="1"/>
  <c r="A12" i="1"/>
  <c r="E11" i="1"/>
  <c r="A11" i="1"/>
  <c r="E10" i="1"/>
  <c r="A10" i="1"/>
  <c r="E9" i="1"/>
  <c r="A9" i="1"/>
  <c r="E8" i="1"/>
  <c r="A8" i="1"/>
  <c r="E7" i="1"/>
  <c r="A7" i="1"/>
  <c r="E6" i="1"/>
  <c r="A6" i="1"/>
  <c r="E5" i="1"/>
  <c r="A5" i="1"/>
  <c r="E3" i="1"/>
  <c r="A3" i="1"/>
  <c r="E2" i="1"/>
  <c r="A2" i="1"/>
  <c r="E136" i="1"/>
  <c r="A136" i="1"/>
  <c r="E135" i="1"/>
  <c r="A135" i="1"/>
  <c r="E134" i="1"/>
  <c r="A134" i="1"/>
  <c r="E133" i="1"/>
  <c r="A133" i="1"/>
  <c r="E130" i="1"/>
  <c r="A130" i="1"/>
  <c r="E129" i="1"/>
  <c r="A129" i="1"/>
  <c r="E124" i="1"/>
  <c r="A124" i="1"/>
  <c r="E123" i="1"/>
  <c r="A123" i="1"/>
  <c r="E112" i="1"/>
  <c r="A112" i="1"/>
  <c r="E111" i="1"/>
  <c r="A111" i="1"/>
  <c r="E110" i="1"/>
  <c r="A110" i="1"/>
  <c r="E106" i="1"/>
  <c r="A106" i="1"/>
  <c r="E105" i="1"/>
  <c r="A105" i="1"/>
  <c r="E104" i="1"/>
  <c r="A104" i="1"/>
  <c r="E97" i="1"/>
  <c r="A97" i="1"/>
  <c r="E96" i="1"/>
  <c r="A96" i="1"/>
  <c r="E95" i="1"/>
  <c r="A95" i="1"/>
  <c r="E94" i="1"/>
  <c r="A94" i="1"/>
  <c r="E93" i="1"/>
  <c r="A93" i="1"/>
  <c r="E92" i="1"/>
  <c r="A92" i="1"/>
  <c r="E91" i="1"/>
  <c r="A91" i="1"/>
  <c r="E90" i="1"/>
  <c r="A90" i="1"/>
  <c r="E89" i="1"/>
  <c r="A89" i="1"/>
  <c r="E88" i="1"/>
  <c r="A88" i="1"/>
  <c r="E87" i="1"/>
  <c r="A87" i="1"/>
  <c r="E86" i="1"/>
  <c r="A86" i="1"/>
  <c r="E85" i="1"/>
  <c r="A85" i="1"/>
  <c r="E84" i="1"/>
  <c r="A84" i="1"/>
  <c r="E83" i="1"/>
  <c r="A83" i="1"/>
  <c r="E82" i="1"/>
  <c r="A82" i="1"/>
  <c r="E81" i="1"/>
  <c r="A81" i="1"/>
  <c r="E80" i="1"/>
  <c r="A80" i="1"/>
  <c r="E79" i="1"/>
  <c r="A79" i="1"/>
  <c r="E78" i="1"/>
  <c r="A78" i="1"/>
  <c r="E77" i="1"/>
  <c r="A77" i="1"/>
  <c r="E76" i="1"/>
  <c r="A76" i="1"/>
  <c r="E75" i="1"/>
  <c r="A75" i="1"/>
  <c r="E74" i="1"/>
  <c r="A74" i="1"/>
  <c r="E73" i="1"/>
  <c r="A73" i="1"/>
  <c r="E70" i="1"/>
  <c r="A70" i="1"/>
  <c r="E69" i="1"/>
  <c r="A69" i="1"/>
  <c r="E68" i="1"/>
  <c r="A68" i="1"/>
  <c r="E67" i="1"/>
  <c r="A67" i="1"/>
  <c r="E66" i="1"/>
  <c r="A66" i="1"/>
  <c r="E64" i="1"/>
  <c r="A64" i="1"/>
  <c r="E63" i="1"/>
  <c r="A63" i="1"/>
  <c r="E62" i="1"/>
  <c r="A62" i="1"/>
  <c r="E61" i="1"/>
  <c r="A61" i="1"/>
  <c r="E59" i="1"/>
  <c r="A59" i="1"/>
  <c r="E58" i="1"/>
  <c r="A58" i="1"/>
  <c r="E57" i="1"/>
  <c r="A57" i="1"/>
  <c r="E56" i="1"/>
  <c r="A56" i="1"/>
  <c r="E55" i="1"/>
  <c r="A55" i="1"/>
  <c r="E53" i="1"/>
  <c r="A53" i="1"/>
  <c r="E52" i="1"/>
  <c r="A52" i="1"/>
  <c r="E47" i="1"/>
  <c r="A47" i="1"/>
  <c r="E46" i="1"/>
  <c r="A46" i="1"/>
  <c r="E45" i="1"/>
  <c r="A45" i="1"/>
  <c r="E44" i="1"/>
  <c r="A44" i="1"/>
  <c r="E43" i="1"/>
  <c r="A43" i="1"/>
  <c r="E40" i="1"/>
  <c r="A40" i="1"/>
  <c r="E39" i="1"/>
  <c r="A39" i="1"/>
  <c r="E38" i="1"/>
  <c r="A38" i="1"/>
  <c r="E37" i="1"/>
  <c r="A37" i="1"/>
  <c r="E36" i="1"/>
  <c r="A36" i="1"/>
  <c r="E35" i="1"/>
  <c r="A35" i="1"/>
  <c r="E34" i="1"/>
  <c r="A34" i="1"/>
  <c r="E33" i="1"/>
  <c r="A33" i="1"/>
  <c r="E32" i="1"/>
  <c r="A32" i="1"/>
  <c r="E31" i="1"/>
  <c r="A31" i="1"/>
  <c r="E30" i="1"/>
  <c r="A30" i="1"/>
  <c r="E29" i="1"/>
  <c r="A29" i="1"/>
  <c r="E18" i="1"/>
  <c r="A18" i="1"/>
  <c r="E17" i="1"/>
  <c r="A17" i="1"/>
  <c r="E16" i="1"/>
  <c r="A16" i="1"/>
  <c r="E15" i="1"/>
  <c r="A15" i="1"/>
  <c r="E14" i="1"/>
  <c r="A14" i="1"/>
</calcChain>
</file>

<file path=xl/sharedStrings.xml><?xml version="1.0" encoding="utf-8"?>
<sst xmlns="http://schemas.openxmlformats.org/spreadsheetml/2006/main" count="6579" uniqueCount="898">
  <si>
    <t>hubmap_id</t>
  </si>
  <si>
    <t>lab_donor_id</t>
  </si>
  <si>
    <t>origin_lab_id</t>
  </si>
  <si>
    <t>origin_hubmap_id</t>
  </si>
  <si>
    <t>lab_tissue_sample_id</t>
  </si>
  <si>
    <t>description</t>
  </si>
  <si>
    <t>entity_type</t>
  </si>
  <si>
    <t>sample_category</t>
  </si>
  <si>
    <t>display_subtype</t>
  </si>
  <si>
    <t>rui_registered</t>
  </si>
  <si>
    <t>protocol_url</t>
  </si>
  <si>
    <t>data_access_level</t>
  </si>
  <si>
    <t>created_by_user_displayname</t>
  </si>
  <si>
    <t>created_by_user_email</t>
  </si>
  <si>
    <t>group_name</t>
  </si>
  <si>
    <t>created_time</t>
  </si>
  <si>
    <t>last_modified</t>
  </si>
  <si>
    <t>D231</t>
  </si>
  <si>
    <t>D231-RL</t>
  </si>
  <si>
    <t>D231-RML-10A4</t>
  </si>
  <si>
    <t>Sample</t>
  </si>
  <si>
    <t>block</t>
  </si>
  <si>
    <t>Block</t>
  </si>
  <si>
    <t>dx.doi.org/10.17504/protocols.io.bjtnknme</t>
  </si>
  <si>
    <t>public</t>
  </si>
  <si>
    <t>GLORIA PRYHUBER</t>
  </si>
  <si>
    <t>gloria_pryhuber@urmc.rochester.edu</t>
  </si>
  <si>
    <t>University of California San Diego TMC</t>
  </si>
  <si>
    <t>D231-RML-10B2</t>
  </si>
  <si>
    <t xml:space="preserve">Peripheral tissue of right medial bronchopulmonary segment; longitudinal pulmonary vein forms one edge with branches into interlobular septum, small muscular bronchus with cartilage with pulmonary artery , muscular bronchioles with pulmonary artery, alveolar ducts, alveoli </t>
  </si>
  <si>
    <t>D231-RML-2A3</t>
  </si>
  <si>
    <t>D231-RML-4B4</t>
  </si>
  <si>
    <t>D231-RML-6A4</t>
  </si>
  <si>
    <t>D239</t>
  </si>
  <si>
    <t>D239-RL</t>
  </si>
  <si>
    <t>D239-RML</t>
  </si>
  <si>
    <t>dx.doi.org/10.17504/protocols.io.bjuxknxn</t>
  </si>
  <si>
    <t>D239-RML-12A3</t>
  </si>
  <si>
    <t>D239-RML-12A4</t>
  </si>
  <si>
    <t>D239-RML-3A4</t>
  </si>
  <si>
    <t>D239-RML-7A2</t>
  </si>
  <si>
    <t>D239-RML-7A3</t>
  </si>
  <si>
    <t>D239-RML-9B3</t>
  </si>
  <si>
    <t>D239-RML-9B5</t>
  </si>
  <si>
    <t>D239-RML-BPS-3</t>
  </si>
  <si>
    <t>Biopsy section, subsections of which were used at Northwestern for protein analysis. Slice 13 in accompanying image.</t>
  </si>
  <si>
    <t>D260</t>
  </si>
  <si>
    <t>D260-LL</t>
  </si>
  <si>
    <t>D260-LUL-11A3</t>
  </si>
  <si>
    <t>Tissue block from left upper lung lobe, embedded and frozen in OCT</t>
  </si>
  <si>
    <t>D260-LUL-11C8</t>
  </si>
  <si>
    <t>D260-LUL-5A3</t>
  </si>
  <si>
    <t>D260-LUL-5C3</t>
  </si>
  <si>
    <t>D264</t>
  </si>
  <si>
    <t>D264-LL</t>
  </si>
  <si>
    <t>D264-LUL-10A3</t>
  </si>
  <si>
    <t>Tissue block from left upper lung lobe</t>
  </si>
  <si>
    <t>dx.doi.org/10.17504/protocols.io.bjtsknne</t>
  </si>
  <si>
    <t>D264-LUL-13B5</t>
  </si>
  <si>
    <t>D264-LUL-4A2</t>
  </si>
  <si>
    <t>D264-LUL-4A6</t>
  </si>
  <si>
    <t>D264-LUL-7B4</t>
  </si>
  <si>
    <t>D265</t>
  </si>
  <si>
    <t>D265-LL</t>
  </si>
  <si>
    <t>D265-LUL-13B4</t>
  </si>
  <si>
    <t>Tissue blocks from left upper lobe, embedded and frozen in OCT</t>
  </si>
  <si>
    <t>D265-LUL-13B5</t>
  </si>
  <si>
    <t>D265-LUL-20A3</t>
  </si>
  <si>
    <t>D265-LUL-5A3</t>
  </si>
  <si>
    <t>Tissue blocks from left upper lobe, embedded and frozen in OCT; longitudinal muscular vessel, muscular bronchiole and pulmonary artery, small regions of BALT</t>
  </si>
  <si>
    <t>D265-LUL-5B4</t>
  </si>
  <si>
    <t>D265-LUL-9B4</t>
  </si>
  <si>
    <t>D271</t>
  </si>
  <si>
    <t>D271-RL</t>
  </si>
  <si>
    <t>D271-RLL-14A8</t>
  </si>
  <si>
    <t>Formalin fixed right lower lobe tissue</t>
  </si>
  <si>
    <t>dx.doi.org/10.17504/protocols.io.bjtuknnw</t>
  </si>
  <si>
    <t>consortium</t>
  </si>
  <si>
    <t>D271-RLL-17B5</t>
  </si>
  <si>
    <t>D271-RML-10B3</t>
  </si>
  <si>
    <t>Fresh tissue block from right middle lobe of 53 y.o, healthy, white male, embedded in OCT media, then frozen over dry ice ethanol bath</t>
  </si>
  <si>
    <t>D271-RML-11B2</t>
  </si>
  <si>
    <t>Formalin fixed right lower lobe tissue blocks</t>
  </si>
  <si>
    <t>D271-RML-7B4</t>
  </si>
  <si>
    <t>D273</t>
  </si>
  <si>
    <t>D273-RL</t>
  </si>
  <si>
    <t>D273-RML-9A5</t>
  </si>
  <si>
    <t>D283</t>
  </si>
  <si>
    <t>D283-RL</t>
  </si>
  <si>
    <t>D283-RLL-14C3</t>
  </si>
  <si>
    <t>Formalin Fixed Tissue Block</t>
  </si>
  <si>
    <t>D283-RLL-18A6</t>
  </si>
  <si>
    <t>D283-RLL-18D2</t>
  </si>
  <si>
    <t>D283-RLL-21B5</t>
  </si>
  <si>
    <t>D292</t>
  </si>
  <si>
    <t>D292-RL</t>
  </si>
  <si>
    <t>D292-RUL-10A5</t>
  </si>
  <si>
    <t>D292-RUL-5A2</t>
  </si>
  <si>
    <t>D292-RUL-5A5</t>
  </si>
  <si>
    <t>D292-RUL-5B5</t>
  </si>
  <si>
    <t>Tissue block from right upper lobe, embedded and frozen in OCT.</t>
  </si>
  <si>
    <t>D292-RUL-5B7</t>
  </si>
  <si>
    <t>D298</t>
  </si>
  <si>
    <t>D298-RL</t>
  </si>
  <si>
    <t>D298-RLL-20A6</t>
  </si>
  <si>
    <t>Formalin fixed paraffin embedded COVID-19 pneumonia</t>
  </si>
  <si>
    <t>D298-RLL-20D3</t>
  </si>
  <si>
    <t>D298-RUL-5A3</t>
  </si>
  <si>
    <t>D303</t>
  </si>
  <si>
    <t>D303-RL</t>
  </si>
  <si>
    <t>D303-RML-11A2</t>
  </si>
  <si>
    <t>Formalin Fixed tissue block of COVID-19 pneumonia</t>
  </si>
  <si>
    <t>D303-RML-15A2</t>
  </si>
  <si>
    <t>D303-RML-15B2</t>
  </si>
  <si>
    <t>D303-RML-7A4</t>
  </si>
  <si>
    <t>D311</t>
  </si>
  <si>
    <t>D311-RL</t>
  </si>
  <si>
    <t>D311-RLL-14A6</t>
  </si>
  <si>
    <t>D311-RLL-14B6</t>
  </si>
  <si>
    <t>D311-RLL-24B6</t>
  </si>
  <si>
    <t>D316</t>
  </si>
  <si>
    <t>D316-RL</t>
  </si>
  <si>
    <t>D316-RLL-15B2</t>
  </si>
  <si>
    <t>Formalin fixed right lung with COVID-19 pneumonia</t>
  </si>
  <si>
    <t>D316-RLL-19C3</t>
  </si>
  <si>
    <t>D316-RLL-21C6</t>
  </si>
  <si>
    <t>D320</t>
  </si>
  <si>
    <t>D320-LL</t>
  </si>
  <si>
    <t>D320-LLL-15C2</t>
  </si>
  <si>
    <t>Formalin fixed left lower lobe, left lung with prior COVID-19 pneumonia</t>
  </si>
  <si>
    <t>D320-LLL-16A3</t>
  </si>
  <si>
    <t>D320-LLL-20B5</t>
  </si>
  <si>
    <t>D322</t>
  </si>
  <si>
    <t>D322-RL</t>
  </si>
  <si>
    <t>D322-RML-14B2</t>
  </si>
  <si>
    <t>Formalin fixed right lung with acute COVID-19 pneumonia</t>
  </si>
  <si>
    <t>D322-RML-14C1</t>
  </si>
  <si>
    <t>D322-RML-14E1</t>
  </si>
  <si>
    <t>D322-RML-23A2</t>
  </si>
  <si>
    <t>D341</t>
  </si>
  <si>
    <t>D341-RL</t>
  </si>
  <si>
    <t>D341-RUL-3A2</t>
  </si>
  <si>
    <t>Tissue block from right upper lobe, embedded and frozen in OCT</t>
  </si>
  <si>
    <t>D341-RUL-3A4</t>
  </si>
  <si>
    <t>D341-RUL-3B4</t>
  </si>
  <si>
    <t>D341-RUL-9A3</t>
  </si>
  <si>
    <t>D341-RUL-9B3</t>
  </si>
  <si>
    <t>D341-RUL-9B5</t>
  </si>
  <si>
    <t>D346</t>
  </si>
  <si>
    <t>D346-RL</t>
  </si>
  <si>
    <t>D346-RUL-4A4</t>
  </si>
  <si>
    <t>Tissue block from right upper lung lobe, embedded and frozen in OCT</t>
  </si>
  <si>
    <t>D346-RUL-4B5</t>
  </si>
  <si>
    <t>D346-RUL-9A2</t>
  </si>
  <si>
    <t>D346-RUL-9B4</t>
  </si>
  <si>
    <t>D403</t>
  </si>
  <si>
    <t>D403-RL</t>
  </si>
  <si>
    <t>D403-RUL-3B4</t>
  </si>
  <si>
    <t>Tissue block from right upper lung lobe embedded and frozen in OCT</t>
  </si>
  <si>
    <t>D403-RUL-5A2</t>
  </si>
  <si>
    <t>D403-RUL-5B2</t>
  </si>
  <si>
    <t>D403-RUL-5C2</t>
  </si>
  <si>
    <t>D016</t>
  </si>
  <si>
    <t>D016-RL</t>
  </si>
  <si>
    <t>D016-RLL</t>
  </si>
  <si>
    <t>Right lower lobe embedded in FFPE</t>
  </si>
  <si>
    <t>https://dx.doi.org/10.17504/protocols.io.kxygxejwdv8j/v3</t>
  </si>
  <si>
    <t>Anthony Corbett</t>
  </si>
  <si>
    <t>Anthony_Corbett@URMC.Rochester.edu</t>
  </si>
  <si>
    <t>University of Rochester Medical Center TMC</t>
  </si>
  <si>
    <t>D016-RLL-11</t>
  </si>
  <si>
    <t>lung slice from right lower lobe embedded in FFPE</t>
  </si>
  <si>
    <t>D016-RLL-11B2</t>
  </si>
  <si>
    <t>D115</t>
  </si>
  <si>
    <t>D115-RL</t>
  </si>
  <si>
    <t>D115-RLL</t>
  </si>
  <si>
    <t>Donor D115 right lung lower lobe</t>
  </si>
  <si>
    <t>https://dx.doi.org/10.17504/protocols.io.bjttknnn</t>
  </si>
  <si>
    <t>D115-RLL-10A3</t>
  </si>
  <si>
    <t>FFPE block from the lower lobe of right lung</t>
  </si>
  <si>
    <t>D231-BRR</t>
  </si>
  <si>
    <t>D231-BRR-2</t>
  </si>
  <si>
    <t>FFPE block from right bronchus of Donor 231</t>
  </si>
  <si>
    <t>Andrew Watts</t>
  </si>
  <si>
    <t>Andrew_Watts@URMC.Rochester.edu</t>
  </si>
  <si>
    <t>D231-BRR-2-HM-TMA-8-14</t>
  </si>
  <si>
    <t>FFPE core from Donor 231  for tissue micro array</t>
  </si>
  <si>
    <t>https://dx.doi.org/10.17504/protocols.io.yxmvmmd46v3p/v1</t>
  </si>
  <si>
    <t>D231-RLL</t>
  </si>
  <si>
    <t>Lower lobe of Donor 231's right lung</t>
  </si>
  <si>
    <t>https://dx.doi.org/10.17504/protocols.io.bjtnknme</t>
  </si>
  <si>
    <t>D231-RLL-11B3</t>
  </si>
  <si>
    <t>FFPE block from lower lobe of Donor 231's right lung</t>
  </si>
  <si>
    <t>D231-RLL-13</t>
  </si>
  <si>
    <t>Whole lung slice from right lower lobe of Donor 231</t>
  </si>
  <si>
    <t>D231-RLL-13A5</t>
  </si>
  <si>
    <t xml:space="preserve">FFPE block from right lower lobe of Donor 231 lung </t>
  </si>
  <si>
    <t>D231-RLL-13A5-HM-TMA-5-3</t>
  </si>
  <si>
    <t>D231-RLL-13B4</t>
  </si>
  <si>
    <t>FFPE block from right lower lobe of lung from Donor 231</t>
  </si>
  <si>
    <t>D231-RLL-13B4-HM-TMA-6-6</t>
  </si>
  <si>
    <t>D231-RLL-13C2</t>
  </si>
  <si>
    <t>D231-RLL-13C2-HM-TMA-7-7</t>
  </si>
  <si>
    <t>D231-RLL-13D1</t>
  </si>
  <si>
    <t>D231-RLL-13D1-HM-TMA-5-14</t>
  </si>
  <si>
    <t>D231-RLL-17</t>
  </si>
  <si>
    <t>D231-RLL-17A5</t>
  </si>
  <si>
    <t>D231-RLL-17A5-HM-TMA-7-13</t>
  </si>
  <si>
    <t>D231-RLL-17B4</t>
  </si>
  <si>
    <t>D231-RLL-17B4-HM-TMA-6-5</t>
  </si>
  <si>
    <t>D231-RLL-17B4-HM-TMA-8-12</t>
  </si>
  <si>
    <t>D231-RLL-9</t>
  </si>
  <si>
    <t>D231-RLL-9A5</t>
  </si>
  <si>
    <t>D231-RLL-9A5-HM-TMA-8-3</t>
  </si>
  <si>
    <t>D231-RLL-9B3</t>
  </si>
  <si>
    <t>D231-RLL-9B3-HM-TMA-6-12</t>
  </si>
  <si>
    <t>D239-BRR</t>
  </si>
  <si>
    <t>D239-BRR-2</t>
  </si>
  <si>
    <t xml:space="preserve">FFPE block from right bronchus of Donor 239  </t>
  </si>
  <si>
    <t>D239-BRR-2-HM-TMA-6-14</t>
  </si>
  <si>
    <t>FFPE core from Donor 239  for tissue micro array</t>
  </si>
  <si>
    <t>D239-RLL</t>
  </si>
  <si>
    <t>Right lower lobe of lung of Donor 239</t>
  </si>
  <si>
    <t>https://dx.doi.org/10.17504/protocols.io.biz7kf9n</t>
  </si>
  <si>
    <t>D239-RLL-11</t>
  </si>
  <si>
    <t>Whole lung slice from right lower lobe of Donor 239</t>
  </si>
  <si>
    <t>D239-RLL-11A4</t>
  </si>
  <si>
    <t>D239-RLL-11A4-HM-TMA-8-15</t>
  </si>
  <si>
    <t>D239-RLL-11B3</t>
  </si>
  <si>
    <t xml:space="preserve">FFPE block from right lower lobe of Donor 239 lung </t>
  </si>
  <si>
    <t>D239-RLL-11B3-HM-TMA-7-10</t>
  </si>
  <si>
    <t>D239-RLL-11B3-HM-TMA-8-9</t>
  </si>
  <si>
    <t>D239-RLL-15</t>
  </si>
  <si>
    <t>D239-RLL-15B3</t>
  </si>
  <si>
    <t>FFPE block of lower lobe of Donor 239's right lung</t>
  </si>
  <si>
    <t>https://dx.doi.org/10.17504/protocols.io.n2bvj395plk5/v1</t>
  </si>
  <si>
    <t>D239-RLL-15C2</t>
  </si>
  <si>
    <t>D239-RLL-15C2-HM-TMA-7-1</t>
  </si>
  <si>
    <t>D239-RLL-18</t>
  </si>
  <si>
    <t>D239-RLL-18D1</t>
  </si>
  <si>
    <t>D239-RLL-18D1-HM-TMA-5-10</t>
  </si>
  <si>
    <t>D239-RLL-20</t>
  </si>
  <si>
    <t>D239-RLL-20A6</t>
  </si>
  <si>
    <t>D239-RLL-20A6-HM-TMA-7-14</t>
  </si>
  <si>
    <t>D239-RLL-20C3</t>
  </si>
  <si>
    <t>D239-RLL-20C3-HM-TMA-6-7</t>
  </si>
  <si>
    <t>D239-RLL-22</t>
  </si>
  <si>
    <t>D239-RLL-22A4</t>
  </si>
  <si>
    <t>D239-RLL-22A4-HM-TMA-5-4</t>
  </si>
  <si>
    <t>D239-RLL-22B3</t>
  </si>
  <si>
    <t>D239-RLL-22B3-HM-TMA-6-3</t>
  </si>
  <si>
    <t>D260-RL</t>
  </si>
  <si>
    <t>D260-RLL</t>
  </si>
  <si>
    <t>Right lower lobe of lung from Donor 260</t>
  </si>
  <si>
    <t>D260-RLL-15C3</t>
  </si>
  <si>
    <t>FFPE (Paraffin embedded) block of lung tissue from right lower lobe of lung from donor 260</t>
  </si>
  <si>
    <t>D264-LLL</t>
  </si>
  <si>
    <t>Left lower lobe of lung from Donor 264</t>
  </si>
  <si>
    <t>D264-LLL-12B3</t>
  </si>
  <si>
    <t>FFPE (Paraffin embedded) block of lung tissue from left lower lobe of lung from donor 264</t>
  </si>
  <si>
    <t>D265-LLL</t>
  </si>
  <si>
    <t>Donor D265 left lung lower lobe</t>
  </si>
  <si>
    <t>https://dx.doi.org/10.17504/protocols.io.kxygxejwdv8j/v2</t>
  </si>
  <si>
    <t>D265-LLL-10</t>
  </si>
  <si>
    <t>slice from lower left lobe embedded in FFPE</t>
  </si>
  <si>
    <t>D265-LLL-10A7</t>
  </si>
  <si>
    <t>FFPE block from left lower lobe of lung from Donor 265</t>
  </si>
  <si>
    <t>D265-LLL-10B2</t>
  </si>
  <si>
    <t>FFPE block from lower left lobe of D265</t>
  </si>
  <si>
    <t>D265-LLL-12B2</t>
  </si>
  <si>
    <t>FFPE block from the lower lobe of the left lung</t>
  </si>
  <si>
    <t>D265-LLL-7A7</t>
  </si>
  <si>
    <t>D265-LUL</t>
  </si>
  <si>
    <t>Donor D265 left lung upper lobe</t>
  </si>
  <si>
    <t>https://dx.doi.org/10.17504/protocols.io.rm7vz84k2vx1/v2</t>
  </si>
  <si>
    <t>D265-LUL-20A2</t>
  </si>
  <si>
    <t>D271-RLL</t>
  </si>
  <si>
    <t>Right lower lobe of lung from Donor 271</t>
  </si>
  <si>
    <t>D271-RLL-15B7</t>
  </si>
  <si>
    <t>FFPE (Paraffin embedded) block of lung tissue from right lower lobe of lung from donor 271</t>
  </si>
  <si>
    <t>D271-RML</t>
  </si>
  <si>
    <t>Right middle lobe of lung from Donor 271</t>
  </si>
  <si>
    <t>D273-RLL</t>
  </si>
  <si>
    <t>Right lower lobe of lung from Donor 273</t>
  </si>
  <si>
    <t>D273-RLL-15B3</t>
  </si>
  <si>
    <t>FFPE (Paraffin embedded) block of lung tissue from right lower lobe of lung from donor 273</t>
  </si>
  <si>
    <t>D292-RLL</t>
  </si>
  <si>
    <t>Right lower lobe of lung from Donor 292</t>
  </si>
  <si>
    <t>D292-RLL-14C2</t>
  </si>
  <si>
    <t>FFPE block from right lower lobe of lung from Donor 292</t>
  </si>
  <si>
    <t>D292-RLL-19B4</t>
  </si>
  <si>
    <t>FFPE (Paraffin embedded) block of lung tissue from right lower lobe of lung from donor 292</t>
  </si>
  <si>
    <t>D341-BRR</t>
  </si>
  <si>
    <t>D341-BRR-2</t>
  </si>
  <si>
    <t>FFPE block from right bronchus of Donor 341</t>
  </si>
  <si>
    <t>D341-BRR-2-HM-TMA-5-15</t>
  </si>
  <si>
    <t>FFPE core from Donor 341  for tissue micro array</t>
  </si>
  <si>
    <t>D341-RLL</t>
  </si>
  <si>
    <t>Right lower lobe of lung from Donor 341</t>
  </si>
  <si>
    <t>D341-RLL-13</t>
  </si>
  <si>
    <t>Whole lung slice from right lower lobe of Donor 341</t>
  </si>
  <si>
    <t>D341-RLL-13D1</t>
  </si>
  <si>
    <t>FFPE block from right lower lobe of Donor 341 lung</t>
  </si>
  <si>
    <t>D341-RLL-13D1-HM-TMA-8-4</t>
  </si>
  <si>
    <t>FFPE core from Donor 341 for tissue micro array</t>
  </si>
  <si>
    <t>D341-RLL-14</t>
  </si>
  <si>
    <t>D341-RLL-14A4</t>
  </si>
  <si>
    <t xml:space="preserve">FFPE block from right lower lobe of Donor 341 lung </t>
  </si>
  <si>
    <t>D341-RLL-14A4-HM-TMA-6-1</t>
  </si>
  <si>
    <t>D341-RLL-14B3</t>
  </si>
  <si>
    <t>D341-RLL-14B3-HM-TMA-5-6</t>
  </si>
  <si>
    <t>D341-RLL-14B3-HM-TMA-8-8</t>
  </si>
  <si>
    <t>D341-RLL-14D3</t>
  </si>
  <si>
    <t>D341-RLL-14D3-HM-TMA-7-11</t>
  </si>
  <si>
    <t>D341-RLL-17C4</t>
  </si>
  <si>
    <t>FFPE (Paraffin embedded) block of lung tissue from right lower lobe of lung from donor 341</t>
  </si>
  <si>
    <t>D341-RUL</t>
  </si>
  <si>
    <t>Right upper lobe of Donor 341 lung</t>
  </si>
  <si>
    <t>D341-RUL-7</t>
  </si>
  <si>
    <t>Whole lung slice from right upper lobe of Donor 341</t>
  </si>
  <si>
    <t>D341-RUL-7A4</t>
  </si>
  <si>
    <t xml:space="preserve">FFPE block from right upper lobe of Donor 341 lung </t>
  </si>
  <si>
    <t>D341-RUL-7A4-HM-TMA-6-9</t>
  </si>
  <si>
    <t>D341-RUL-7B5</t>
  </si>
  <si>
    <t>FFPE block from right upper lobe of Donor 341 lung</t>
  </si>
  <si>
    <t>D341-RUL-7B5-HM-TMA-7-5</t>
  </si>
  <si>
    <t>D341-RUL-7C2</t>
  </si>
  <si>
    <t>D341-RUL-7C2-HM-TMA-5-2</t>
  </si>
  <si>
    <t>D341-RUL-7C2-HM-TMA-5-8</t>
  </si>
  <si>
    <t>D342</t>
  </si>
  <si>
    <t>D342-RL</t>
  </si>
  <si>
    <t>D342-RLL</t>
  </si>
  <si>
    <t>Lower lobe of Donor 342's right lung</t>
  </si>
  <si>
    <t>D342-RLL-18A6</t>
  </si>
  <si>
    <t>FFPE block from lower lobe of Donor 342's right lung</t>
  </si>
  <si>
    <t>D346-BRR</t>
  </si>
  <si>
    <t>D346-BRR-2</t>
  </si>
  <si>
    <t xml:space="preserve">FFPE block from right bronchus of Donor 346 </t>
  </si>
  <si>
    <t>D346-BRR-2-HM-TMA-6-10</t>
  </si>
  <si>
    <t>FFPE core from Donor 346  for tissue micro array</t>
  </si>
  <si>
    <t>D346-RLL</t>
  </si>
  <si>
    <t>Right lower lobe of Donor 346's lung</t>
  </si>
  <si>
    <t>D346-RLL-15</t>
  </si>
  <si>
    <t>Whole lung slice from right lower lobe of Donor 346</t>
  </si>
  <si>
    <t>D346-RLL-15B3</t>
  </si>
  <si>
    <t>block from Donor 346's right lower lobe of lung</t>
  </si>
  <si>
    <t>D346-RLL-15D2</t>
  </si>
  <si>
    <t>FFPE block from lower lobe of Donor 346's right lung</t>
  </si>
  <si>
    <t>D346-RLL-16</t>
  </si>
  <si>
    <t>D346-RLL-16C2</t>
  </si>
  <si>
    <t>FFPE block from right lower lobe of Donor 346 lung</t>
  </si>
  <si>
    <t>D346-RLL-16C2-HM-TMA-7-15</t>
  </si>
  <si>
    <t>D346-RLL-17</t>
  </si>
  <si>
    <t>D346-RLL-17B5</t>
  </si>
  <si>
    <t>D346-RLL-17B5-HM-TMA-5-12</t>
  </si>
  <si>
    <t>D346-RLL-17D3</t>
  </si>
  <si>
    <t xml:space="preserve">FFPE block from right lower lobe of Donor 346 lung </t>
  </si>
  <si>
    <t>D346-RLL-17D3-HM-TMA-6-2</t>
  </si>
  <si>
    <t>D346-RLL-17D3-HM-TMA-8-2</t>
  </si>
  <si>
    <t>D346-RLL-18</t>
  </si>
  <si>
    <t>D346-RLL-18A6</t>
  </si>
  <si>
    <t>D346-RLL-18A6-HM-TMA-8-6</t>
  </si>
  <si>
    <t>D346-RLL-20B3</t>
  </si>
  <si>
    <t>FFPE block from right lower lobe of lung from Donor 346</t>
  </si>
  <si>
    <t>D346-RLL-21C5</t>
  </si>
  <si>
    <t>FFPE (Paraffin embedded) block of lung tissue from right lower lobe of lung from donor 346</t>
  </si>
  <si>
    <t>D346-RUL</t>
  </si>
  <si>
    <t>Right upper lobe of Donor 346 lung</t>
  </si>
  <si>
    <t>D346-RUL-8</t>
  </si>
  <si>
    <t>Whole lung slice from right upper lobe of Donor 346</t>
  </si>
  <si>
    <t>D346-RUL-8B1</t>
  </si>
  <si>
    <t xml:space="preserve">FFPE block from right upper lobe of Donor 346 lung </t>
  </si>
  <si>
    <t>D346-RUL-8B1-HM-TMA-6-13</t>
  </si>
  <si>
    <t>D346-RUL-8C1</t>
  </si>
  <si>
    <t>FFPE block from right upper lobe of Donor 346 lung</t>
  </si>
  <si>
    <t>D346-RUL-8C1-HM-TMA-7-2</t>
  </si>
  <si>
    <t>D346-RUL-8C4</t>
  </si>
  <si>
    <t>D346-RUL-8C4-HM-TMA-5-9</t>
  </si>
  <si>
    <t>D346-RUL-8D3</t>
  </si>
  <si>
    <t>D346-RUL-8D3-HM-TMA-7-8</t>
  </si>
  <si>
    <t>D403-RLL</t>
  </si>
  <si>
    <t>Donor D403 right lower lobe</t>
  </si>
  <si>
    <t>D403-RLL-15B3</t>
  </si>
  <si>
    <t>FFPE block from right lower lobe of lung from Donor 403</t>
  </si>
  <si>
    <t>D403-RLL-16A3</t>
  </si>
  <si>
    <t>FFPE block from the lower lobe of the right lung</t>
  </si>
  <si>
    <t>D438</t>
  </si>
  <si>
    <t>D438-BRL</t>
  </si>
  <si>
    <t>D438-BRL-1</t>
  </si>
  <si>
    <t>FFPE block from left bronchus of Donor 438</t>
  </si>
  <si>
    <t>D438-BRL-1-HM-TMA-8-5</t>
  </si>
  <si>
    <t>FFPE core from Donor 438  for tissue micro array</t>
  </si>
  <si>
    <t>D438-BRL-A1</t>
  </si>
  <si>
    <t>1.Extrapulmonary bronchi: Primary bronchus - replicate 1</t>
  </si>
  <si>
    <t>D438-BRL-A1A</t>
  </si>
  <si>
    <t>1.Extrapulmonary bronchi: Primary bronchus - Multiome</t>
  </si>
  <si>
    <t>D438-BRL-A1B</t>
  </si>
  <si>
    <t>1.Extrapulmonary bronchi: Primary bronchus - MPLEx</t>
  </si>
  <si>
    <t>D438-BRL-A1C</t>
  </si>
  <si>
    <t>1.Extrapulmonary bronchi: Primary bronchus - MERFISH</t>
  </si>
  <si>
    <t>D438-BRL-A1D</t>
  </si>
  <si>
    <t>1.Extrapulmonary bronchi: Primary bronchus - FFPE</t>
  </si>
  <si>
    <t>D438-BRL-B1</t>
  </si>
  <si>
    <t>1.Extrapulmonary bronchi: Primary bronchus - replicate 2</t>
  </si>
  <si>
    <t>D438-BRL-B1A</t>
  </si>
  <si>
    <t>D438-BRL-B1B</t>
  </si>
  <si>
    <t>D438-BRL-B1C</t>
  </si>
  <si>
    <t>D438-BRL-B1D</t>
  </si>
  <si>
    <t>D438-LL</t>
  </si>
  <si>
    <t>D438-LLL</t>
  </si>
  <si>
    <t>Left lower lobe of donor D438</t>
  </si>
  <si>
    <t>D438-LLL-A1</t>
  </si>
  <si>
    <t>6.LLL segmental bronchi (3rd) or 4th bronchi (B1+2): &gt;2 mm - replicate 1</t>
  </si>
  <si>
    <t>D438-LLL-A1A</t>
  </si>
  <si>
    <t>6.LLL segmental bronchi (3rd) or 4th bronchi (B1+2): &gt;2 mm - Multiome</t>
  </si>
  <si>
    <t>D438-LLL-A1B</t>
  </si>
  <si>
    <t>6.LLL segmental bronchi (3rd) or 4th bronchi (B1+2): &gt;2 mm - MPLEx</t>
  </si>
  <si>
    <t>D438-LLL-A1C</t>
  </si>
  <si>
    <t>6.LLL segmental bronchi (3rd) or 4th bronchi (B1+2): &gt;2 mm - MERFISH</t>
  </si>
  <si>
    <t>D438-LLL-A1D</t>
  </si>
  <si>
    <t>6.LLL segmental bronchi (3rd) or 4th bronchi (B1+2): &gt;2 mm - FFPE</t>
  </si>
  <si>
    <t>D438-LLL-A2</t>
  </si>
  <si>
    <t>7.LLL bronchi-bronchiole junction (7-9th): around 2 mm - replicate 1</t>
  </si>
  <si>
    <t>D438-LLL-A2A</t>
  </si>
  <si>
    <t>7.LLL bronchi-bronchiole junction (7-9th): around 2 mm, SMG/cartilage are disappearing. Between 2 and 4. - Multiome</t>
  </si>
  <si>
    <t>D438-LLL-A2B</t>
  </si>
  <si>
    <t>7.LLL bronchi-bronchiole junction (7-9th): around 2 mm, SMG/cartilage are disappearing. Between 2 and 4. - MPLEx</t>
  </si>
  <si>
    <t>D438-LLL-A2C</t>
  </si>
  <si>
    <t>7.LLL bronchi-bronchiole junction (7-9th): around 2 mm, SMG/cartilage are disappearing. Between 2 and 4. - MERFISH</t>
  </si>
  <si>
    <t>D438-LLL-A2D</t>
  </si>
  <si>
    <t>7.LLL bronchi-bronchiole junction (7-9th): around 2 mm, SMG/cartilage are disappearing. Between 2 and 4. - FFPE</t>
  </si>
  <si>
    <t>D438-LLL-A3</t>
  </si>
  <si>
    <t>8.LLL bronchioles (more distal than 12th): &lt; 1 mm - replicate 1</t>
  </si>
  <si>
    <t>D438-LLL-A3A</t>
  </si>
  <si>
    <t>8.LLL bronchioles (more distal than 12th): &lt; 1 mm, no SMG/cartilage, potentially contain TB and RB, use microdissection. - Multiome</t>
  </si>
  <si>
    <t>D438-LLL-A3B</t>
  </si>
  <si>
    <t>8.LLL bronchioles (more distal than 12th): &lt; 1 mm, no SMG/cartilage, potentially contain TB and RB, use microdissection. - MPLEx</t>
  </si>
  <si>
    <t>D438-LLL-A3C</t>
  </si>
  <si>
    <t>8.LLL bronchioles (more distal than 12th): &lt; 1 mm, no SMG/cartilage, potentially contain TB and RB, use microdissection. - MERFISH</t>
  </si>
  <si>
    <t>D438-LLL-A3D</t>
  </si>
  <si>
    <t>8.LLL bronchioles (more distal than 12th): &lt; 1 mm, no SMG/cartilage, potentially contain TB and RB, use microdissection. - FFPE</t>
  </si>
  <si>
    <t>D438-LLL-A4</t>
  </si>
  <si>
    <t>9.LLL alveoli with superior pleura potentially containing terminal/respiratory bronchioles - replicate 1</t>
  </si>
  <si>
    <t>D438-LLL-A4A</t>
  </si>
  <si>
    <t>9.LLL alveoli with superior pleura potentially containing terminal/respiratory bronchioles - Multiome</t>
  </si>
  <si>
    <t>D438-LLL-A4B</t>
  </si>
  <si>
    <t>9.LLL alveoli with superior pleura potentially containing terminal/respiratory bronchioles - MPLEx</t>
  </si>
  <si>
    <t>D438-LLL-A4C</t>
  </si>
  <si>
    <t>9.LLL alveoli with superior pleura potentially containing terminal/respiratory bronchioles - MERFISH</t>
  </si>
  <si>
    <t>D438-LLL-A4D</t>
  </si>
  <si>
    <t>9.LLL alveoli with superior pleura potentially containing terminal/respiratory bronchioles - FFPE</t>
  </si>
  <si>
    <t>D438-LLL-B1</t>
  </si>
  <si>
    <t>6.LLL segmental bronchi (3rd) or 4th bronchi (B1+2): &gt;2 mm - replicate 2</t>
  </si>
  <si>
    <t>D438-LLL-B1A</t>
  </si>
  <si>
    <t>D438-LLL-B1B</t>
  </si>
  <si>
    <t>D438-LLL-B1C</t>
  </si>
  <si>
    <t>D438-LLL-B1D</t>
  </si>
  <si>
    <t>D438-LLL-B2</t>
  </si>
  <si>
    <t>7.LLL bronchi-bronchiole junction (7-9th): around 2 mm - replicate 2</t>
  </si>
  <si>
    <t>D438-LLL-B2A</t>
  </si>
  <si>
    <t>D438-LLL-B2B</t>
  </si>
  <si>
    <t>D438-LLL-B2C</t>
  </si>
  <si>
    <t>D438-LLL-B2D</t>
  </si>
  <si>
    <t>D438-LLL-B3</t>
  </si>
  <si>
    <t>8.LLL bronchioles (more distal than 12th): &lt; 1 mm - replicate 2</t>
  </si>
  <si>
    <t>D438-LLL-B3A</t>
  </si>
  <si>
    <t>D438-LLL-B3B</t>
  </si>
  <si>
    <t>D438-LLL-B3C</t>
  </si>
  <si>
    <t>D438-LLL-B3D</t>
  </si>
  <si>
    <t>D438-LLL-B4</t>
  </si>
  <si>
    <t>9.LLL alveoli with superior pleura potentially containing terminal/respiratory bronchioles - replicate 2</t>
  </si>
  <si>
    <t>D438-LLL-B4A</t>
  </si>
  <si>
    <t>D438-LLL-B4B</t>
  </si>
  <si>
    <t>D438-LLL-B4C</t>
  </si>
  <si>
    <t>D438-LLL-B4D</t>
  </si>
  <si>
    <t>D438-LUL</t>
  </si>
  <si>
    <t>Left upper lobe of donor D438</t>
  </si>
  <si>
    <t>D438-LUL-A1</t>
  </si>
  <si>
    <t>2.LUL segmental bronchi (3rd) or 4th bronchi (B1+2): &gt;2 mm - replicate 1</t>
  </si>
  <si>
    <t>D438-LUL-A1A</t>
  </si>
  <si>
    <t>2.LUL segmental bronchi (3rd) or 4th bronchi (B1+2): &gt;2 mm - Multiome</t>
  </si>
  <si>
    <t>D438-LUL-A1B</t>
  </si>
  <si>
    <t>2.LUL segmental bronchi (3rd) or 4th bronchi (B1+2): &gt;2 mm - MPLEx</t>
  </si>
  <si>
    <t>D438-LUL-A1C</t>
  </si>
  <si>
    <t>2.LUL segmental bronchi (3rd) or 4th bronchi (B1+2): &gt;2 mm - MERFISH</t>
  </si>
  <si>
    <t>D438-LUL-A1D</t>
  </si>
  <si>
    <t>2.LUL segmental bronchi (3rd) or 4th bronchi (B1+2): &gt;2 mm - FFPE</t>
  </si>
  <si>
    <t>D438-LUL-A2</t>
  </si>
  <si>
    <t>3.LUL bronchi-bronchiole junction (7-9th): around 2 mm, SMG/cartilage are disappearing. - replicate 1</t>
  </si>
  <si>
    <t>D438-LUL-A2A</t>
  </si>
  <si>
    <t>3.LUL bronchi-bronchiole junction (7-9th): around 2 mm, SMG/cartilage are disappearing. Between 2 and 4. - Multiome</t>
  </si>
  <si>
    <t>D438-LUL-A2B</t>
  </si>
  <si>
    <t>3.LUL bronchi-bronchiole junction (7-9th): around 2 mm, SMG/cartilage are disappearing. Between 2 and 4. - MPLEx</t>
  </si>
  <si>
    <t>D438-LUL-A2C</t>
  </si>
  <si>
    <t>3.LUL bronchi-bronchiole junction (7-9th): around 2 mm, SMG/cartilage are disappearing. Between 2 and 4. - MERFISH</t>
  </si>
  <si>
    <t>D438-LUL-A2D</t>
  </si>
  <si>
    <t>3.LUL bronchi-bronchiole junction (7-9th): around 2 mm, SMG/cartilage are disappearing. Between 2 and 4. - FFPE</t>
  </si>
  <si>
    <t>D438-LUL-A3</t>
  </si>
  <si>
    <t>4.LUL bronchioles (more distal than 12th): &lt; 1 mm, no SMG/cartilage, potentially contain TB and RB - replicate 1</t>
  </si>
  <si>
    <t>D438-LUL-A3A</t>
  </si>
  <si>
    <t>4.LUL bronchioles (more distal than 12th): &lt; 1 mm, no SMG/cartilage, potentially contain TB and RB, use microdissection. - Multiome</t>
  </si>
  <si>
    <t>D438-LUL-A3B</t>
  </si>
  <si>
    <t>4.LUL bronchioles (more distal than 12th): &lt; 1 mm, no SMG/cartilage, potentially contain TB and RB, use microdissection. - MPLEx</t>
  </si>
  <si>
    <t>D438-LUL-A3C</t>
  </si>
  <si>
    <t>4.LUL bronchioles (more distal than 12th): &lt; 1 mm, no SMG/cartilage, potentially contain TB and RB, use microdissection. - MERFISH</t>
  </si>
  <si>
    <t>D438-LUL-A3D</t>
  </si>
  <si>
    <t>4.LUL bronchioles (more distal than 12th): &lt; 1 mm, no SMG/cartilage, potentially contain TB and RB, use microdissection. - FFPE</t>
  </si>
  <si>
    <t>D438-LUL-A4</t>
  </si>
  <si>
    <t>5.LUL alveoli with superior pleura potentially containing terminal/respiratory bronchioles - replicate 1</t>
  </si>
  <si>
    <t>D438-LUL-A4A</t>
  </si>
  <si>
    <t>5.LUL alveoli with superior pleura potentially containing terminal/respiratory bronchioles - Multiome</t>
  </si>
  <si>
    <t>D438-LUL-A4B</t>
  </si>
  <si>
    <t>5.LUL alveoli with superior pleura potentially containing terminal/respiratory bronchioles - MPLEx</t>
  </si>
  <si>
    <t>D438-LUL-A4C</t>
  </si>
  <si>
    <t>5.LUL alveoli with superior pleura potentially containing terminal/respiratory bronchioles - MERFISH</t>
  </si>
  <si>
    <t>D438-LUL-A4D</t>
  </si>
  <si>
    <t>5.LUL alveoli with superior pleura potentially containing terminal/respiratory bronchioles - FFPE</t>
  </si>
  <si>
    <t>D438-LUL-B1</t>
  </si>
  <si>
    <t>2.LUL segmental bronchi (3rd) or 4th bronchi (B1+2): &gt;2 mm - replicate 2</t>
  </si>
  <si>
    <t>D438-LUL-B1A</t>
  </si>
  <si>
    <t>D438-LUL-B1B</t>
  </si>
  <si>
    <t>D438-LUL-B1C</t>
  </si>
  <si>
    <t>D438-LUL-B1D</t>
  </si>
  <si>
    <t>D438-LUL-B2</t>
  </si>
  <si>
    <t>3.LUL bronchi-bronchiole junction (7-9th): around 2 mm, SMG/cartilage are disappearing. - replicate 2</t>
  </si>
  <si>
    <t>D438-LUL-B2A</t>
  </si>
  <si>
    <t>D438-LUL-B2B</t>
  </si>
  <si>
    <t>D438-LUL-B2C</t>
  </si>
  <si>
    <t>D438-LUL-B2D</t>
  </si>
  <si>
    <t>D438-LUL-B3</t>
  </si>
  <si>
    <t>4.LUL bronchioles (more distal than 12th): &lt; 1 mm, no SMG/cartilage, potentially contain TB and RB - replicate 2</t>
  </si>
  <si>
    <t>D438-LUL-B3A</t>
  </si>
  <si>
    <t>D438-LUL-B3B</t>
  </si>
  <si>
    <t>D438-LUL-B3C</t>
  </si>
  <si>
    <t>D438-LUL-B3D</t>
  </si>
  <si>
    <t>D438-LUL-B4</t>
  </si>
  <si>
    <t>5.LUL alveoli with superior pleura potentially containing terminal/respiratory bronchioles - replicate 2</t>
  </si>
  <si>
    <t>D438-LUL-B4A</t>
  </si>
  <si>
    <t>D438-LUL-B4B</t>
  </si>
  <si>
    <t>D438-LUL-B4C</t>
  </si>
  <si>
    <t>D438-LUL-B4D</t>
  </si>
  <si>
    <t>D438-RL</t>
  </si>
  <si>
    <t>D438-RLL</t>
  </si>
  <si>
    <t xml:space="preserve"> Lower lobe of Donor 438's right lung</t>
  </si>
  <si>
    <t>D438-RLL-14</t>
  </si>
  <si>
    <t>Whole lung slice from right lower lobe of Donor 438</t>
  </si>
  <si>
    <t>D438-RLL-14A7</t>
  </si>
  <si>
    <t>FFPE block from right lower lobe of Donor 438 lung</t>
  </si>
  <si>
    <t>D438-RLL-14A7-HM-TMA-7-9</t>
  </si>
  <si>
    <t>D438-RLL-14B2</t>
  </si>
  <si>
    <t>D438-RLL-14B2-HM-TMA-5-1</t>
  </si>
  <si>
    <t>FFPE core from Donor 438 for tissue micro array</t>
  </si>
  <si>
    <t>D438-RLL-14D2</t>
  </si>
  <si>
    <t>D438-RLL-14D2-HM-TMA-8-7</t>
  </si>
  <si>
    <t>D438-RLL-16B4</t>
  </si>
  <si>
    <t>FFPE block from lower lobe of Donor 438's right lung</t>
  </si>
  <si>
    <t>D438-RUL</t>
  </si>
  <si>
    <t>Right upper lobe of Donor 438 lung</t>
  </si>
  <si>
    <t>D438-RUL-7</t>
  </si>
  <si>
    <t>Whole lung slice from right upper lobe of Donor 438</t>
  </si>
  <si>
    <t>D438-RUL-7A3</t>
  </si>
  <si>
    <t>FFPE block from right upper lobe of Donor 438 lung</t>
  </si>
  <si>
    <t>D438-RUL-7A3-HM-TMA-5-13</t>
  </si>
  <si>
    <t>D438-RUL-7A3-HM-TMA-7-12</t>
  </si>
  <si>
    <t>D438-RUL-7A3-HM-TMA-7-3</t>
  </si>
  <si>
    <t>D438-RUL-7A3-HM-TMA-8-11</t>
  </si>
  <si>
    <t>D438-RUL-7B4</t>
  </si>
  <si>
    <t xml:space="preserve">FFPE block from right upper lobe of Donor 438 lung </t>
  </si>
  <si>
    <t>D438-RUL-7B4-HM-TMA-6-8</t>
  </si>
  <si>
    <t>D438-RUL-7B5</t>
  </si>
  <si>
    <t>D438-RUL-7B5-HM-TMA-6-15</t>
  </si>
  <si>
    <t>D460</t>
  </si>
  <si>
    <t>D460-BRL</t>
  </si>
  <si>
    <t>D460-BRL-A1</t>
  </si>
  <si>
    <t>D460-BRL-A1A</t>
  </si>
  <si>
    <t>1.Extrapulmonary bronchi: Primary bronchus - Snap Frozen (Intended for Multiome)</t>
  </si>
  <si>
    <t>D460-BRL-A1B</t>
  </si>
  <si>
    <t>1.Extrapulmonary bronchi: Primary bronchus - Snap Frozen (intended for MPLEX)</t>
  </si>
  <si>
    <t>D460-BRL-A1C</t>
  </si>
  <si>
    <t>1.Extrapulmonary bronchi: Primary bronchus - Fresh Frozen embedded in OCT</t>
  </si>
  <si>
    <t>D460-BRL-A1D</t>
  </si>
  <si>
    <t>1.Extrapulmonary bronchi: Primary bronchus - Formalin for FFPE</t>
  </si>
  <si>
    <t>D460-BRL-A1D-HM-TMA-7-4</t>
  </si>
  <si>
    <t>FFPE core from Donor 460  for tissue micro array</t>
  </si>
  <si>
    <t>D460-BRL-B1</t>
  </si>
  <si>
    <t>D460-BRL-B1A</t>
  </si>
  <si>
    <t>D460-BRL-B1B</t>
  </si>
  <si>
    <t>D460-BRL-B1C</t>
  </si>
  <si>
    <t>D460-BRL-B1D</t>
  </si>
  <si>
    <t>D460-LL</t>
  </si>
  <si>
    <t>D460-LLL</t>
  </si>
  <si>
    <t>Left lower lobe of donor D460</t>
  </si>
  <si>
    <t>D460-LLL-A6</t>
  </si>
  <si>
    <t>6.LLL segmental bronchi (3rd) or 4th bronchi (B1+2): &gt;2 mm replicate 1</t>
  </si>
  <si>
    <t>D460-LLL-A6A</t>
  </si>
  <si>
    <t>6.LLL segmental bronchi (3rd) or 4th bronchi (B1+2): &gt;2 mm - Snap Frozen (Intended for Multiome)</t>
  </si>
  <si>
    <t>D460-LLL-A6B</t>
  </si>
  <si>
    <t>6.LLL segmental bronchi (3rd) or 4th bronchi (B1+2): &gt;2 mm - Snap Frozen (intended for MPLEX)</t>
  </si>
  <si>
    <t>D460-LLL-A6C</t>
  </si>
  <si>
    <t>6.LLL segmental bronchi (3rd) or 4th bronchi (B1+2): &gt;2 mm - Fresh Frozen embedded in OCT</t>
  </si>
  <si>
    <t>D460-LLL-A6D</t>
  </si>
  <si>
    <t>6.LLL segmental bronchi (3rd) or 4th bronchi (B1+2): &gt;2 mm - Formalin for FFPE</t>
  </si>
  <si>
    <t>D460-LLL-A7</t>
  </si>
  <si>
    <t>7.LLL bronchi-bronchiole junction (7-9th): around 2 mm, SMG/cartilage are disappearing. Between 2 and 4. - replicate 1</t>
  </si>
  <si>
    <t>D460-LLL-A7A</t>
  </si>
  <si>
    <t>7.LLL bronchi-bronchiole junction (7-9th): around 2 mm, SMG/cartilage are disappearing. Between 2 and 4. - Snap Frozen (Intended for Multiome)</t>
  </si>
  <si>
    <t>D460-LLL-A7B</t>
  </si>
  <si>
    <t>7.LLL bronchi-bronchiole junction (7-9th): around 2 mm, SMG/cartilage are disappearing. Between 2 and 4. - Snap Frozen (intended for MPLEX)</t>
  </si>
  <si>
    <t>D460-LLL-A7C</t>
  </si>
  <si>
    <t>7.LLL bronchi-bronchiole junction (7-9th): around 2 mm, SMG/cartilage are disappearing. Between 2 and 4. - Fresh Frozen embedded in OCT</t>
  </si>
  <si>
    <t>D460-LLL-A7D</t>
  </si>
  <si>
    <t>7.LLL bronchi-bronchiole junction (7-9th): around 2 mm, SMG/cartilage are disappearing. Between 2 and 4. - Formalin for FFPE</t>
  </si>
  <si>
    <t>D460-LLL-A8</t>
  </si>
  <si>
    <t>8.LLL bronchioles (more distal than 12th): &lt; 1 mm, no SMG/cartilage, potentially contain TB and RB, use microdissection. - replicate 1</t>
  </si>
  <si>
    <t>D460-LLL-A8A</t>
  </si>
  <si>
    <t>8.LLL bronchioles (more distal than 12th): &lt; 1 mm, no SMG/cartilage, potentially contain TB and RB, use microdissection. - Snap Frozen (Intended for Multiome)</t>
  </si>
  <si>
    <t>D460-LLL-A8B</t>
  </si>
  <si>
    <t>8.LLL bronchioles (more distal than 12th): &lt; 1 mm, no SMG/cartilage, potentially contain TB and RB, use microdissection. - Snap Frozen (intended for MPLEX)</t>
  </si>
  <si>
    <t>D460-LLL-A8C</t>
  </si>
  <si>
    <t>8.LLL bronchioles (more distal than 12th): &lt; 1 mm, no SMG/cartilage, potentially contain TB and RB, use microdissection. - Fresh Frozen embedded in OCT</t>
  </si>
  <si>
    <t>D460-LLL-A8D</t>
  </si>
  <si>
    <t>8.LLL bronchioles (more distal than 12th): &lt; 1 mm, no SMG/cartilage, potentially contain TB and RB, use microdissection. - Formalin for FFPE</t>
  </si>
  <si>
    <t>D460-LLL-A9</t>
  </si>
  <si>
    <t>D460-LLL-A9A</t>
  </si>
  <si>
    <t>9.LLL alveoli with superior pleura potentially containing terminal/respiratory bronchioles - Snap Frozen (Intended for Multiome)</t>
  </si>
  <si>
    <t>D460-LLL-A9B</t>
  </si>
  <si>
    <t>9.LLL alveoli with superior pleura potentially containing terminal/respiratory bronchioles - Snap Frozen (intended for MPLEX)</t>
  </si>
  <si>
    <t>D460-LLL-A9C</t>
  </si>
  <si>
    <t>9.LLL alveoli with superior pleura potentially containing terminal/respiratory bronchioles - Fresh Frozen embedded in OCT</t>
  </si>
  <si>
    <t>D460-LLL-A9D</t>
  </si>
  <si>
    <t>9.LLL alveoli with superior pleura potentially containing terminal/respiratory bronchioles - Formalin for FFPE</t>
  </si>
  <si>
    <t>D460-LLL-B6</t>
  </si>
  <si>
    <t>6.LLL segmental bronchi (3rd) or 4th bronchi (B1+2): &gt;2 mm replicate 2</t>
  </si>
  <si>
    <t>D460-LLL-B6A</t>
  </si>
  <si>
    <t>D460-LLL-B6B</t>
  </si>
  <si>
    <t>D460-LLL-B6C</t>
  </si>
  <si>
    <t>D460-LLL-B6D</t>
  </si>
  <si>
    <t>D460-LLL-B7</t>
  </si>
  <si>
    <t>7.LLL bronchi-bronchiole junction (7-9th): around 2 mm, SMG/cartilage are disappearing. Between 2 and 4. - replicate 2</t>
  </si>
  <si>
    <t>D460-LLL-B7A</t>
  </si>
  <si>
    <t>D460-LLL-B7B</t>
  </si>
  <si>
    <t>D460-LLL-B7C</t>
  </si>
  <si>
    <t>D460-LLL-B7D</t>
  </si>
  <si>
    <t>D460-LLL-B8</t>
  </si>
  <si>
    <t>8.LLL bronchioles (more distal than 12th): &lt; 1 mm, no SMG/cartilage, potentially contain TB and RB, use microdissection. - replicate 2</t>
  </si>
  <si>
    <t>D460-LLL-B8A</t>
  </si>
  <si>
    <t>D460-LLL-B8B</t>
  </si>
  <si>
    <t>D460-LLL-B8C</t>
  </si>
  <si>
    <t>D460-LLL-B8D</t>
  </si>
  <si>
    <t>D460-LLL-B9</t>
  </si>
  <si>
    <t>D460-LLL-B9A</t>
  </si>
  <si>
    <t>D460-LLL-B9B</t>
  </si>
  <si>
    <t>D460-LLL-B9C</t>
  </si>
  <si>
    <t>D460-LLL-B9D</t>
  </si>
  <si>
    <t>D460-LUL</t>
  </si>
  <si>
    <t>Left upper lobe of donor D460</t>
  </si>
  <si>
    <t>D460-LUL-A2</t>
  </si>
  <si>
    <t>D460-LUL-A2A</t>
  </si>
  <si>
    <t>2.LUL segmental bronchi (3rd) or 4th bronchi (B1+2): &gt;2 mm - Snap Frozen (Intended for Multiome)</t>
  </si>
  <si>
    <t>D460-LUL-A2B</t>
  </si>
  <si>
    <t>2.LUL segmental bronchi (3rd) or 4th bronchi (B1+2): &gt;2 mm - Snap Frozen (intended for MPLEX)</t>
  </si>
  <si>
    <t>D460-LUL-A2C</t>
  </si>
  <si>
    <t>2.LUL segmental bronchi (3rd) or 4th bronchi (B1+2): &gt;2 mm - Fresh Frozen embedded in OCT</t>
  </si>
  <si>
    <t>D460-LUL-A2D</t>
  </si>
  <si>
    <t>2.LUL segmental bronchi (3rd) or 4th bronchi (B1+2): &gt;2 mm - Formalin for FFPE</t>
  </si>
  <si>
    <t>D460-LUL-A3</t>
  </si>
  <si>
    <t>3.LUL bronchi-bronchiole junction (7-9th): around 2 mm, SMG/cartilage are disappearing. Between 2 and 4. - replicate 1</t>
  </si>
  <si>
    <t>D460-LUL-A3A</t>
  </si>
  <si>
    <t>3.LUL bronchi-bronchiole junction (7-9th): around 2 mm, SMG/cartilage are disappearing. Between 2 and 4. - Snap Frozen (Intended for Multiome)</t>
  </si>
  <si>
    <t>D460-LUL-A3B</t>
  </si>
  <si>
    <t>3.LUL bronchi-bronchiole junction (7-9th): around 2 mm, SMG/cartilage are disappearing. Between 2 and 4. - Snap Frozen (intended for MPLEX)</t>
  </si>
  <si>
    <t>D460-LUL-A3C</t>
  </si>
  <si>
    <t>3.LUL bronchi-bronchiole junction (7-9th): around 2 mm, SMG/cartilage are disappearing. Between 2 and 4. - Fresh Frozen embedded in OCT</t>
  </si>
  <si>
    <t>D460-LUL-A3D</t>
  </si>
  <si>
    <t>3.LUL bronchi-bronchiole junction (7-9th): around 2 mm, SMG/cartilage are disappearing. Between 2 and 4. - Formalin for FFPE</t>
  </si>
  <si>
    <t>D460-LUL-A4</t>
  </si>
  <si>
    <t>4.LUL bronchioles (more distal than 12th): &lt; 1 mm, no SMG/cartilage, potentially contain TB and RB, use microdissection. - replicate 1</t>
  </si>
  <si>
    <t>D460-LUL-A4A</t>
  </si>
  <si>
    <t>4.LUL bronchioles (more distal than 12th): &lt; 1 mm, no SMG/cartilage, potentially contain TB and RB, use microdissection. - Snap Frozen (Intended for Multiome)</t>
  </si>
  <si>
    <t>D460-LUL-A4B</t>
  </si>
  <si>
    <t>4.LUL bronchioles (more distal than 12th): &lt; 1 mm, no SMG/cartilage, potentially contain TB and RB, use microdissection. - Snap Frozen (intended for MPLEX)</t>
  </si>
  <si>
    <t>D460-LUL-A4C</t>
  </si>
  <si>
    <t>4.LUL bronchioles (more distal than 12th): &lt; 1 mm, no SMG/cartilage, potentially contain TB and RB, use microdissection. - Fresh Frozen embedded in OCT</t>
  </si>
  <si>
    <t>D460-LUL-A4D</t>
  </si>
  <si>
    <t>4.LUL bronchioles (more distal than 12th): &lt; 1 mm, no SMG/cartilage, potentially contain TB and RB, use microdissection. - Formalin for FFPE</t>
  </si>
  <si>
    <t>D460-LUL-A5</t>
  </si>
  <si>
    <t>D460-LUL-A5A</t>
  </si>
  <si>
    <t>5.LUL alveoli with superior pleura potentially containing terminal/respiratory bronchioles - Snap Frozen (Intended for Multiome)</t>
  </si>
  <si>
    <t>D460-LUL-A5B</t>
  </si>
  <si>
    <t>5.LUL alveoli with superior pleura potentially containing terminal/respiratory bronchioles - Snap Frozen (intended for MPLEX)</t>
  </si>
  <si>
    <t>D460-LUL-A5C</t>
  </si>
  <si>
    <t>5.LUL alveoli with superior pleura potentially containing terminal/respiratory bronchioles - Fresh Frozen embedded in OCT</t>
  </si>
  <si>
    <t>D460-LUL-A5D</t>
  </si>
  <si>
    <t>5.LUL alveoli with superior pleura potentially containing terminal/respiratory bronchioles - Formalin for FFPE</t>
  </si>
  <si>
    <t>D460-LUL-B2</t>
  </si>
  <si>
    <t>D460-LUL-B2A</t>
  </si>
  <si>
    <t>D460-LUL-B2B</t>
  </si>
  <si>
    <t>D460-LUL-B2C</t>
  </si>
  <si>
    <t>D460-LUL-B2D</t>
  </si>
  <si>
    <t>D460-LUL-B3</t>
  </si>
  <si>
    <t>3.LUL bronchi-bronchiole junction (7-9th): around 2 mm, SMG/cartilage are disappearing. Between 2 and 4. - replicate 2</t>
  </si>
  <si>
    <t>D460-LUL-B3A</t>
  </si>
  <si>
    <t>D460-LUL-B3B</t>
  </si>
  <si>
    <t>D460-LUL-B3C</t>
  </si>
  <si>
    <t>D460-LUL-B3D</t>
  </si>
  <si>
    <t>D460-LUL-B4</t>
  </si>
  <si>
    <t>4.LUL bronchioles (more distal than 12th): &lt; 1 mm, no SMG/cartilage, potentially contain TB and RB, use microdissection. - replicate 2</t>
  </si>
  <si>
    <t>D460-LUL-B4A</t>
  </si>
  <si>
    <t>D460-LUL-B4B</t>
  </si>
  <si>
    <t>D460-LUL-B4C</t>
  </si>
  <si>
    <t>D460-LUL-B4D</t>
  </si>
  <si>
    <t>D460-LUL-B5</t>
  </si>
  <si>
    <t>D460-LUL-B5A</t>
  </si>
  <si>
    <t>D460-LUL-B5B</t>
  </si>
  <si>
    <t>D460-LUL-B5C</t>
  </si>
  <si>
    <t>D460-LUL-B5D</t>
  </si>
  <si>
    <t>D460-RL</t>
  </si>
  <si>
    <t>D460-RLL</t>
  </si>
  <si>
    <t>Right lower lobe of Donor 460 lung</t>
  </si>
  <si>
    <t>D460-RLL-16</t>
  </si>
  <si>
    <t>Whole lung slice from right lower lobe of Donor 460</t>
  </si>
  <si>
    <t>D460-RLL-16A6</t>
  </si>
  <si>
    <t>FFPE block from right lower lobe of Donor 460 lung</t>
  </si>
  <si>
    <t>D460-RLL-16A6-HM-TMA-5-11</t>
  </si>
  <si>
    <t>D460-RLL-16B2</t>
  </si>
  <si>
    <t>D460-RLL-16B2-HM-TMA-5-5</t>
  </si>
  <si>
    <t>D460-RLL-16B2-HM-TMA-8-10</t>
  </si>
  <si>
    <t>D460-RLL-16C3</t>
  </si>
  <si>
    <t xml:space="preserve">FFPE block from right lower lobe of Donor 460 lung </t>
  </si>
  <si>
    <t>D460-RLL-16C3-HM-TMA-6-4</t>
  </si>
  <si>
    <t>D460-RLL-16D1</t>
  </si>
  <si>
    <t>D460-RLL-16D1-HM-TMA-6-11</t>
  </si>
  <si>
    <t>D460-RUL</t>
  </si>
  <si>
    <t>Right upper lobe of Donor 460 lung</t>
  </si>
  <si>
    <t>D460-RUL-9</t>
  </si>
  <si>
    <t>Whole lung slice from right upper lobe of Donor 460</t>
  </si>
  <si>
    <t>D460-RUL-9A5</t>
  </si>
  <si>
    <t>FFPE block from right upper lobe of Donor 460 lung</t>
  </si>
  <si>
    <t>D460-RUL-9A5-HM-TMA-7-6</t>
  </si>
  <si>
    <t>FFPE core from Donor 460 for tissue micro array</t>
  </si>
  <si>
    <t>D460-RUL-9A6</t>
  </si>
  <si>
    <t>D460-RUL-9A6-HM-TMA-5-7</t>
  </si>
  <si>
    <t>D460-RUL-9B2</t>
  </si>
  <si>
    <t>D460-RUL-9B2-HM-TMA-8-1</t>
  </si>
  <si>
    <t>D460-RUL-9B3</t>
  </si>
  <si>
    <t>D460-RUL-9B3-HM-TMA-8-13</t>
  </si>
  <si>
    <t>D460-VPA</t>
  </si>
  <si>
    <t>D460-VPA-A1</t>
  </si>
  <si>
    <t>Extrapulmonary artery - replicate 1</t>
  </si>
  <si>
    <t>D460-VPA-A1A</t>
  </si>
  <si>
    <t>Extrapulmonary artery - Snap Frozen (Intended for Multiome)</t>
  </si>
  <si>
    <t>D460-VPA-A1B</t>
  </si>
  <si>
    <t>Extrapulmonary artery - Snap Frozen (intended for MPLEX)</t>
  </si>
  <si>
    <t>D460-VPA-A1C</t>
  </si>
  <si>
    <t>Extrapulmonary artery - Fresh Frozen embedded in OCT</t>
  </si>
  <si>
    <t>D460-VPA-A1D</t>
  </si>
  <si>
    <t>Extrapulmonary artery - Formalin for FFPE</t>
  </si>
  <si>
    <t>D460-VPA-B1</t>
  </si>
  <si>
    <t>Extrapulmonary artery - replicate 2</t>
  </si>
  <si>
    <t>D460-VPA-B1A</t>
  </si>
  <si>
    <t>D460-VPA-B1B</t>
  </si>
  <si>
    <t>D460-VPA-B1C</t>
  </si>
  <si>
    <t>D460-VPA-B1D</t>
  </si>
  <si>
    <t>D478</t>
  </si>
  <si>
    <t>D478-BRL</t>
  </si>
  <si>
    <t>D478-BRL-A1</t>
  </si>
  <si>
    <t>https://dx.doi.org/10.17504/protocols.io.j8nlk91jdv5r/v1</t>
  </si>
  <si>
    <t>D478-BRL-A1A</t>
  </si>
  <si>
    <t>1.Extrapulmonary bronchi: Primary bronchus - Snap Frozen (Multiome)</t>
  </si>
  <si>
    <t>D478-BRL-A1B</t>
  </si>
  <si>
    <t>1.Extrapulmonary bronchi: Primary bronchus - Snap Frozen (MPLEx)</t>
  </si>
  <si>
    <t>D478-BRL-A1C</t>
  </si>
  <si>
    <t>1.Extrapulmonary bronchi: Primary bronchus - OCT</t>
  </si>
  <si>
    <t>D478-BRL-A1D</t>
  </si>
  <si>
    <t>D478-BRL-B1</t>
  </si>
  <si>
    <t>D478-BRL-B1A</t>
  </si>
  <si>
    <t>D478-BRL-B1B</t>
  </si>
  <si>
    <t>D478-BRL-B1C</t>
  </si>
  <si>
    <t>D478-BRL-B1D</t>
  </si>
  <si>
    <t>D478-LL</t>
  </si>
  <si>
    <t>D478-LLL</t>
  </si>
  <si>
    <t>55 year old, Male, Left lower lobe</t>
  </si>
  <si>
    <t>D478-LLL-A6</t>
  </si>
  <si>
    <t>D478-LLL-A6A</t>
  </si>
  <si>
    <t>6.LLL segmental bronchi (3rd) or 4th bronchi (B1+2): &gt;2 mm - Snap Frozen (Multiome)</t>
  </si>
  <si>
    <t>D478-LLL-A6B</t>
  </si>
  <si>
    <t>6.LLL segmental bronchi (3rd) or 4th bronchi (B1+2): &gt;2 mm - Snap Frozen (MPLEx)</t>
  </si>
  <si>
    <t>D478-LLL-A6C</t>
  </si>
  <si>
    <t>6.LLL segmental bronchi (3rd) or 4th bronchi (B1+2): &gt;2 mm - OCT</t>
  </si>
  <si>
    <t>D478-LLL-A6D</t>
  </si>
  <si>
    <t>D478-LLL-A7</t>
  </si>
  <si>
    <t>D478-LLL-A7A</t>
  </si>
  <si>
    <t>7.LLL bronchi-bronchiole junction (7-9th): around 2 mm, SMG/cartilage are disappearing. Between 2 and 4. - Snap Frozen (Multiome)</t>
  </si>
  <si>
    <t>D478-LLL-A7B</t>
  </si>
  <si>
    <t>7.LLL bronchi-bronchiole junction (7-9th): around 2 mm, SMG/cartilage are disappearing. Between 2 and 4. - Snap Frozen (MPLEx)</t>
  </si>
  <si>
    <t>D478-LLL-A7C</t>
  </si>
  <si>
    <t>7.LLL bronchi-bronchiole junction (7-9th): around 2 mm, SMG/cartilage are disappearing. Between 2 and 4. - OCT</t>
  </si>
  <si>
    <t>D478-LLL-A7D</t>
  </si>
  <si>
    <t>D478-LLL-A8</t>
  </si>
  <si>
    <t>D478-LLL-A8A</t>
  </si>
  <si>
    <t>8.LLL bronchioles (more distal than 12th): &lt; 1 mm, no SMG/cartilage, potentially contain TB and RB, use microdissection. - Snap Frozen (Multiome)</t>
  </si>
  <si>
    <t>D478-LLL-A8B</t>
  </si>
  <si>
    <t>8.LLL bronchioles (more distal than 12th): &lt; 1 mm, no SMG/cartilage, potentially contain TB and RB, use microdissection. - Snap Frozen (MPLEx)</t>
  </si>
  <si>
    <t>D478-LLL-A8C</t>
  </si>
  <si>
    <t>8.LLL bronchioles (more distal than 12th): &lt; 1 mm, no SMG/cartilage, potentially contain TB and RB, use microdissection. - OCT</t>
  </si>
  <si>
    <t>D478-LLL-A8D</t>
  </si>
  <si>
    <t>D478-LLL-A9</t>
  </si>
  <si>
    <t>D478-LLL-A9A</t>
  </si>
  <si>
    <t>9.LLL alveoli with superior pleura potentially containing terminal/respiratory bronchioles - Snap Frozen (Multiome)</t>
  </si>
  <si>
    <t>D478-LLL-A9B</t>
  </si>
  <si>
    <t>9.LLL alveoli with superior pleura potentially containing terminal/respiratory bronchioles - Snap Frozen (MPLEx)</t>
  </si>
  <si>
    <t>D478-LLL-A9C</t>
  </si>
  <si>
    <t>9.LLL alveoli with superior pleura potentially containing terminal/respiratory bronchioles - OCT</t>
  </si>
  <si>
    <t>D478-LLL-A9D</t>
  </si>
  <si>
    <t>D478-LLL-B6</t>
  </si>
  <si>
    <t>D478-LLL-B6A</t>
  </si>
  <si>
    <t>D478-LLL-B6B</t>
  </si>
  <si>
    <t>D478-LLL-B6C</t>
  </si>
  <si>
    <t>D478-LLL-B6D</t>
  </si>
  <si>
    <t>D478-LLL-B7</t>
  </si>
  <si>
    <t>D478-LLL-B7A</t>
  </si>
  <si>
    <t>D478-LLL-B7B</t>
  </si>
  <si>
    <t>D478-LLL-B7C</t>
  </si>
  <si>
    <t>D478-LLL-B7D</t>
  </si>
  <si>
    <t>D478-LLL-B8</t>
  </si>
  <si>
    <t>D478-LLL-B8A</t>
  </si>
  <si>
    <t>D478-LLL-B8B</t>
  </si>
  <si>
    <t>D478-LLL-B8C</t>
  </si>
  <si>
    <t>D478-LLL-B8D</t>
  </si>
  <si>
    <t>D478-LLL-B9</t>
  </si>
  <si>
    <t>D478-LLL-B9A</t>
  </si>
  <si>
    <t>D478-LLL-B9B</t>
  </si>
  <si>
    <t>D478-LLL-B9C</t>
  </si>
  <si>
    <t>D478-LLL-B9D</t>
  </si>
  <si>
    <t>D478-LUL</t>
  </si>
  <si>
    <t>55 year old, Male, Left upper lobe</t>
  </si>
  <si>
    <t>D478-LUL-A2</t>
  </si>
  <si>
    <t>D478-LUL-A2A</t>
  </si>
  <si>
    <t>2.LUL segmental bronchi (3rd) or 4th bronchi (B1+2): &gt;2 mm - Snap Frozen (Multiome)</t>
  </si>
  <si>
    <t>D478-LUL-A2B</t>
  </si>
  <si>
    <t>2.LUL segmental bronchi (3rd) or 4th bronchi (B1+2): &gt;2 mm - Snap Frozen (MPLEx)</t>
  </si>
  <si>
    <t>D478-LUL-A2C</t>
  </si>
  <si>
    <t>2.LUL segmental bronchi (3rd) or 4th bronchi (B1+2): &gt;2 mm - OCT</t>
  </si>
  <si>
    <t>D478-LUL-A2D</t>
  </si>
  <si>
    <t>D478-LUL-A3</t>
  </si>
  <si>
    <t>D478-LUL-A3A</t>
  </si>
  <si>
    <t>3.LUL bronchi-bronchiole junction (7-9th): around 2 mm, SMG/cartilage are disappearing. Between 2 and 4. - Snap Frozen (Multiome)</t>
  </si>
  <si>
    <t>D478-LUL-A3B</t>
  </si>
  <si>
    <t>3.LUL bronchi-bronchiole junction (7-9th): around 2 mm, SMG/cartilage are disappearing. Between 2 and 4. - Snap Frozen (MPLEx)</t>
  </si>
  <si>
    <t>D478-LUL-A3C</t>
  </si>
  <si>
    <t>3.LUL bronchi-bronchiole junction (7-9th): around 2 mm, SMG/cartilage are disappearing. Between 2 and 4. - OCT</t>
  </si>
  <si>
    <t>D478-LUL-A3D</t>
  </si>
  <si>
    <t>D478-LUL-A4</t>
  </si>
  <si>
    <t>D478-LUL-A4A</t>
  </si>
  <si>
    <t>4.LUL bronchioles (more distal than 12th): &lt; 1 mm, no SMG/cartilage, potentially contain TB and RB, use microdissection. -  Snap Frozen (Multiome)</t>
  </si>
  <si>
    <t>D478-LUL-A4B</t>
  </si>
  <si>
    <t>4.LUL bronchioles (more distal than 12th): &lt; 1 mm, no SMG/cartilage, potentially contain TB and RB, use microdissection. - Snap Frozen (MPLEx)</t>
  </si>
  <si>
    <t>D478-LUL-A4C</t>
  </si>
  <si>
    <t>4.LUL bronchioles (more distal than 12th): &lt; 1 mm, no SMG/cartilage, potentially contain TB and RB, use microdissection. - OCT</t>
  </si>
  <si>
    <t>D478-LUL-A4D</t>
  </si>
  <si>
    <t>4.LUL bronchioles (more distal than 12th): &lt; 1 mm, no SMG/cartilage, potentially contain TB and RB, use microdissection. -  FFPE</t>
  </si>
  <si>
    <t>D478-LUL-A5</t>
  </si>
  <si>
    <t>D478-LUL-A5A</t>
  </si>
  <si>
    <t>5.LUL alveoli with superior pleura potentially containing terminal/respiratory bronchioles - Snap Frozen (Multiome)</t>
  </si>
  <si>
    <t>D478-LUL-A5B</t>
  </si>
  <si>
    <t>5.LUL alveoli with superior pleura potentially containing terminal/respiratory bronchioles -  Snap Frozen (MPLEx)</t>
  </si>
  <si>
    <t>D478-LUL-A5C</t>
  </si>
  <si>
    <t>5.LUL alveoli with superior pleura potentially containing terminal/respiratory bronchioles - OCT</t>
  </si>
  <si>
    <t>D478-LUL-A5D</t>
  </si>
  <si>
    <t>D478-LUL-B2</t>
  </si>
  <si>
    <t>D478-LUL-B2A</t>
  </si>
  <si>
    <t>D478-LUL-B2B</t>
  </si>
  <si>
    <t>D478-LUL-B2C</t>
  </si>
  <si>
    <t>D478-LUL-B2D</t>
  </si>
  <si>
    <t>2.LUL segmental bronchi (3rd) or 4th bronchi (B1+2): &gt;2 mm  - FFPE</t>
  </si>
  <si>
    <t>D478-LUL-B3</t>
  </si>
  <si>
    <t>D478-LUL-B3A</t>
  </si>
  <si>
    <t>D478-LUL-B3B</t>
  </si>
  <si>
    <t>D478-LUL-B3C</t>
  </si>
  <si>
    <t>D478-LUL-B3D</t>
  </si>
  <si>
    <t>D478-LUL-B4</t>
  </si>
  <si>
    <t>D478-LUL-B4A</t>
  </si>
  <si>
    <t>D478-LUL-B4B</t>
  </si>
  <si>
    <t>D478-LUL-B4C</t>
  </si>
  <si>
    <t>D478-LUL-B4D</t>
  </si>
  <si>
    <t>D478-LUL-B5</t>
  </si>
  <si>
    <t>D478-LUL-B5A</t>
  </si>
  <si>
    <t>D478-LUL-B5B</t>
  </si>
  <si>
    <t>D478-LUL-B5C</t>
  </si>
  <si>
    <t>D478-LUL-B5D</t>
  </si>
  <si>
    <t>Tonsil_11</t>
  </si>
  <si>
    <t>Tonsil-11</t>
  </si>
  <si>
    <t>Tonsil_11_5</t>
  </si>
  <si>
    <t>tonsil FFPE block from 11 year old black male</t>
  </si>
  <si>
    <t>Max Slices</t>
  </si>
  <si>
    <t>Max Columns</t>
  </si>
  <si>
    <t>Max Block</t>
  </si>
  <si>
    <t>I'll do this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</si>
</sst>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  <xf numFmtId="0" fontId="0" fillId="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x.doi.org/10.17504/protocols.io.rm7vz84k2vx1/v2" TargetMode="External"/><Relationship Id="rId13" Type="http://schemas.openxmlformats.org/officeDocument/2006/relationships/hyperlink" Target="https://dx.doi.org/10.17504/protocols.io.biz7kf9n" TargetMode="External"/><Relationship Id="rId18" Type="http://schemas.openxmlformats.org/officeDocument/2006/relationships/hyperlink" Target="https://dx.doi.org/10.17504/protocols.io.kxygxejwdv8j/v2" TargetMode="External"/><Relationship Id="rId26" Type="http://schemas.openxmlformats.org/officeDocument/2006/relationships/hyperlink" Target="https://dx.doi.org/10.17504/protocols.io.kxygxejwdv8j/v3" TargetMode="External"/><Relationship Id="rId3" Type="http://schemas.openxmlformats.org/officeDocument/2006/relationships/hyperlink" Target="https://dx.doi.org/10.17504/protocols.io.bjtnknme" TargetMode="External"/><Relationship Id="rId21" Type="http://schemas.openxmlformats.org/officeDocument/2006/relationships/hyperlink" Target="https://dx.doi.org/10.17504/protocols.io.n2bvj395plk5/v1" TargetMode="External"/><Relationship Id="rId7" Type="http://schemas.openxmlformats.org/officeDocument/2006/relationships/hyperlink" Target="https://dx.doi.org/10.17504/protocols.io.kxygxejwdv8j/v2" TargetMode="External"/><Relationship Id="rId12" Type="http://schemas.openxmlformats.org/officeDocument/2006/relationships/hyperlink" Target="https://dx.doi.org/10.17504/protocols.io.biz7kf9n" TargetMode="External"/><Relationship Id="rId17" Type="http://schemas.openxmlformats.org/officeDocument/2006/relationships/hyperlink" Target="https://dx.doi.org/10.17504/protocols.io.kxygxejwdv8j/v3" TargetMode="External"/><Relationship Id="rId25" Type="http://schemas.openxmlformats.org/officeDocument/2006/relationships/hyperlink" Target="https://dx.doi.org/10.17504/protocols.io.kxygxejwdv8j/v3" TargetMode="External"/><Relationship Id="rId2" Type="http://schemas.openxmlformats.org/officeDocument/2006/relationships/hyperlink" Target="https://dx.doi.org/10.17504/protocols.io.bjttknnn" TargetMode="External"/><Relationship Id="rId16" Type="http://schemas.openxmlformats.org/officeDocument/2006/relationships/hyperlink" Target="https://dx.doi.org/10.17504/protocols.io.kxygxejwdv8j/v2" TargetMode="External"/><Relationship Id="rId20" Type="http://schemas.openxmlformats.org/officeDocument/2006/relationships/hyperlink" Target="https://dx.doi.org/10.17504/protocols.io.n2bvj395plk5/v1" TargetMode="External"/><Relationship Id="rId1" Type="http://schemas.openxmlformats.org/officeDocument/2006/relationships/hyperlink" Target="https://dx.doi.org/10.17504/protocols.io.kxygxejwdv8j/v3" TargetMode="External"/><Relationship Id="rId6" Type="http://schemas.openxmlformats.org/officeDocument/2006/relationships/hyperlink" Target="https://dx.doi.org/10.17504/protocols.io.biz7kf9n" TargetMode="External"/><Relationship Id="rId11" Type="http://schemas.openxmlformats.org/officeDocument/2006/relationships/hyperlink" Target="https://dx.doi.org/10.17504/protocols.io.biz7kf9n" TargetMode="External"/><Relationship Id="rId24" Type="http://schemas.openxmlformats.org/officeDocument/2006/relationships/hyperlink" Target="https://dx.doi.org/10.17504/protocols.io.n2bvj395plk5/v1" TargetMode="External"/><Relationship Id="rId5" Type="http://schemas.openxmlformats.org/officeDocument/2006/relationships/hyperlink" Target="https://dx.doi.org/10.17504/protocols.io.biz7kf9n" TargetMode="External"/><Relationship Id="rId15" Type="http://schemas.openxmlformats.org/officeDocument/2006/relationships/hyperlink" Target="https://dx.doi.org/10.17504/protocols.io.bjtnknme" TargetMode="External"/><Relationship Id="rId23" Type="http://schemas.openxmlformats.org/officeDocument/2006/relationships/hyperlink" Target="https://dx.doi.org/10.17504/protocols.io.n2bvj395plk5/v1" TargetMode="External"/><Relationship Id="rId28" Type="http://schemas.openxmlformats.org/officeDocument/2006/relationships/hyperlink" Target="https://dx.doi.org/10.17504/protocols.io.j8nlk91jdv5r/v1" TargetMode="External"/><Relationship Id="rId10" Type="http://schemas.openxmlformats.org/officeDocument/2006/relationships/hyperlink" Target="https://dx.doi.org/10.17504/protocols.io.biz7kf9n" TargetMode="External"/><Relationship Id="rId19" Type="http://schemas.openxmlformats.org/officeDocument/2006/relationships/hyperlink" Target="https://dx.doi.org/10.17504/protocols.io.n2bvj395plk5/v1" TargetMode="External"/><Relationship Id="rId4" Type="http://schemas.openxmlformats.org/officeDocument/2006/relationships/hyperlink" Target="https://dx.doi.org/10.17504/protocols.io.biz7kf9n" TargetMode="External"/><Relationship Id="rId9" Type="http://schemas.openxmlformats.org/officeDocument/2006/relationships/hyperlink" Target="https://dx.doi.org/10.17504/protocols.io.biz7kf9n" TargetMode="External"/><Relationship Id="rId14" Type="http://schemas.openxmlformats.org/officeDocument/2006/relationships/hyperlink" Target="https://dx.doi.org/10.17504/protocols.io.kxygxejwdv8j/v3" TargetMode="External"/><Relationship Id="rId22" Type="http://schemas.openxmlformats.org/officeDocument/2006/relationships/hyperlink" Target="https://dx.doi.org/10.17504/protocols.io.kxygxejwdv8j/v3" TargetMode="External"/><Relationship Id="rId27" Type="http://schemas.openxmlformats.org/officeDocument/2006/relationships/hyperlink" Target="https://dx.doi.org/10.17504/protocols.io.j8nlk91jdv5r/v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x.doi.org/10.17504/protocols.io.kxygxejwdv8j/v3" TargetMode="External"/><Relationship Id="rId13" Type="http://schemas.openxmlformats.org/officeDocument/2006/relationships/hyperlink" Target="https://dx.doi.org/10.17504/protocols.io.kxygxejwdv8j/v3" TargetMode="External"/><Relationship Id="rId18" Type="http://schemas.openxmlformats.org/officeDocument/2006/relationships/hyperlink" Target="https://dx.doi.org/10.17504/protocols.io.kxygxejwdv8j/v3" TargetMode="External"/><Relationship Id="rId3" Type="http://schemas.openxmlformats.org/officeDocument/2006/relationships/hyperlink" Target="https://dx.doi.org/10.17504/protocols.io.kxygxejwdv8j/v3" TargetMode="External"/><Relationship Id="rId21" Type="http://schemas.openxmlformats.org/officeDocument/2006/relationships/hyperlink" Target="https://dx.doi.org/10.17504/protocols.io.kxygxejwdv8j/v3" TargetMode="External"/><Relationship Id="rId7" Type="http://schemas.openxmlformats.org/officeDocument/2006/relationships/hyperlink" Target="https://dx.doi.org/10.17504/protocols.io.kxygxejwdv8j/v3" TargetMode="External"/><Relationship Id="rId12" Type="http://schemas.openxmlformats.org/officeDocument/2006/relationships/hyperlink" Target="https://dx.doi.org/10.17504/protocols.io.kxygxejwdv8j/v3" TargetMode="External"/><Relationship Id="rId17" Type="http://schemas.openxmlformats.org/officeDocument/2006/relationships/hyperlink" Target="https://dx.doi.org/10.17504/protocols.io.kxygxejwdv8j/v3" TargetMode="External"/><Relationship Id="rId2" Type="http://schemas.openxmlformats.org/officeDocument/2006/relationships/hyperlink" Target="https://dx.doi.org/10.17504/protocols.io.kxygxejwdv8j/v3" TargetMode="External"/><Relationship Id="rId16" Type="http://schemas.openxmlformats.org/officeDocument/2006/relationships/hyperlink" Target="https://dx.doi.org/10.17504/protocols.io.kxygxejwdv8j/v3" TargetMode="External"/><Relationship Id="rId20" Type="http://schemas.openxmlformats.org/officeDocument/2006/relationships/hyperlink" Target="https://dx.doi.org/10.17504/protocols.io.kxygxejwdv8j/v3" TargetMode="External"/><Relationship Id="rId1" Type="http://schemas.openxmlformats.org/officeDocument/2006/relationships/hyperlink" Target="https://dx.doi.org/10.17504/protocols.io.kxygxejwdv8j/v3" TargetMode="External"/><Relationship Id="rId6" Type="http://schemas.openxmlformats.org/officeDocument/2006/relationships/hyperlink" Target="https://dx.doi.org/10.17504/protocols.io.kxygxejwdv8j/v3" TargetMode="External"/><Relationship Id="rId11" Type="http://schemas.openxmlformats.org/officeDocument/2006/relationships/hyperlink" Target="https://dx.doi.org/10.17504/protocols.io.kxygxejwdv8j/v3" TargetMode="External"/><Relationship Id="rId5" Type="http://schemas.openxmlformats.org/officeDocument/2006/relationships/hyperlink" Target="https://dx.doi.org/10.17504/protocols.io.kxygxejwdv8j/v3" TargetMode="External"/><Relationship Id="rId15" Type="http://schemas.openxmlformats.org/officeDocument/2006/relationships/hyperlink" Target="https://dx.doi.org/10.17504/protocols.io.kxygxejwdv8j/v3" TargetMode="External"/><Relationship Id="rId10" Type="http://schemas.openxmlformats.org/officeDocument/2006/relationships/hyperlink" Target="https://dx.doi.org/10.17504/protocols.io.kxygxejwdv8j/v3" TargetMode="External"/><Relationship Id="rId19" Type="http://schemas.openxmlformats.org/officeDocument/2006/relationships/hyperlink" Target="https://dx.doi.org/10.17504/protocols.io.kxygxejwdv8j/v3" TargetMode="External"/><Relationship Id="rId4" Type="http://schemas.openxmlformats.org/officeDocument/2006/relationships/hyperlink" Target="https://dx.doi.org/10.17504/protocols.io.kxygxejwdv8j/v3" TargetMode="External"/><Relationship Id="rId9" Type="http://schemas.openxmlformats.org/officeDocument/2006/relationships/hyperlink" Target="https://dx.doi.org/10.17504/protocols.io.kxygxejwdv8j/v3" TargetMode="External"/><Relationship Id="rId14" Type="http://schemas.openxmlformats.org/officeDocument/2006/relationships/hyperlink" Target="https://dx.doi.org/10.17504/protocols.io.kxygxejwdv8j/v3" TargetMode="External"/><Relationship Id="rId22" Type="http://schemas.openxmlformats.org/officeDocument/2006/relationships/hyperlink" Target="https://dx.doi.org/10.17504/protocols.io.kxygxejwdv8j/v3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x.doi.org/10.17504/protocols.io.n2bvj395plk5/v1" TargetMode="External"/><Relationship Id="rId18" Type="http://schemas.openxmlformats.org/officeDocument/2006/relationships/hyperlink" Target="https://dx.doi.org/10.17504/protocols.io.n2bvj395plk5/v1" TargetMode="External"/><Relationship Id="rId26" Type="http://schemas.openxmlformats.org/officeDocument/2006/relationships/hyperlink" Target="https://dx.doi.org/10.17504/protocols.io.kxygxejwdv8j/v3" TargetMode="External"/><Relationship Id="rId39" Type="http://schemas.openxmlformats.org/officeDocument/2006/relationships/hyperlink" Target="https://dx.doi.org/10.17504/protocols.io.j8nlk91jdv5r/v1" TargetMode="External"/><Relationship Id="rId21" Type="http://schemas.openxmlformats.org/officeDocument/2006/relationships/hyperlink" Target="https://dx.doi.org/10.17504/protocols.io.kxygxejwdv8j/v3" TargetMode="External"/><Relationship Id="rId34" Type="http://schemas.openxmlformats.org/officeDocument/2006/relationships/hyperlink" Target="https://dx.doi.org/10.17504/protocols.io.kxygxejwdv8j/v3" TargetMode="External"/><Relationship Id="rId42" Type="http://schemas.openxmlformats.org/officeDocument/2006/relationships/hyperlink" Target="https://dx.doi.org/10.17504/protocols.io.j8nlk91jdv5r/v1" TargetMode="External"/><Relationship Id="rId47" Type="http://schemas.openxmlformats.org/officeDocument/2006/relationships/hyperlink" Target="https://dx.doi.org/10.17504/protocols.io.j8nlk91jdv5r/v1" TargetMode="External"/><Relationship Id="rId50" Type="http://schemas.openxmlformats.org/officeDocument/2006/relationships/hyperlink" Target="https://dx.doi.org/10.17504/protocols.io.j8nlk91jdv5r/v1" TargetMode="External"/><Relationship Id="rId55" Type="http://schemas.openxmlformats.org/officeDocument/2006/relationships/hyperlink" Target="https://dx.doi.org/10.17504/protocols.io.j8nlk91jdv5r/v1" TargetMode="External"/><Relationship Id="rId7" Type="http://schemas.openxmlformats.org/officeDocument/2006/relationships/hyperlink" Target="https://dx.doi.org/10.17504/protocols.io.n2bvj395plk5/v1" TargetMode="External"/><Relationship Id="rId2" Type="http://schemas.openxmlformats.org/officeDocument/2006/relationships/hyperlink" Target="https://dx.doi.org/10.17504/protocols.io.n2bvj395plk5/v1" TargetMode="External"/><Relationship Id="rId16" Type="http://schemas.openxmlformats.org/officeDocument/2006/relationships/hyperlink" Target="https://dx.doi.org/10.17504/protocols.io.n2bvj395plk5/v1" TargetMode="External"/><Relationship Id="rId29" Type="http://schemas.openxmlformats.org/officeDocument/2006/relationships/hyperlink" Target="https://dx.doi.org/10.17504/protocols.io.kxygxejwdv8j/v3" TargetMode="External"/><Relationship Id="rId11" Type="http://schemas.openxmlformats.org/officeDocument/2006/relationships/hyperlink" Target="https://dx.doi.org/10.17504/protocols.io.n2bvj395plk5/v1" TargetMode="External"/><Relationship Id="rId24" Type="http://schemas.openxmlformats.org/officeDocument/2006/relationships/hyperlink" Target="https://dx.doi.org/10.17504/protocols.io.kxygxejwdv8j/v3" TargetMode="External"/><Relationship Id="rId32" Type="http://schemas.openxmlformats.org/officeDocument/2006/relationships/hyperlink" Target="https://dx.doi.org/10.17504/protocols.io.kxygxejwdv8j/v3" TargetMode="External"/><Relationship Id="rId37" Type="http://schemas.openxmlformats.org/officeDocument/2006/relationships/hyperlink" Target="https://dx.doi.org/10.17504/protocols.io.kxygxejwdv8j/v3" TargetMode="External"/><Relationship Id="rId40" Type="http://schemas.openxmlformats.org/officeDocument/2006/relationships/hyperlink" Target="https://dx.doi.org/10.17504/protocols.io.j8nlk91jdv5r/v1" TargetMode="External"/><Relationship Id="rId45" Type="http://schemas.openxmlformats.org/officeDocument/2006/relationships/hyperlink" Target="https://dx.doi.org/10.17504/protocols.io.j8nlk91jdv5r/v1" TargetMode="External"/><Relationship Id="rId53" Type="http://schemas.openxmlformats.org/officeDocument/2006/relationships/hyperlink" Target="https://dx.doi.org/10.17504/protocols.io.j8nlk91jdv5r/v1" TargetMode="External"/><Relationship Id="rId5" Type="http://schemas.openxmlformats.org/officeDocument/2006/relationships/hyperlink" Target="https://dx.doi.org/10.17504/protocols.io.n2bvj395plk5/v1" TargetMode="External"/><Relationship Id="rId10" Type="http://schemas.openxmlformats.org/officeDocument/2006/relationships/hyperlink" Target="https://dx.doi.org/10.17504/protocols.io.n2bvj395plk5/v1" TargetMode="External"/><Relationship Id="rId19" Type="http://schemas.openxmlformats.org/officeDocument/2006/relationships/hyperlink" Target="https://dx.doi.org/10.17504/protocols.io.kxygxejwdv8j/v3" TargetMode="External"/><Relationship Id="rId31" Type="http://schemas.openxmlformats.org/officeDocument/2006/relationships/hyperlink" Target="https://dx.doi.org/10.17504/protocols.io.kxygxejwdv8j/v3" TargetMode="External"/><Relationship Id="rId44" Type="http://schemas.openxmlformats.org/officeDocument/2006/relationships/hyperlink" Target="https://dx.doi.org/10.17504/protocols.io.j8nlk91jdv5r/v1" TargetMode="External"/><Relationship Id="rId52" Type="http://schemas.openxmlformats.org/officeDocument/2006/relationships/hyperlink" Target="https://dx.doi.org/10.17504/protocols.io.j8nlk91jdv5r/v1" TargetMode="External"/><Relationship Id="rId4" Type="http://schemas.openxmlformats.org/officeDocument/2006/relationships/hyperlink" Target="https://dx.doi.org/10.17504/protocols.io.n2bvj395plk5/v1" TargetMode="External"/><Relationship Id="rId9" Type="http://schemas.openxmlformats.org/officeDocument/2006/relationships/hyperlink" Target="https://dx.doi.org/10.17504/protocols.io.n2bvj395plk5/v1" TargetMode="External"/><Relationship Id="rId14" Type="http://schemas.openxmlformats.org/officeDocument/2006/relationships/hyperlink" Target="https://dx.doi.org/10.17504/protocols.io.n2bvj395plk5/v1" TargetMode="External"/><Relationship Id="rId22" Type="http://schemas.openxmlformats.org/officeDocument/2006/relationships/hyperlink" Target="https://dx.doi.org/10.17504/protocols.io.kxygxejwdv8j/v3" TargetMode="External"/><Relationship Id="rId27" Type="http://schemas.openxmlformats.org/officeDocument/2006/relationships/hyperlink" Target="https://dx.doi.org/10.17504/protocols.io.kxygxejwdv8j/v3" TargetMode="External"/><Relationship Id="rId30" Type="http://schemas.openxmlformats.org/officeDocument/2006/relationships/hyperlink" Target="https://dx.doi.org/10.17504/protocols.io.kxygxejwdv8j/v3" TargetMode="External"/><Relationship Id="rId35" Type="http://schemas.openxmlformats.org/officeDocument/2006/relationships/hyperlink" Target="https://dx.doi.org/10.17504/protocols.io.kxygxejwdv8j/v3" TargetMode="External"/><Relationship Id="rId43" Type="http://schemas.openxmlformats.org/officeDocument/2006/relationships/hyperlink" Target="https://dx.doi.org/10.17504/protocols.io.j8nlk91jdv5r/v1" TargetMode="External"/><Relationship Id="rId48" Type="http://schemas.openxmlformats.org/officeDocument/2006/relationships/hyperlink" Target="https://dx.doi.org/10.17504/protocols.io.j8nlk91jdv5r/v1" TargetMode="External"/><Relationship Id="rId56" Type="http://schemas.openxmlformats.org/officeDocument/2006/relationships/hyperlink" Target="https://dx.doi.org/10.17504/protocols.io.j8nlk91jdv5r/v1" TargetMode="External"/><Relationship Id="rId8" Type="http://schemas.openxmlformats.org/officeDocument/2006/relationships/hyperlink" Target="https://dx.doi.org/10.17504/protocols.io.n2bvj395plk5/v1" TargetMode="External"/><Relationship Id="rId51" Type="http://schemas.openxmlformats.org/officeDocument/2006/relationships/hyperlink" Target="https://dx.doi.org/10.17504/protocols.io.j8nlk91jdv5r/v1" TargetMode="External"/><Relationship Id="rId3" Type="http://schemas.openxmlformats.org/officeDocument/2006/relationships/hyperlink" Target="https://dx.doi.org/10.17504/protocols.io.n2bvj395plk5/v1" TargetMode="External"/><Relationship Id="rId12" Type="http://schemas.openxmlformats.org/officeDocument/2006/relationships/hyperlink" Target="https://dx.doi.org/10.17504/protocols.io.n2bvj395plk5/v1" TargetMode="External"/><Relationship Id="rId17" Type="http://schemas.openxmlformats.org/officeDocument/2006/relationships/hyperlink" Target="https://dx.doi.org/10.17504/protocols.io.n2bvj395plk5/v1" TargetMode="External"/><Relationship Id="rId25" Type="http://schemas.openxmlformats.org/officeDocument/2006/relationships/hyperlink" Target="https://dx.doi.org/10.17504/protocols.io.kxygxejwdv8j/v3" TargetMode="External"/><Relationship Id="rId33" Type="http://schemas.openxmlformats.org/officeDocument/2006/relationships/hyperlink" Target="https://dx.doi.org/10.17504/protocols.io.kxygxejwdv8j/v3" TargetMode="External"/><Relationship Id="rId38" Type="http://schemas.openxmlformats.org/officeDocument/2006/relationships/hyperlink" Target="https://dx.doi.org/10.17504/protocols.io.kxygxejwdv8j/v3" TargetMode="External"/><Relationship Id="rId46" Type="http://schemas.openxmlformats.org/officeDocument/2006/relationships/hyperlink" Target="https://dx.doi.org/10.17504/protocols.io.j8nlk91jdv5r/v1" TargetMode="External"/><Relationship Id="rId20" Type="http://schemas.openxmlformats.org/officeDocument/2006/relationships/hyperlink" Target="https://dx.doi.org/10.17504/protocols.io.kxygxejwdv8j/v3" TargetMode="External"/><Relationship Id="rId41" Type="http://schemas.openxmlformats.org/officeDocument/2006/relationships/hyperlink" Target="https://dx.doi.org/10.17504/protocols.io.j8nlk91jdv5r/v1" TargetMode="External"/><Relationship Id="rId54" Type="http://schemas.openxmlformats.org/officeDocument/2006/relationships/hyperlink" Target="https://dx.doi.org/10.17504/protocols.io.j8nlk91jdv5r/v1" TargetMode="External"/><Relationship Id="rId1" Type="http://schemas.openxmlformats.org/officeDocument/2006/relationships/hyperlink" Target="https://dx.doi.org/10.17504/protocols.io.n2bvj395plk5/v1" TargetMode="External"/><Relationship Id="rId6" Type="http://schemas.openxmlformats.org/officeDocument/2006/relationships/hyperlink" Target="https://dx.doi.org/10.17504/protocols.io.n2bvj395plk5/v1" TargetMode="External"/><Relationship Id="rId15" Type="http://schemas.openxmlformats.org/officeDocument/2006/relationships/hyperlink" Target="https://dx.doi.org/10.17504/protocols.io.n2bvj395plk5/v1" TargetMode="External"/><Relationship Id="rId23" Type="http://schemas.openxmlformats.org/officeDocument/2006/relationships/hyperlink" Target="https://dx.doi.org/10.17504/protocols.io.kxygxejwdv8j/v3" TargetMode="External"/><Relationship Id="rId28" Type="http://schemas.openxmlformats.org/officeDocument/2006/relationships/hyperlink" Target="https://dx.doi.org/10.17504/protocols.io.kxygxejwdv8j/v3" TargetMode="External"/><Relationship Id="rId36" Type="http://schemas.openxmlformats.org/officeDocument/2006/relationships/hyperlink" Target="https://dx.doi.org/10.17504/protocols.io.kxygxejwdv8j/v3" TargetMode="External"/><Relationship Id="rId49" Type="http://schemas.openxmlformats.org/officeDocument/2006/relationships/hyperlink" Target="https://dx.doi.org/10.17504/protocols.io.j8nlk91jdv5r/v1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x.doi.org/10.17504/protocols.io.n2bvj395plk5/v1" TargetMode="External"/><Relationship Id="rId21" Type="http://schemas.openxmlformats.org/officeDocument/2006/relationships/hyperlink" Target="https://dx.doi.org/10.17504/protocols.io.kxygxejwdv8j/v3" TargetMode="External"/><Relationship Id="rId63" Type="http://schemas.openxmlformats.org/officeDocument/2006/relationships/hyperlink" Target="https://dx.doi.org/10.17504/protocols.io.n2bvj395plk5/v1" TargetMode="External"/><Relationship Id="rId159" Type="http://schemas.openxmlformats.org/officeDocument/2006/relationships/hyperlink" Target="https://dx.doi.org/10.17504/protocols.io.kxygxejwdv8j/v3" TargetMode="External"/><Relationship Id="rId170" Type="http://schemas.openxmlformats.org/officeDocument/2006/relationships/hyperlink" Target="https://dx.doi.org/10.17504/protocols.io.kxygxejwdv8j/v3" TargetMode="External"/><Relationship Id="rId226" Type="http://schemas.openxmlformats.org/officeDocument/2006/relationships/hyperlink" Target="https://dx.doi.org/10.17504/protocols.io.j8nlk91jdv5r/v1" TargetMode="External"/><Relationship Id="rId268" Type="http://schemas.openxmlformats.org/officeDocument/2006/relationships/hyperlink" Target="https://dx.doi.org/10.17504/protocols.io.j8nlk91jdv5r/v1" TargetMode="External"/><Relationship Id="rId32" Type="http://schemas.openxmlformats.org/officeDocument/2006/relationships/hyperlink" Target="https://dx.doi.org/10.17504/protocols.io.kxygxejwdv8j/v3" TargetMode="External"/><Relationship Id="rId74" Type="http://schemas.openxmlformats.org/officeDocument/2006/relationships/hyperlink" Target="https://dx.doi.org/10.17504/protocols.io.n2bvj395plk5/v1" TargetMode="External"/><Relationship Id="rId128" Type="http://schemas.openxmlformats.org/officeDocument/2006/relationships/hyperlink" Target="https://dx.doi.org/10.17504/protocols.io.n2bvj395plk5/v1" TargetMode="External"/><Relationship Id="rId5" Type="http://schemas.openxmlformats.org/officeDocument/2006/relationships/hyperlink" Target="https://dx.doi.org/10.17504/protocols.io.kxygxejwdv8j/v3" TargetMode="External"/><Relationship Id="rId181" Type="http://schemas.openxmlformats.org/officeDocument/2006/relationships/hyperlink" Target="https://dx.doi.org/10.17504/protocols.io.kxygxejwdv8j/v3" TargetMode="External"/><Relationship Id="rId237" Type="http://schemas.openxmlformats.org/officeDocument/2006/relationships/hyperlink" Target="https://dx.doi.org/10.17504/protocols.io.j8nlk91jdv5r/v1" TargetMode="External"/><Relationship Id="rId279" Type="http://schemas.openxmlformats.org/officeDocument/2006/relationships/hyperlink" Target="https://dx.doi.org/10.17504/protocols.io.j8nlk91jdv5r/v1" TargetMode="External"/><Relationship Id="rId43" Type="http://schemas.openxmlformats.org/officeDocument/2006/relationships/hyperlink" Target="https://dx.doi.org/10.17504/protocols.io.kxygxejwdv8j/v3" TargetMode="External"/><Relationship Id="rId139" Type="http://schemas.openxmlformats.org/officeDocument/2006/relationships/hyperlink" Target="https://dx.doi.org/10.17504/protocols.io.kxygxejwdv8j/v3" TargetMode="External"/><Relationship Id="rId290" Type="http://schemas.openxmlformats.org/officeDocument/2006/relationships/hyperlink" Target="https://dx.doi.org/10.17504/protocols.io.j8nlk91jdv5r/v1" TargetMode="External"/><Relationship Id="rId85" Type="http://schemas.openxmlformats.org/officeDocument/2006/relationships/hyperlink" Target="https://dx.doi.org/10.17504/protocols.io.n2bvj395plk5/v1" TargetMode="External"/><Relationship Id="rId150" Type="http://schemas.openxmlformats.org/officeDocument/2006/relationships/hyperlink" Target="https://dx.doi.org/10.17504/protocols.io.kxygxejwdv8j/v3" TargetMode="External"/><Relationship Id="rId192" Type="http://schemas.openxmlformats.org/officeDocument/2006/relationships/hyperlink" Target="https://dx.doi.org/10.17504/protocols.io.kxygxejwdv8j/v3" TargetMode="External"/><Relationship Id="rId206" Type="http://schemas.openxmlformats.org/officeDocument/2006/relationships/hyperlink" Target="https://dx.doi.org/10.17504/protocols.io.kxygxejwdv8j/v3" TargetMode="External"/><Relationship Id="rId248" Type="http://schemas.openxmlformats.org/officeDocument/2006/relationships/hyperlink" Target="https://dx.doi.org/10.17504/protocols.io.j8nlk91jdv5r/v1" TargetMode="External"/><Relationship Id="rId12" Type="http://schemas.openxmlformats.org/officeDocument/2006/relationships/hyperlink" Target="https://dx.doi.org/10.17504/protocols.io.n2bvj395plk5/v1" TargetMode="External"/><Relationship Id="rId108" Type="http://schemas.openxmlformats.org/officeDocument/2006/relationships/hyperlink" Target="https://dx.doi.org/10.17504/protocols.io.n2bvj395plk5/v1" TargetMode="External"/><Relationship Id="rId54" Type="http://schemas.openxmlformats.org/officeDocument/2006/relationships/hyperlink" Target="https://dx.doi.org/10.17504/protocols.io.n2bvj395plk5/v1" TargetMode="External"/><Relationship Id="rId75" Type="http://schemas.openxmlformats.org/officeDocument/2006/relationships/hyperlink" Target="https://dx.doi.org/10.17504/protocols.io.n2bvj395plk5/v1" TargetMode="External"/><Relationship Id="rId96" Type="http://schemas.openxmlformats.org/officeDocument/2006/relationships/hyperlink" Target="https://dx.doi.org/10.17504/protocols.io.n2bvj395plk5/v1" TargetMode="External"/><Relationship Id="rId140" Type="http://schemas.openxmlformats.org/officeDocument/2006/relationships/hyperlink" Target="https://dx.doi.org/10.17504/protocols.io.kxygxejwdv8j/v3" TargetMode="External"/><Relationship Id="rId161" Type="http://schemas.openxmlformats.org/officeDocument/2006/relationships/hyperlink" Target="https://dx.doi.org/10.17504/protocols.io.kxygxejwdv8j/v3" TargetMode="External"/><Relationship Id="rId182" Type="http://schemas.openxmlformats.org/officeDocument/2006/relationships/hyperlink" Target="https://dx.doi.org/10.17504/protocols.io.kxygxejwdv8j/v3" TargetMode="External"/><Relationship Id="rId217" Type="http://schemas.openxmlformats.org/officeDocument/2006/relationships/hyperlink" Target="https://dx.doi.org/10.17504/protocols.io.kxygxejwdv8j/v3" TargetMode="External"/><Relationship Id="rId6" Type="http://schemas.openxmlformats.org/officeDocument/2006/relationships/hyperlink" Target="https://dx.doi.org/10.17504/protocols.io.kxygxejwdv8j/v3" TargetMode="External"/><Relationship Id="rId238" Type="http://schemas.openxmlformats.org/officeDocument/2006/relationships/hyperlink" Target="https://dx.doi.org/10.17504/protocols.io.j8nlk91jdv5r/v1" TargetMode="External"/><Relationship Id="rId259" Type="http://schemas.openxmlformats.org/officeDocument/2006/relationships/hyperlink" Target="https://dx.doi.org/10.17504/protocols.io.j8nlk91jdv5r/v1" TargetMode="External"/><Relationship Id="rId23" Type="http://schemas.openxmlformats.org/officeDocument/2006/relationships/hyperlink" Target="https://dx.doi.org/10.17504/protocols.io.kxygxejwdv8j/v2" TargetMode="External"/><Relationship Id="rId119" Type="http://schemas.openxmlformats.org/officeDocument/2006/relationships/hyperlink" Target="https://dx.doi.org/10.17504/protocols.io.n2bvj395plk5/v1" TargetMode="External"/><Relationship Id="rId270" Type="http://schemas.openxmlformats.org/officeDocument/2006/relationships/hyperlink" Target="https://dx.doi.org/10.17504/protocols.io.j8nlk91jdv5r/v1" TargetMode="External"/><Relationship Id="rId291" Type="http://schemas.openxmlformats.org/officeDocument/2006/relationships/hyperlink" Target="https://dx.doi.org/10.17504/protocols.io.j8nlk91jdv5r/v1" TargetMode="External"/><Relationship Id="rId44" Type="http://schemas.openxmlformats.org/officeDocument/2006/relationships/hyperlink" Target="https://dx.doi.org/10.17504/protocols.io.kxygxejwdv8j/v3" TargetMode="External"/><Relationship Id="rId65" Type="http://schemas.openxmlformats.org/officeDocument/2006/relationships/hyperlink" Target="https://dx.doi.org/10.17504/protocols.io.n2bvj395plk5/v1" TargetMode="External"/><Relationship Id="rId86" Type="http://schemas.openxmlformats.org/officeDocument/2006/relationships/hyperlink" Target="https://dx.doi.org/10.17504/protocols.io.n2bvj395plk5/v1" TargetMode="External"/><Relationship Id="rId130" Type="http://schemas.openxmlformats.org/officeDocument/2006/relationships/hyperlink" Target="https://dx.doi.org/10.17504/protocols.io.kxygxejwdv8j/v3" TargetMode="External"/><Relationship Id="rId151" Type="http://schemas.openxmlformats.org/officeDocument/2006/relationships/hyperlink" Target="https://dx.doi.org/10.17504/protocols.io.kxygxejwdv8j/v3" TargetMode="External"/><Relationship Id="rId172" Type="http://schemas.openxmlformats.org/officeDocument/2006/relationships/hyperlink" Target="https://dx.doi.org/10.17504/protocols.io.kxygxejwdv8j/v3" TargetMode="External"/><Relationship Id="rId193" Type="http://schemas.openxmlformats.org/officeDocument/2006/relationships/hyperlink" Target="https://dx.doi.org/10.17504/protocols.io.kxygxejwdv8j/v3" TargetMode="External"/><Relationship Id="rId207" Type="http://schemas.openxmlformats.org/officeDocument/2006/relationships/hyperlink" Target="https://dx.doi.org/10.17504/protocols.io.kxygxejwdv8j/v3" TargetMode="External"/><Relationship Id="rId228" Type="http://schemas.openxmlformats.org/officeDocument/2006/relationships/hyperlink" Target="https://dx.doi.org/10.17504/protocols.io.j8nlk91jdv5r/v1" TargetMode="External"/><Relationship Id="rId249" Type="http://schemas.openxmlformats.org/officeDocument/2006/relationships/hyperlink" Target="https://dx.doi.org/10.17504/protocols.io.j8nlk91jdv5r/v1" TargetMode="External"/><Relationship Id="rId13" Type="http://schemas.openxmlformats.org/officeDocument/2006/relationships/hyperlink" Target="https://dx.doi.org/10.17504/protocols.io.kxygxejwdv8j/v3" TargetMode="External"/><Relationship Id="rId109" Type="http://schemas.openxmlformats.org/officeDocument/2006/relationships/hyperlink" Target="https://dx.doi.org/10.17504/protocols.io.n2bvj395plk5/v1" TargetMode="External"/><Relationship Id="rId260" Type="http://schemas.openxmlformats.org/officeDocument/2006/relationships/hyperlink" Target="https://dx.doi.org/10.17504/protocols.io.j8nlk91jdv5r/v1" TargetMode="External"/><Relationship Id="rId281" Type="http://schemas.openxmlformats.org/officeDocument/2006/relationships/hyperlink" Target="https://dx.doi.org/10.17504/protocols.io.j8nlk91jdv5r/v1" TargetMode="External"/><Relationship Id="rId34" Type="http://schemas.openxmlformats.org/officeDocument/2006/relationships/hyperlink" Target="https://dx.doi.org/10.17504/protocols.io.kxygxejwdv8j/v3" TargetMode="External"/><Relationship Id="rId55" Type="http://schemas.openxmlformats.org/officeDocument/2006/relationships/hyperlink" Target="https://dx.doi.org/10.17504/protocols.io.n2bvj395plk5/v1" TargetMode="External"/><Relationship Id="rId76" Type="http://schemas.openxmlformats.org/officeDocument/2006/relationships/hyperlink" Target="https://dx.doi.org/10.17504/protocols.io.n2bvj395plk5/v1" TargetMode="External"/><Relationship Id="rId97" Type="http://schemas.openxmlformats.org/officeDocument/2006/relationships/hyperlink" Target="https://dx.doi.org/10.17504/protocols.io.n2bvj395plk5/v1" TargetMode="External"/><Relationship Id="rId120" Type="http://schemas.openxmlformats.org/officeDocument/2006/relationships/hyperlink" Target="https://dx.doi.org/10.17504/protocols.io.n2bvj395plk5/v1" TargetMode="External"/><Relationship Id="rId141" Type="http://schemas.openxmlformats.org/officeDocument/2006/relationships/hyperlink" Target="https://dx.doi.org/10.17504/protocols.io.kxygxejwdv8j/v3" TargetMode="External"/><Relationship Id="rId7" Type="http://schemas.openxmlformats.org/officeDocument/2006/relationships/hyperlink" Target="https://dx.doi.org/10.17504/protocols.io.kxygxejwdv8j/v3" TargetMode="External"/><Relationship Id="rId162" Type="http://schemas.openxmlformats.org/officeDocument/2006/relationships/hyperlink" Target="https://dx.doi.org/10.17504/protocols.io.kxygxejwdv8j/v3" TargetMode="External"/><Relationship Id="rId183" Type="http://schemas.openxmlformats.org/officeDocument/2006/relationships/hyperlink" Target="https://dx.doi.org/10.17504/protocols.io.kxygxejwdv8j/v3" TargetMode="External"/><Relationship Id="rId218" Type="http://schemas.openxmlformats.org/officeDocument/2006/relationships/hyperlink" Target="https://dx.doi.org/10.17504/protocols.io.kxygxejwdv8j/v3" TargetMode="External"/><Relationship Id="rId239" Type="http://schemas.openxmlformats.org/officeDocument/2006/relationships/hyperlink" Target="https://dx.doi.org/10.17504/protocols.io.j8nlk91jdv5r/v1" TargetMode="External"/><Relationship Id="rId250" Type="http://schemas.openxmlformats.org/officeDocument/2006/relationships/hyperlink" Target="https://dx.doi.org/10.17504/protocols.io.j8nlk91jdv5r/v1" TargetMode="External"/><Relationship Id="rId271" Type="http://schemas.openxmlformats.org/officeDocument/2006/relationships/hyperlink" Target="https://dx.doi.org/10.17504/protocols.io.j8nlk91jdv5r/v1" TargetMode="External"/><Relationship Id="rId292" Type="http://schemas.openxmlformats.org/officeDocument/2006/relationships/hyperlink" Target="https://dx.doi.org/10.17504/protocols.io.kxygxejwdv8j/v3" TargetMode="External"/><Relationship Id="rId24" Type="http://schemas.openxmlformats.org/officeDocument/2006/relationships/hyperlink" Target="https://dx.doi.org/10.17504/protocols.io.kxygxejwdv8j/v2" TargetMode="External"/><Relationship Id="rId45" Type="http://schemas.openxmlformats.org/officeDocument/2006/relationships/hyperlink" Target="https://dx.doi.org/10.17504/protocols.io.kxygxejwdv8j/v3" TargetMode="External"/><Relationship Id="rId66" Type="http://schemas.openxmlformats.org/officeDocument/2006/relationships/hyperlink" Target="https://dx.doi.org/10.17504/protocols.io.n2bvj395plk5/v1" TargetMode="External"/><Relationship Id="rId87" Type="http://schemas.openxmlformats.org/officeDocument/2006/relationships/hyperlink" Target="https://dx.doi.org/10.17504/protocols.io.n2bvj395plk5/v1" TargetMode="External"/><Relationship Id="rId110" Type="http://schemas.openxmlformats.org/officeDocument/2006/relationships/hyperlink" Target="https://dx.doi.org/10.17504/protocols.io.n2bvj395plk5/v1" TargetMode="External"/><Relationship Id="rId131" Type="http://schemas.openxmlformats.org/officeDocument/2006/relationships/hyperlink" Target="https://dx.doi.org/10.17504/protocols.io.kxygxejwdv8j/v3" TargetMode="External"/><Relationship Id="rId152" Type="http://schemas.openxmlformats.org/officeDocument/2006/relationships/hyperlink" Target="https://dx.doi.org/10.17504/protocols.io.kxygxejwdv8j/v3" TargetMode="External"/><Relationship Id="rId173" Type="http://schemas.openxmlformats.org/officeDocument/2006/relationships/hyperlink" Target="https://dx.doi.org/10.17504/protocols.io.kxygxejwdv8j/v3" TargetMode="External"/><Relationship Id="rId194" Type="http://schemas.openxmlformats.org/officeDocument/2006/relationships/hyperlink" Target="https://dx.doi.org/10.17504/protocols.io.kxygxejwdv8j/v3" TargetMode="External"/><Relationship Id="rId208" Type="http://schemas.openxmlformats.org/officeDocument/2006/relationships/hyperlink" Target="https://dx.doi.org/10.17504/protocols.io.kxygxejwdv8j/v3" TargetMode="External"/><Relationship Id="rId229" Type="http://schemas.openxmlformats.org/officeDocument/2006/relationships/hyperlink" Target="https://dx.doi.org/10.17504/protocols.io.j8nlk91jdv5r/v1" TargetMode="External"/><Relationship Id="rId240" Type="http://schemas.openxmlformats.org/officeDocument/2006/relationships/hyperlink" Target="https://dx.doi.org/10.17504/protocols.io.j8nlk91jdv5r/v1" TargetMode="External"/><Relationship Id="rId261" Type="http://schemas.openxmlformats.org/officeDocument/2006/relationships/hyperlink" Target="https://dx.doi.org/10.17504/protocols.io.j8nlk91jdv5r/v1" TargetMode="External"/><Relationship Id="rId14" Type="http://schemas.openxmlformats.org/officeDocument/2006/relationships/hyperlink" Target="https://dx.doi.org/10.17504/protocols.io.kxygxejwdv8j/v3" TargetMode="External"/><Relationship Id="rId35" Type="http://schemas.openxmlformats.org/officeDocument/2006/relationships/hyperlink" Target="https://dx.doi.org/10.17504/protocols.io.kxygxejwdv8j/v3" TargetMode="External"/><Relationship Id="rId56" Type="http://schemas.openxmlformats.org/officeDocument/2006/relationships/hyperlink" Target="https://dx.doi.org/10.17504/protocols.io.n2bvj395plk5/v1" TargetMode="External"/><Relationship Id="rId77" Type="http://schemas.openxmlformats.org/officeDocument/2006/relationships/hyperlink" Target="https://dx.doi.org/10.17504/protocols.io.n2bvj395plk5/v1" TargetMode="External"/><Relationship Id="rId100" Type="http://schemas.openxmlformats.org/officeDocument/2006/relationships/hyperlink" Target="https://dx.doi.org/10.17504/protocols.io.n2bvj395plk5/v1" TargetMode="External"/><Relationship Id="rId282" Type="http://schemas.openxmlformats.org/officeDocument/2006/relationships/hyperlink" Target="https://dx.doi.org/10.17504/protocols.io.j8nlk91jdv5r/v1" TargetMode="External"/><Relationship Id="rId8" Type="http://schemas.openxmlformats.org/officeDocument/2006/relationships/hyperlink" Target="https://dx.doi.org/10.17504/protocols.io.kxygxejwdv8j/v3" TargetMode="External"/><Relationship Id="rId98" Type="http://schemas.openxmlformats.org/officeDocument/2006/relationships/hyperlink" Target="https://dx.doi.org/10.17504/protocols.io.n2bvj395plk5/v1" TargetMode="External"/><Relationship Id="rId121" Type="http://schemas.openxmlformats.org/officeDocument/2006/relationships/hyperlink" Target="https://dx.doi.org/10.17504/protocols.io.n2bvj395plk5/v1" TargetMode="External"/><Relationship Id="rId142" Type="http://schemas.openxmlformats.org/officeDocument/2006/relationships/hyperlink" Target="https://dx.doi.org/10.17504/protocols.io.kxygxejwdv8j/v3" TargetMode="External"/><Relationship Id="rId163" Type="http://schemas.openxmlformats.org/officeDocument/2006/relationships/hyperlink" Target="https://dx.doi.org/10.17504/protocols.io.kxygxejwdv8j/v3" TargetMode="External"/><Relationship Id="rId184" Type="http://schemas.openxmlformats.org/officeDocument/2006/relationships/hyperlink" Target="https://dx.doi.org/10.17504/protocols.io.kxygxejwdv8j/v3" TargetMode="External"/><Relationship Id="rId219" Type="http://schemas.openxmlformats.org/officeDocument/2006/relationships/hyperlink" Target="https://dx.doi.org/10.17504/protocols.io.kxygxejwdv8j/v3" TargetMode="External"/><Relationship Id="rId230" Type="http://schemas.openxmlformats.org/officeDocument/2006/relationships/hyperlink" Target="https://dx.doi.org/10.17504/protocols.io.j8nlk91jdv5r/v1" TargetMode="External"/><Relationship Id="rId251" Type="http://schemas.openxmlformats.org/officeDocument/2006/relationships/hyperlink" Target="https://dx.doi.org/10.17504/protocols.io.j8nlk91jdv5r/v1" TargetMode="External"/><Relationship Id="rId25" Type="http://schemas.openxmlformats.org/officeDocument/2006/relationships/hyperlink" Target="https://dx.doi.org/10.17504/protocols.io.rm7vz84k2vx1/v2" TargetMode="External"/><Relationship Id="rId46" Type="http://schemas.openxmlformats.org/officeDocument/2006/relationships/hyperlink" Target="https://dx.doi.org/10.17504/protocols.io.kxygxejwdv8j/v3" TargetMode="External"/><Relationship Id="rId67" Type="http://schemas.openxmlformats.org/officeDocument/2006/relationships/hyperlink" Target="https://dx.doi.org/10.17504/protocols.io.n2bvj395plk5/v1" TargetMode="External"/><Relationship Id="rId272" Type="http://schemas.openxmlformats.org/officeDocument/2006/relationships/hyperlink" Target="https://dx.doi.org/10.17504/protocols.io.j8nlk91jdv5r/v1" TargetMode="External"/><Relationship Id="rId293" Type="http://schemas.openxmlformats.org/officeDocument/2006/relationships/hyperlink" Target="https://dx.doi.org/10.17504/protocols.io.kxygxejwdv8j/v3" TargetMode="External"/><Relationship Id="rId88" Type="http://schemas.openxmlformats.org/officeDocument/2006/relationships/hyperlink" Target="https://dx.doi.org/10.17504/protocols.io.n2bvj395plk5/v1" TargetMode="External"/><Relationship Id="rId111" Type="http://schemas.openxmlformats.org/officeDocument/2006/relationships/hyperlink" Target="https://dx.doi.org/10.17504/protocols.io.n2bvj395plk5/v1" TargetMode="External"/><Relationship Id="rId132" Type="http://schemas.openxmlformats.org/officeDocument/2006/relationships/hyperlink" Target="https://dx.doi.org/10.17504/protocols.io.kxygxejwdv8j/v3" TargetMode="External"/><Relationship Id="rId153" Type="http://schemas.openxmlformats.org/officeDocument/2006/relationships/hyperlink" Target="https://dx.doi.org/10.17504/protocols.io.kxygxejwdv8j/v3" TargetMode="External"/><Relationship Id="rId174" Type="http://schemas.openxmlformats.org/officeDocument/2006/relationships/hyperlink" Target="https://dx.doi.org/10.17504/protocols.io.kxygxejwdv8j/v3" TargetMode="External"/><Relationship Id="rId195" Type="http://schemas.openxmlformats.org/officeDocument/2006/relationships/hyperlink" Target="https://dx.doi.org/10.17504/protocols.io.kxygxejwdv8j/v3" TargetMode="External"/><Relationship Id="rId209" Type="http://schemas.openxmlformats.org/officeDocument/2006/relationships/hyperlink" Target="https://dx.doi.org/10.17504/protocols.io.kxygxejwdv8j/v3" TargetMode="External"/><Relationship Id="rId220" Type="http://schemas.openxmlformats.org/officeDocument/2006/relationships/hyperlink" Target="https://dx.doi.org/10.17504/protocols.io.j8nlk91jdv5r/v1" TargetMode="External"/><Relationship Id="rId241" Type="http://schemas.openxmlformats.org/officeDocument/2006/relationships/hyperlink" Target="https://dx.doi.org/10.17504/protocols.io.j8nlk91jdv5r/v1" TargetMode="External"/><Relationship Id="rId15" Type="http://schemas.openxmlformats.org/officeDocument/2006/relationships/hyperlink" Target="https://dx.doi.org/10.17504/protocols.io.kxygxejwdv8j/v3" TargetMode="External"/><Relationship Id="rId36" Type="http://schemas.openxmlformats.org/officeDocument/2006/relationships/hyperlink" Target="https://dx.doi.org/10.17504/protocols.io.kxygxejwdv8j/v3" TargetMode="External"/><Relationship Id="rId57" Type="http://schemas.openxmlformats.org/officeDocument/2006/relationships/hyperlink" Target="https://dx.doi.org/10.17504/protocols.io.n2bvj395plk5/v1" TargetMode="External"/><Relationship Id="rId262" Type="http://schemas.openxmlformats.org/officeDocument/2006/relationships/hyperlink" Target="https://dx.doi.org/10.17504/protocols.io.j8nlk91jdv5r/v1" TargetMode="External"/><Relationship Id="rId283" Type="http://schemas.openxmlformats.org/officeDocument/2006/relationships/hyperlink" Target="https://dx.doi.org/10.17504/protocols.io.j8nlk91jdv5r/v1" TargetMode="External"/><Relationship Id="rId78" Type="http://schemas.openxmlformats.org/officeDocument/2006/relationships/hyperlink" Target="https://dx.doi.org/10.17504/protocols.io.n2bvj395plk5/v1" TargetMode="External"/><Relationship Id="rId99" Type="http://schemas.openxmlformats.org/officeDocument/2006/relationships/hyperlink" Target="https://dx.doi.org/10.17504/protocols.io.n2bvj395plk5/v1" TargetMode="External"/><Relationship Id="rId101" Type="http://schemas.openxmlformats.org/officeDocument/2006/relationships/hyperlink" Target="https://dx.doi.org/10.17504/protocols.io.n2bvj395plk5/v1" TargetMode="External"/><Relationship Id="rId122" Type="http://schemas.openxmlformats.org/officeDocument/2006/relationships/hyperlink" Target="https://dx.doi.org/10.17504/protocols.io.n2bvj395plk5/v1" TargetMode="External"/><Relationship Id="rId143" Type="http://schemas.openxmlformats.org/officeDocument/2006/relationships/hyperlink" Target="https://dx.doi.org/10.17504/protocols.io.kxygxejwdv8j/v3" TargetMode="External"/><Relationship Id="rId164" Type="http://schemas.openxmlformats.org/officeDocument/2006/relationships/hyperlink" Target="https://dx.doi.org/10.17504/protocols.io.kxygxejwdv8j/v3" TargetMode="External"/><Relationship Id="rId185" Type="http://schemas.openxmlformats.org/officeDocument/2006/relationships/hyperlink" Target="https://dx.doi.org/10.17504/protocols.io.kxygxejwdv8j/v3" TargetMode="External"/><Relationship Id="rId9" Type="http://schemas.openxmlformats.org/officeDocument/2006/relationships/hyperlink" Target="https://dx.doi.org/10.17504/protocols.io.kxygxejwdv8j/v3" TargetMode="External"/><Relationship Id="rId210" Type="http://schemas.openxmlformats.org/officeDocument/2006/relationships/hyperlink" Target="https://dx.doi.org/10.17504/protocols.io.kxygxejwdv8j/v3" TargetMode="External"/><Relationship Id="rId26" Type="http://schemas.openxmlformats.org/officeDocument/2006/relationships/hyperlink" Target="https://dx.doi.org/10.17504/protocols.io.kxygxejwdv8j/v3" TargetMode="External"/><Relationship Id="rId231" Type="http://schemas.openxmlformats.org/officeDocument/2006/relationships/hyperlink" Target="https://dx.doi.org/10.17504/protocols.io.j8nlk91jdv5r/v1" TargetMode="External"/><Relationship Id="rId252" Type="http://schemas.openxmlformats.org/officeDocument/2006/relationships/hyperlink" Target="https://dx.doi.org/10.17504/protocols.io.j8nlk91jdv5r/v1" TargetMode="External"/><Relationship Id="rId273" Type="http://schemas.openxmlformats.org/officeDocument/2006/relationships/hyperlink" Target="https://dx.doi.org/10.17504/protocols.io.j8nlk91jdv5r/v1" TargetMode="External"/><Relationship Id="rId294" Type="http://schemas.openxmlformats.org/officeDocument/2006/relationships/hyperlink" Target="https://dx.doi.org/10.17504/protocols.io.kxygxejwdv8j/v3" TargetMode="External"/><Relationship Id="rId47" Type="http://schemas.openxmlformats.org/officeDocument/2006/relationships/hyperlink" Target="https://dx.doi.org/10.17504/protocols.io.kxygxejwdv8j/v3" TargetMode="External"/><Relationship Id="rId68" Type="http://schemas.openxmlformats.org/officeDocument/2006/relationships/hyperlink" Target="https://dx.doi.org/10.17504/protocols.io.n2bvj395plk5/v1" TargetMode="External"/><Relationship Id="rId89" Type="http://schemas.openxmlformats.org/officeDocument/2006/relationships/hyperlink" Target="https://dx.doi.org/10.17504/protocols.io.n2bvj395plk5/v1" TargetMode="External"/><Relationship Id="rId112" Type="http://schemas.openxmlformats.org/officeDocument/2006/relationships/hyperlink" Target="https://dx.doi.org/10.17504/protocols.io.n2bvj395plk5/v1" TargetMode="External"/><Relationship Id="rId133" Type="http://schemas.openxmlformats.org/officeDocument/2006/relationships/hyperlink" Target="https://dx.doi.org/10.17504/protocols.io.kxygxejwdv8j/v3" TargetMode="External"/><Relationship Id="rId154" Type="http://schemas.openxmlformats.org/officeDocument/2006/relationships/hyperlink" Target="https://dx.doi.org/10.17504/protocols.io.kxygxejwdv8j/v3" TargetMode="External"/><Relationship Id="rId175" Type="http://schemas.openxmlformats.org/officeDocument/2006/relationships/hyperlink" Target="https://dx.doi.org/10.17504/protocols.io.kxygxejwdv8j/v3" TargetMode="External"/><Relationship Id="rId196" Type="http://schemas.openxmlformats.org/officeDocument/2006/relationships/hyperlink" Target="https://dx.doi.org/10.17504/protocols.io.kxygxejwdv8j/v3" TargetMode="External"/><Relationship Id="rId200" Type="http://schemas.openxmlformats.org/officeDocument/2006/relationships/hyperlink" Target="https://dx.doi.org/10.17504/protocols.io.kxygxejwdv8j/v3" TargetMode="External"/><Relationship Id="rId16" Type="http://schemas.openxmlformats.org/officeDocument/2006/relationships/hyperlink" Target="https://dx.doi.org/10.17504/protocols.io.kxygxejwdv8j/v3" TargetMode="External"/><Relationship Id="rId221" Type="http://schemas.openxmlformats.org/officeDocument/2006/relationships/hyperlink" Target="https://dx.doi.org/10.17504/protocols.io.j8nlk91jdv5r/v1" TargetMode="External"/><Relationship Id="rId242" Type="http://schemas.openxmlformats.org/officeDocument/2006/relationships/hyperlink" Target="https://dx.doi.org/10.17504/protocols.io.j8nlk91jdv5r/v1" TargetMode="External"/><Relationship Id="rId263" Type="http://schemas.openxmlformats.org/officeDocument/2006/relationships/hyperlink" Target="https://dx.doi.org/10.17504/protocols.io.j8nlk91jdv5r/v1" TargetMode="External"/><Relationship Id="rId284" Type="http://schemas.openxmlformats.org/officeDocument/2006/relationships/hyperlink" Target="https://dx.doi.org/10.17504/protocols.io.j8nlk91jdv5r/v1" TargetMode="External"/><Relationship Id="rId37" Type="http://schemas.openxmlformats.org/officeDocument/2006/relationships/hyperlink" Target="https://dx.doi.org/10.17504/protocols.io.kxygxejwdv8j/v3" TargetMode="External"/><Relationship Id="rId58" Type="http://schemas.openxmlformats.org/officeDocument/2006/relationships/hyperlink" Target="https://dx.doi.org/10.17504/protocols.io.n2bvj395plk5/v1" TargetMode="External"/><Relationship Id="rId79" Type="http://schemas.openxmlformats.org/officeDocument/2006/relationships/hyperlink" Target="https://dx.doi.org/10.17504/protocols.io.n2bvj395plk5/v1" TargetMode="External"/><Relationship Id="rId102" Type="http://schemas.openxmlformats.org/officeDocument/2006/relationships/hyperlink" Target="https://dx.doi.org/10.17504/protocols.io.n2bvj395plk5/v1" TargetMode="External"/><Relationship Id="rId123" Type="http://schemas.openxmlformats.org/officeDocument/2006/relationships/hyperlink" Target="https://dx.doi.org/10.17504/protocols.io.n2bvj395plk5/v1" TargetMode="External"/><Relationship Id="rId144" Type="http://schemas.openxmlformats.org/officeDocument/2006/relationships/hyperlink" Target="https://dx.doi.org/10.17504/protocols.io.kxygxejwdv8j/v3" TargetMode="External"/><Relationship Id="rId90" Type="http://schemas.openxmlformats.org/officeDocument/2006/relationships/hyperlink" Target="https://dx.doi.org/10.17504/protocols.io.n2bvj395plk5/v1" TargetMode="External"/><Relationship Id="rId165" Type="http://schemas.openxmlformats.org/officeDocument/2006/relationships/hyperlink" Target="https://dx.doi.org/10.17504/protocols.io.kxygxejwdv8j/v3" TargetMode="External"/><Relationship Id="rId186" Type="http://schemas.openxmlformats.org/officeDocument/2006/relationships/hyperlink" Target="https://dx.doi.org/10.17504/protocols.io.kxygxejwdv8j/v3" TargetMode="External"/><Relationship Id="rId211" Type="http://schemas.openxmlformats.org/officeDocument/2006/relationships/hyperlink" Target="https://dx.doi.org/10.17504/protocols.io.kxygxejwdv8j/v3" TargetMode="External"/><Relationship Id="rId232" Type="http://schemas.openxmlformats.org/officeDocument/2006/relationships/hyperlink" Target="https://dx.doi.org/10.17504/protocols.io.j8nlk91jdv5r/v1" TargetMode="External"/><Relationship Id="rId253" Type="http://schemas.openxmlformats.org/officeDocument/2006/relationships/hyperlink" Target="https://dx.doi.org/10.17504/protocols.io.j8nlk91jdv5r/v1" TargetMode="External"/><Relationship Id="rId274" Type="http://schemas.openxmlformats.org/officeDocument/2006/relationships/hyperlink" Target="https://dx.doi.org/10.17504/protocols.io.j8nlk91jdv5r/v1" TargetMode="External"/><Relationship Id="rId295" Type="http://schemas.openxmlformats.org/officeDocument/2006/relationships/hyperlink" Target="https://dx.doi.org/10.17504/protocols.io.kxygxejwdv8j/v3" TargetMode="External"/><Relationship Id="rId27" Type="http://schemas.openxmlformats.org/officeDocument/2006/relationships/hyperlink" Target="https://dx.doi.org/10.17504/protocols.io.kxygxejwdv8j/v3" TargetMode="External"/><Relationship Id="rId48" Type="http://schemas.openxmlformats.org/officeDocument/2006/relationships/hyperlink" Target="https://dx.doi.org/10.17504/protocols.io.kxygxejwdv8j/v3" TargetMode="External"/><Relationship Id="rId69" Type="http://schemas.openxmlformats.org/officeDocument/2006/relationships/hyperlink" Target="https://dx.doi.org/10.17504/protocols.io.n2bvj395plk5/v1" TargetMode="External"/><Relationship Id="rId113" Type="http://schemas.openxmlformats.org/officeDocument/2006/relationships/hyperlink" Target="https://dx.doi.org/10.17504/protocols.io.n2bvj395plk5/v1" TargetMode="External"/><Relationship Id="rId134" Type="http://schemas.openxmlformats.org/officeDocument/2006/relationships/hyperlink" Target="https://dx.doi.org/10.17504/protocols.io.kxygxejwdv8j/v3" TargetMode="External"/><Relationship Id="rId80" Type="http://schemas.openxmlformats.org/officeDocument/2006/relationships/hyperlink" Target="https://dx.doi.org/10.17504/protocols.io.n2bvj395plk5/v1" TargetMode="External"/><Relationship Id="rId155" Type="http://schemas.openxmlformats.org/officeDocument/2006/relationships/hyperlink" Target="https://dx.doi.org/10.17504/protocols.io.kxygxejwdv8j/v3" TargetMode="External"/><Relationship Id="rId176" Type="http://schemas.openxmlformats.org/officeDocument/2006/relationships/hyperlink" Target="https://dx.doi.org/10.17504/protocols.io.kxygxejwdv8j/v3" TargetMode="External"/><Relationship Id="rId197" Type="http://schemas.openxmlformats.org/officeDocument/2006/relationships/hyperlink" Target="https://dx.doi.org/10.17504/protocols.io.kxygxejwdv8j/v3" TargetMode="External"/><Relationship Id="rId201" Type="http://schemas.openxmlformats.org/officeDocument/2006/relationships/hyperlink" Target="https://dx.doi.org/10.17504/protocols.io.kxygxejwdv8j/v3" TargetMode="External"/><Relationship Id="rId222" Type="http://schemas.openxmlformats.org/officeDocument/2006/relationships/hyperlink" Target="https://dx.doi.org/10.17504/protocols.io.j8nlk91jdv5r/v1" TargetMode="External"/><Relationship Id="rId243" Type="http://schemas.openxmlformats.org/officeDocument/2006/relationships/hyperlink" Target="https://dx.doi.org/10.17504/protocols.io.j8nlk91jdv5r/v1" TargetMode="External"/><Relationship Id="rId264" Type="http://schemas.openxmlformats.org/officeDocument/2006/relationships/hyperlink" Target="https://dx.doi.org/10.17504/protocols.io.j8nlk91jdv5r/v1" TargetMode="External"/><Relationship Id="rId285" Type="http://schemas.openxmlformats.org/officeDocument/2006/relationships/hyperlink" Target="https://dx.doi.org/10.17504/protocols.io.j8nlk91jdv5r/v1" TargetMode="External"/><Relationship Id="rId17" Type="http://schemas.openxmlformats.org/officeDocument/2006/relationships/hyperlink" Target="https://dx.doi.org/10.17504/protocols.io.kxygxejwdv8j/v3" TargetMode="External"/><Relationship Id="rId38" Type="http://schemas.openxmlformats.org/officeDocument/2006/relationships/hyperlink" Target="https://dx.doi.org/10.17504/protocols.io.kxygxejwdv8j/v3" TargetMode="External"/><Relationship Id="rId59" Type="http://schemas.openxmlformats.org/officeDocument/2006/relationships/hyperlink" Target="https://dx.doi.org/10.17504/protocols.io.n2bvj395plk5/v1" TargetMode="External"/><Relationship Id="rId103" Type="http://schemas.openxmlformats.org/officeDocument/2006/relationships/hyperlink" Target="https://dx.doi.org/10.17504/protocols.io.n2bvj395plk5/v1" TargetMode="External"/><Relationship Id="rId124" Type="http://schemas.openxmlformats.org/officeDocument/2006/relationships/hyperlink" Target="https://dx.doi.org/10.17504/protocols.io.n2bvj395plk5/v1" TargetMode="External"/><Relationship Id="rId70" Type="http://schemas.openxmlformats.org/officeDocument/2006/relationships/hyperlink" Target="https://dx.doi.org/10.17504/protocols.io.n2bvj395plk5/v1" TargetMode="External"/><Relationship Id="rId91" Type="http://schemas.openxmlformats.org/officeDocument/2006/relationships/hyperlink" Target="https://dx.doi.org/10.17504/protocols.io.n2bvj395plk5/v1" TargetMode="External"/><Relationship Id="rId145" Type="http://schemas.openxmlformats.org/officeDocument/2006/relationships/hyperlink" Target="https://dx.doi.org/10.17504/protocols.io.kxygxejwdv8j/v3" TargetMode="External"/><Relationship Id="rId166" Type="http://schemas.openxmlformats.org/officeDocument/2006/relationships/hyperlink" Target="https://dx.doi.org/10.17504/protocols.io.kxygxejwdv8j/v3" TargetMode="External"/><Relationship Id="rId187" Type="http://schemas.openxmlformats.org/officeDocument/2006/relationships/hyperlink" Target="https://dx.doi.org/10.17504/protocols.io.kxygxejwdv8j/v3" TargetMode="External"/><Relationship Id="rId1" Type="http://schemas.openxmlformats.org/officeDocument/2006/relationships/hyperlink" Target="https://dx.doi.org/10.17504/protocols.io.kxygxejwdv8j/v3" TargetMode="External"/><Relationship Id="rId212" Type="http://schemas.openxmlformats.org/officeDocument/2006/relationships/hyperlink" Target="https://dx.doi.org/10.17504/protocols.io.kxygxejwdv8j/v3" TargetMode="External"/><Relationship Id="rId233" Type="http://schemas.openxmlformats.org/officeDocument/2006/relationships/hyperlink" Target="https://dx.doi.org/10.17504/protocols.io.j8nlk91jdv5r/v1" TargetMode="External"/><Relationship Id="rId254" Type="http://schemas.openxmlformats.org/officeDocument/2006/relationships/hyperlink" Target="https://dx.doi.org/10.17504/protocols.io.j8nlk91jdv5r/v1" TargetMode="External"/><Relationship Id="rId28" Type="http://schemas.openxmlformats.org/officeDocument/2006/relationships/hyperlink" Target="https://dx.doi.org/10.17504/protocols.io.kxygxejwdv8j/v3" TargetMode="External"/><Relationship Id="rId49" Type="http://schemas.openxmlformats.org/officeDocument/2006/relationships/hyperlink" Target="https://dx.doi.org/10.17504/protocols.io.kxygxejwdv8j/v3" TargetMode="External"/><Relationship Id="rId114" Type="http://schemas.openxmlformats.org/officeDocument/2006/relationships/hyperlink" Target="https://dx.doi.org/10.17504/protocols.io.n2bvj395plk5/v1" TargetMode="External"/><Relationship Id="rId275" Type="http://schemas.openxmlformats.org/officeDocument/2006/relationships/hyperlink" Target="https://dx.doi.org/10.17504/protocols.io.j8nlk91jdv5r/v1" TargetMode="External"/><Relationship Id="rId296" Type="http://schemas.openxmlformats.org/officeDocument/2006/relationships/hyperlink" Target="https://dx.doi.org/10.17504/protocols.io.kxygxejwdv8j/v3" TargetMode="External"/><Relationship Id="rId60" Type="http://schemas.openxmlformats.org/officeDocument/2006/relationships/hyperlink" Target="https://dx.doi.org/10.17504/protocols.io.n2bvj395plk5/v1" TargetMode="External"/><Relationship Id="rId81" Type="http://schemas.openxmlformats.org/officeDocument/2006/relationships/hyperlink" Target="https://dx.doi.org/10.17504/protocols.io.n2bvj395plk5/v1" TargetMode="External"/><Relationship Id="rId135" Type="http://schemas.openxmlformats.org/officeDocument/2006/relationships/hyperlink" Target="https://dx.doi.org/10.17504/protocols.io.kxygxejwdv8j/v3" TargetMode="External"/><Relationship Id="rId156" Type="http://schemas.openxmlformats.org/officeDocument/2006/relationships/hyperlink" Target="https://dx.doi.org/10.17504/protocols.io.kxygxejwdv8j/v3" TargetMode="External"/><Relationship Id="rId177" Type="http://schemas.openxmlformats.org/officeDocument/2006/relationships/hyperlink" Target="https://dx.doi.org/10.17504/protocols.io.kxygxejwdv8j/v3" TargetMode="External"/><Relationship Id="rId198" Type="http://schemas.openxmlformats.org/officeDocument/2006/relationships/hyperlink" Target="https://dx.doi.org/10.17504/protocols.io.kxygxejwdv8j/v3" TargetMode="External"/><Relationship Id="rId202" Type="http://schemas.openxmlformats.org/officeDocument/2006/relationships/hyperlink" Target="https://dx.doi.org/10.17504/protocols.io.kxygxejwdv8j/v3" TargetMode="External"/><Relationship Id="rId223" Type="http://schemas.openxmlformats.org/officeDocument/2006/relationships/hyperlink" Target="https://dx.doi.org/10.17504/protocols.io.j8nlk91jdv5r/v1" TargetMode="External"/><Relationship Id="rId244" Type="http://schemas.openxmlformats.org/officeDocument/2006/relationships/hyperlink" Target="https://dx.doi.org/10.17504/protocols.io.j8nlk91jdv5r/v1" TargetMode="External"/><Relationship Id="rId18" Type="http://schemas.openxmlformats.org/officeDocument/2006/relationships/hyperlink" Target="https://dx.doi.org/10.17504/protocols.io.kxygxejwdv8j/v3" TargetMode="External"/><Relationship Id="rId39" Type="http://schemas.openxmlformats.org/officeDocument/2006/relationships/hyperlink" Target="https://dx.doi.org/10.17504/protocols.io.kxygxejwdv8j/v2" TargetMode="External"/><Relationship Id="rId265" Type="http://schemas.openxmlformats.org/officeDocument/2006/relationships/hyperlink" Target="https://dx.doi.org/10.17504/protocols.io.j8nlk91jdv5r/v1" TargetMode="External"/><Relationship Id="rId286" Type="http://schemas.openxmlformats.org/officeDocument/2006/relationships/hyperlink" Target="https://dx.doi.org/10.17504/protocols.io.j8nlk91jdv5r/v1" TargetMode="External"/><Relationship Id="rId50" Type="http://schemas.openxmlformats.org/officeDocument/2006/relationships/hyperlink" Target="https://dx.doi.org/10.17504/protocols.io.kxygxejwdv8j/v3" TargetMode="External"/><Relationship Id="rId104" Type="http://schemas.openxmlformats.org/officeDocument/2006/relationships/hyperlink" Target="https://dx.doi.org/10.17504/protocols.io.n2bvj395plk5/v1" TargetMode="External"/><Relationship Id="rId125" Type="http://schemas.openxmlformats.org/officeDocument/2006/relationships/hyperlink" Target="https://dx.doi.org/10.17504/protocols.io.kxygxejwdv8j/v3" TargetMode="External"/><Relationship Id="rId146" Type="http://schemas.openxmlformats.org/officeDocument/2006/relationships/hyperlink" Target="https://dx.doi.org/10.17504/protocols.io.kxygxejwdv8j/v3" TargetMode="External"/><Relationship Id="rId167" Type="http://schemas.openxmlformats.org/officeDocument/2006/relationships/hyperlink" Target="https://dx.doi.org/10.17504/protocols.io.kxygxejwdv8j/v3" TargetMode="External"/><Relationship Id="rId188" Type="http://schemas.openxmlformats.org/officeDocument/2006/relationships/hyperlink" Target="https://dx.doi.org/10.17504/protocols.io.kxygxejwdv8j/v3" TargetMode="External"/><Relationship Id="rId71" Type="http://schemas.openxmlformats.org/officeDocument/2006/relationships/hyperlink" Target="https://dx.doi.org/10.17504/protocols.io.n2bvj395plk5/v1" TargetMode="External"/><Relationship Id="rId92" Type="http://schemas.openxmlformats.org/officeDocument/2006/relationships/hyperlink" Target="https://dx.doi.org/10.17504/protocols.io.n2bvj395plk5/v1" TargetMode="External"/><Relationship Id="rId213" Type="http://schemas.openxmlformats.org/officeDocument/2006/relationships/hyperlink" Target="https://dx.doi.org/10.17504/protocols.io.kxygxejwdv8j/v3" TargetMode="External"/><Relationship Id="rId234" Type="http://schemas.openxmlformats.org/officeDocument/2006/relationships/hyperlink" Target="https://dx.doi.org/10.17504/protocols.io.j8nlk91jdv5r/v1" TargetMode="External"/><Relationship Id="rId2" Type="http://schemas.openxmlformats.org/officeDocument/2006/relationships/hyperlink" Target="https://dx.doi.org/10.17504/protocols.io.bjttknnn" TargetMode="External"/><Relationship Id="rId29" Type="http://schemas.openxmlformats.org/officeDocument/2006/relationships/hyperlink" Target="https://dx.doi.org/10.17504/protocols.io.kxygxejwdv8j/v3" TargetMode="External"/><Relationship Id="rId255" Type="http://schemas.openxmlformats.org/officeDocument/2006/relationships/hyperlink" Target="https://dx.doi.org/10.17504/protocols.io.j8nlk91jdv5r/v1" TargetMode="External"/><Relationship Id="rId276" Type="http://schemas.openxmlformats.org/officeDocument/2006/relationships/hyperlink" Target="https://dx.doi.org/10.17504/protocols.io.j8nlk91jdv5r/v1" TargetMode="External"/><Relationship Id="rId297" Type="http://schemas.openxmlformats.org/officeDocument/2006/relationships/hyperlink" Target="https://dx.doi.org/10.17504/protocols.io.kxygxejwdv8j/v3" TargetMode="External"/><Relationship Id="rId40" Type="http://schemas.openxmlformats.org/officeDocument/2006/relationships/hyperlink" Target="https://dx.doi.org/10.17504/protocols.io.kxygxejwdv8j/v3" TargetMode="External"/><Relationship Id="rId115" Type="http://schemas.openxmlformats.org/officeDocument/2006/relationships/hyperlink" Target="https://dx.doi.org/10.17504/protocols.io.n2bvj395plk5/v1" TargetMode="External"/><Relationship Id="rId136" Type="http://schemas.openxmlformats.org/officeDocument/2006/relationships/hyperlink" Target="https://dx.doi.org/10.17504/protocols.io.kxygxejwdv8j/v3" TargetMode="External"/><Relationship Id="rId157" Type="http://schemas.openxmlformats.org/officeDocument/2006/relationships/hyperlink" Target="https://dx.doi.org/10.17504/protocols.io.kxygxejwdv8j/v3" TargetMode="External"/><Relationship Id="rId178" Type="http://schemas.openxmlformats.org/officeDocument/2006/relationships/hyperlink" Target="https://dx.doi.org/10.17504/protocols.io.kxygxejwdv8j/v3" TargetMode="External"/><Relationship Id="rId61" Type="http://schemas.openxmlformats.org/officeDocument/2006/relationships/hyperlink" Target="https://dx.doi.org/10.17504/protocols.io.n2bvj395plk5/v1" TargetMode="External"/><Relationship Id="rId82" Type="http://schemas.openxmlformats.org/officeDocument/2006/relationships/hyperlink" Target="https://dx.doi.org/10.17504/protocols.io.n2bvj395plk5/v1" TargetMode="External"/><Relationship Id="rId199" Type="http://schemas.openxmlformats.org/officeDocument/2006/relationships/hyperlink" Target="https://dx.doi.org/10.17504/protocols.io.kxygxejwdv8j/v3" TargetMode="External"/><Relationship Id="rId203" Type="http://schemas.openxmlformats.org/officeDocument/2006/relationships/hyperlink" Target="https://dx.doi.org/10.17504/protocols.io.kxygxejwdv8j/v3" TargetMode="External"/><Relationship Id="rId19" Type="http://schemas.openxmlformats.org/officeDocument/2006/relationships/hyperlink" Target="https://dx.doi.org/10.17504/protocols.io.kxygxejwdv8j/v3" TargetMode="External"/><Relationship Id="rId224" Type="http://schemas.openxmlformats.org/officeDocument/2006/relationships/hyperlink" Target="https://dx.doi.org/10.17504/protocols.io.j8nlk91jdv5r/v1" TargetMode="External"/><Relationship Id="rId245" Type="http://schemas.openxmlformats.org/officeDocument/2006/relationships/hyperlink" Target="https://dx.doi.org/10.17504/protocols.io.j8nlk91jdv5r/v1" TargetMode="External"/><Relationship Id="rId266" Type="http://schemas.openxmlformats.org/officeDocument/2006/relationships/hyperlink" Target="https://dx.doi.org/10.17504/protocols.io.j8nlk91jdv5r/v1" TargetMode="External"/><Relationship Id="rId287" Type="http://schemas.openxmlformats.org/officeDocument/2006/relationships/hyperlink" Target="https://dx.doi.org/10.17504/protocols.io.j8nlk91jdv5r/v1" TargetMode="External"/><Relationship Id="rId30" Type="http://schemas.openxmlformats.org/officeDocument/2006/relationships/hyperlink" Target="https://dx.doi.org/10.17504/protocols.io.kxygxejwdv8j/v3" TargetMode="External"/><Relationship Id="rId105" Type="http://schemas.openxmlformats.org/officeDocument/2006/relationships/hyperlink" Target="https://dx.doi.org/10.17504/protocols.io.n2bvj395plk5/v1" TargetMode="External"/><Relationship Id="rId126" Type="http://schemas.openxmlformats.org/officeDocument/2006/relationships/hyperlink" Target="https://dx.doi.org/10.17504/protocols.io.kxygxejwdv8j/v3" TargetMode="External"/><Relationship Id="rId147" Type="http://schemas.openxmlformats.org/officeDocument/2006/relationships/hyperlink" Target="https://dx.doi.org/10.17504/protocols.io.kxygxejwdv8j/v3" TargetMode="External"/><Relationship Id="rId168" Type="http://schemas.openxmlformats.org/officeDocument/2006/relationships/hyperlink" Target="https://dx.doi.org/10.17504/protocols.io.kxygxejwdv8j/v3" TargetMode="External"/><Relationship Id="rId51" Type="http://schemas.openxmlformats.org/officeDocument/2006/relationships/hyperlink" Target="https://dx.doi.org/10.17504/protocols.io.kxygxejwdv8j/v3" TargetMode="External"/><Relationship Id="rId72" Type="http://schemas.openxmlformats.org/officeDocument/2006/relationships/hyperlink" Target="https://dx.doi.org/10.17504/protocols.io.n2bvj395plk5/v1" TargetMode="External"/><Relationship Id="rId93" Type="http://schemas.openxmlformats.org/officeDocument/2006/relationships/hyperlink" Target="https://dx.doi.org/10.17504/protocols.io.n2bvj395plk5/v1" TargetMode="External"/><Relationship Id="rId189" Type="http://schemas.openxmlformats.org/officeDocument/2006/relationships/hyperlink" Target="https://dx.doi.org/10.17504/protocols.io.kxygxejwdv8j/v3" TargetMode="External"/><Relationship Id="rId3" Type="http://schemas.openxmlformats.org/officeDocument/2006/relationships/hyperlink" Target="https://dx.doi.org/10.17504/protocols.io.kxygxejwdv8j/v3" TargetMode="External"/><Relationship Id="rId214" Type="http://schemas.openxmlformats.org/officeDocument/2006/relationships/hyperlink" Target="https://dx.doi.org/10.17504/protocols.io.kxygxejwdv8j/v3" TargetMode="External"/><Relationship Id="rId235" Type="http://schemas.openxmlformats.org/officeDocument/2006/relationships/hyperlink" Target="https://dx.doi.org/10.17504/protocols.io.j8nlk91jdv5r/v1" TargetMode="External"/><Relationship Id="rId256" Type="http://schemas.openxmlformats.org/officeDocument/2006/relationships/hyperlink" Target="https://dx.doi.org/10.17504/protocols.io.j8nlk91jdv5r/v1" TargetMode="External"/><Relationship Id="rId277" Type="http://schemas.openxmlformats.org/officeDocument/2006/relationships/hyperlink" Target="https://dx.doi.org/10.17504/protocols.io.j8nlk91jdv5r/v1" TargetMode="External"/><Relationship Id="rId116" Type="http://schemas.openxmlformats.org/officeDocument/2006/relationships/hyperlink" Target="https://dx.doi.org/10.17504/protocols.io.n2bvj395plk5/v1" TargetMode="External"/><Relationship Id="rId137" Type="http://schemas.openxmlformats.org/officeDocument/2006/relationships/hyperlink" Target="https://dx.doi.org/10.17504/protocols.io.kxygxejwdv8j/v3" TargetMode="External"/><Relationship Id="rId158" Type="http://schemas.openxmlformats.org/officeDocument/2006/relationships/hyperlink" Target="https://dx.doi.org/10.17504/protocols.io.kxygxejwdv8j/v3" TargetMode="External"/><Relationship Id="rId20" Type="http://schemas.openxmlformats.org/officeDocument/2006/relationships/hyperlink" Target="https://dx.doi.org/10.17504/protocols.io.kxygxejwdv8j/v3" TargetMode="External"/><Relationship Id="rId41" Type="http://schemas.openxmlformats.org/officeDocument/2006/relationships/hyperlink" Target="https://dx.doi.org/10.17504/protocols.io.kxygxejwdv8j/v3" TargetMode="External"/><Relationship Id="rId62" Type="http://schemas.openxmlformats.org/officeDocument/2006/relationships/hyperlink" Target="https://dx.doi.org/10.17504/protocols.io.n2bvj395plk5/v1" TargetMode="External"/><Relationship Id="rId83" Type="http://schemas.openxmlformats.org/officeDocument/2006/relationships/hyperlink" Target="https://dx.doi.org/10.17504/protocols.io.n2bvj395plk5/v1" TargetMode="External"/><Relationship Id="rId179" Type="http://schemas.openxmlformats.org/officeDocument/2006/relationships/hyperlink" Target="https://dx.doi.org/10.17504/protocols.io.kxygxejwdv8j/v3" TargetMode="External"/><Relationship Id="rId190" Type="http://schemas.openxmlformats.org/officeDocument/2006/relationships/hyperlink" Target="https://dx.doi.org/10.17504/protocols.io.kxygxejwdv8j/v3" TargetMode="External"/><Relationship Id="rId204" Type="http://schemas.openxmlformats.org/officeDocument/2006/relationships/hyperlink" Target="https://dx.doi.org/10.17504/protocols.io.kxygxejwdv8j/v3" TargetMode="External"/><Relationship Id="rId225" Type="http://schemas.openxmlformats.org/officeDocument/2006/relationships/hyperlink" Target="https://dx.doi.org/10.17504/protocols.io.j8nlk91jdv5r/v1" TargetMode="External"/><Relationship Id="rId246" Type="http://schemas.openxmlformats.org/officeDocument/2006/relationships/hyperlink" Target="https://dx.doi.org/10.17504/protocols.io.j8nlk91jdv5r/v1" TargetMode="External"/><Relationship Id="rId267" Type="http://schemas.openxmlformats.org/officeDocument/2006/relationships/hyperlink" Target="https://dx.doi.org/10.17504/protocols.io.j8nlk91jdv5r/v1" TargetMode="External"/><Relationship Id="rId288" Type="http://schemas.openxmlformats.org/officeDocument/2006/relationships/hyperlink" Target="https://dx.doi.org/10.17504/protocols.io.j8nlk91jdv5r/v1" TargetMode="External"/><Relationship Id="rId106" Type="http://schemas.openxmlformats.org/officeDocument/2006/relationships/hyperlink" Target="https://dx.doi.org/10.17504/protocols.io.n2bvj395plk5/v1" TargetMode="External"/><Relationship Id="rId127" Type="http://schemas.openxmlformats.org/officeDocument/2006/relationships/hyperlink" Target="https://dx.doi.org/10.17504/protocols.io.kxygxejwdv8j/v3" TargetMode="External"/><Relationship Id="rId10" Type="http://schemas.openxmlformats.org/officeDocument/2006/relationships/hyperlink" Target="https://dx.doi.org/10.17504/protocols.io.kxygxejwdv8j/v3" TargetMode="External"/><Relationship Id="rId31" Type="http://schemas.openxmlformats.org/officeDocument/2006/relationships/hyperlink" Target="https://dx.doi.org/10.17504/protocols.io.kxygxejwdv8j/v3" TargetMode="External"/><Relationship Id="rId52" Type="http://schemas.openxmlformats.org/officeDocument/2006/relationships/hyperlink" Target="https://dx.doi.org/10.17504/protocols.io.kxygxejwdv8j/v2" TargetMode="External"/><Relationship Id="rId73" Type="http://schemas.openxmlformats.org/officeDocument/2006/relationships/hyperlink" Target="https://dx.doi.org/10.17504/protocols.io.n2bvj395plk5/v1" TargetMode="External"/><Relationship Id="rId94" Type="http://schemas.openxmlformats.org/officeDocument/2006/relationships/hyperlink" Target="https://dx.doi.org/10.17504/protocols.io.n2bvj395plk5/v1" TargetMode="External"/><Relationship Id="rId148" Type="http://schemas.openxmlformats.org/officeDocument/2006/relationships/hyperlink" Target="https://dx.doi.org/10.17504/protocols.io.kxygxejwdv8j/v3" TargetMode="External"/><Relationship Id="rId169" Type="http://schemas.openxmlformats.org/officeDocument/2006/relationships/hyperlink" Target="https://dx.doi.org/10.17504/protocols.io.kxygxejwdv8j/v3" TargetMode="External"/><Relationship Id="rId4" Type="http://schemas.openxmlformats.org/officeDocument/2006/relationships/hyperlink" Target="https://dx.doi.org/10.17504/protocols.io.kxygxejwdv8j/v3" TargetMode="External"/><Relationship Id="rId180" Type="http://schemas.openxmlformats.org/officeDocument/2006/relationships/hyperlink" Target="https://dx.doi.org/10.17504/protocols.io.kxygxejwdv8j/v3" TargetMode="External"/><Relationship Id="rId215" Type="http://schemas.openxmlformats.org/officeDocument/2006/relationships/hyperlink" Target="https://dx.doi.org/10.17504/protocols.io.kxygxejwdv8j/v3" TargetMode="External"/><Relationship Id="rId236" Type="http://schemas.openxmlformats.org/officeDocument/2006/relationships/hyperlink" Target="https://dx.doi.org/10.17504/protocols.io.j8nlk91jdv5r/v1" TargetMode="External"/><Relationship Id="rId257" Type="http://schemas.openxmlformats.org/officeDocument/2006/relationships/hyperlink" Target="https://dx.doi.org/10.17504/protocols.io.j8nlk91jdv5r/v1" TargetMode="External"/><Relationship Id="rId278" Type="http://schemas.openxmlformats.org/officeDocument/2006/relationships/hyperlink" Target="https://dx.doi.org/10.17504/protocols.io.j8nlk91jdv5r/v1" TargetMode="External"/><Relationship Id="rId42" Type="http://schemas.openxmlformats.org/officeDocument/2006/relationships/hyperlink" Target="https://dx.doi.org/10.17504/protocols.io.kxygxejwdv8j/v3" TargetMode="External"/><Relationship Id="rId84" Type="http://schemas.openxmlformats.org/officeDocument/2006/relationships/hyperlink" Target="https://dx.doi.org/10.17504/protocols.io.n2bvj395plk5/v1" TargetMode="External"/><Relationship Id="rId138" Type="http://schemas.openxmlformats.org/officeDocument/2006/relationships/hyperlink" Target="https://dx.doi.org/10.17504/protocols.io.kxygxejwdv8j/v3" TargetMode="External"/><Relationship Id="rId191" Type="http://schemas.openxmlformats.org/officeDocument/2006/relationships/hyperlink" Target="https://dx.doi.org/10.17504/protocols.io.kxygxejwdv8j/v3" TargetMode="External"/><Relationship Id="rId205" Type="http://schemas.openxmlformats.org/officeDocument/2006/relationships/hyperlink" Target="https://dx.doi.org/10.17504/protocols.io.kxygxejwdv8j/v3" TargetMode="External"/><Relationship Id="rId247" Type="http://schemas.openxmlformats.org/officeDocument/2006/relationships/hyperlink" Target="https://dx.doi.org/10.17504/protocols.io.j8nlk91jdv5r/v1" TargetMode="External"/><Relationship Id="rId107" Type="http://schemas.openxmlformats.org/officeDocument/2006/relationships/hyperlink" Target="https://dx.doi.org/10.17504/protocols.io.n2bvj395plk5/v1" TargetMode="External"/><Relationship Id="rId289" Type="http://schemas.openxmlformats.org/officeDocument/2006/relationships/hyperlink" Target="https://dx.doi.org/10.17504/protocols.io.j8nlk91jdv5r/v1" TargetMode="External"/><Relationship Id="rId11" Type="http://schemas.openxmlformats.org/officeDocument/2006/relationships/hyperlink" Target="https://dx.doi.org/10.17504/protocols.io.kxygxejwdv8j/v3" TargetMode="External"/><Relationship Id="rId53" Type="http://schemas.openxmlformats.org/officeDocument/2006/relationships/hyperlink" Target="https://dx.doi.org/10.17504/protocols.io.n2bvj395plk5/v1" TargetMode="External"/><Relationship Id="rId149" Type="http://schemas.openxmlformats.org/officeDocument/2006/relationships/hyperlink" Target="https://dx.doi.org/10.17504/protocols.io.kxygxejwdv8j/v3" TargetMode="External"/><Relationship Id="rId95" Type="http://schemas.openxmlformats.org/officeDocument/2006/relationships/hyperlink" Target="https://dx.doi.org/10.17504/protocols.io.n2bvj395plk5/v1" TargetMode="External"/><Relationship Id="rId160" Type="http://schemas.openxmlformats.org/officeDocument/2006/relationships/hyperlink" Target="https://dx.doi.org/10.17504/protocols.io.kxygxejwdv8j/v3" TargetMode="External"/><Relationship Id="rId216" Type="http://schemas.openxmlformats.org/officeDocument/2006/relationships/hyperlink" Target="https://dx.doi.org/10.17504/protocols.io.kxygxejwdv8j/v3" TargetMode="External"/><Relationship Id="rId258" Type="http://schemas.openxmlformats.org/officeDocument/2006/relationships/hyperlink" Target="https://dx.doi.org/10.17504/protocols.io.j8nlk91jdv5r/v1" TargetMode="External"/><Relationship Id="rId22" Type="http://schemas.openxmlformats.org/officeDocument/2006/relationships/hyperlink" Target="https://dx.doi.org/10.17504/protocols.io.kxygxejwdv8j/v3" TargetMode="External"/><Relationship Id="rId64" Type="http://schemas.openxmlformats.org/officeDocument/2006/relationships/hyperlink" Target="https://dx.doi.org/10.17504/protocols.io.n2bvj395plk5/v1" TargetMode="External"/><Relationship Id="rId118" Type="http://schemas.openxmlformats.org/officeDocument/2006/relationships/hyperlink" Target="https://dx.doi.org/10.17504/protocols.io.n2bvj395plk5/v1" TargetMode="External"/><Relationship Id="rId171" Type="http://schemas.openxmlformats.org/officeDocument/2006/relationships/hyperlink" Target="https://dx.doi.org/10.17504/protocols.io.kxygxejwdv8j/v3" TargetMode="External"/><Relationship Id="rId227" Type="http://schemas.openxmlformats.org/officeDocument/2006/relationships/hyperlink" Target="https://dx.doi.org/10.17504/protocols.io.j8nlk91jdv5r/v1" TargetMode="External"/><Relationship Id="rId269" Type="http://schemas.openxmlformats.org/officeDocument/2006/relationships/hyperlink" Target="https://dx.doi.org/10.17504/protocols.io.j8nlk91jdv5r/v1" TargetMode="External"/><Relationship Id="rId33" Type="http://schemas.openxmlformats.org/officeDocument/2006/relationships/hyperlink" Target="https://dx.doi.org/10.17504/protocols.io.kxygxejwdv8j/v3" TargetMode="External"/><Relationship Id="rId129" Type="http://schemas.openxmlformats.org/officeDocument/2006/relationships/hyperlink" Target="https://dx.doi.org/10.17504/protocols.io.kxygxejwdv8j/v3" TargetMode="External"/><Relationship Id="rId280" Type="http://schemas.openxmlformats.org/officeDocument/2006/relationships/hyperlink" Target="https://dx.doi.org/10.17504/protocols.io.j8nlk91jdv5r/v1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x.doi.org/10.17504/protocols.io.yxmvmmd46v3p/v1" TargetMode="External"/><Relationship Id="rId18" Type="http://schemas.openxmlformats.org/officeDocument/2006/relationships/hyperlink" Target="https://dx.doi.org/10.17504/protocols.io.yxmvmmd46v3p/v1" TargetMode="External"/><Relationship Id="rId26" Type="http://schemas.openxmlformats.org/officeDocument/2006/relationships/hyperlink" Target="https://dx.doi.org/10.17504/protocols.io.yxmvmmd46v3p/v1" TargetMode="External"/><Relationship Id="rId39" Type="http://schemas.openxmlformats.org/officeDocument/2006/relationships/hyperlink" Target="https://dx.doi.org/10.17504/protocols.io.yxmvmmd46v3p/v1" TargetMode="External"/><Relationship Id="rId21" Type="http://schemas.openxmlformats.org/officeDocument/2006/relationships/hyperlink" Target="https://dx.doi.org/10.17504/protocols.io.yxmvmmd46v3p/v1" TargetMode="External"/><Relationship Id="rId34" Type="http://schemas.openxmlformats.org/officeDocument/2006/relationships/hyperlink" Target="https://dx.doi.org/10.17504/protocols.io.yxmvmmd46v3p/v1" TargetMode="External"/><Relationship Id="rId42" Type="http://schemas.openxmlformats.org/officeDocument/2006/relationships/hyperlink" Target="https://dx.doi.org/10.17504/protocols.io.yxmvmmd46v3p/v1" TargetMode="External"/><Relationship Id="rId47" Type="http://schemas.openxmlformats.org/officeDocument/2006/relationships/hyperlink" Target="https://dx.doi.org/10.17504/protocols.io.yxmvmmd46v3p/v1" TargetMode="External"/><Relationship Id="rId50" Type="http://schemas.openxmlformats.org/officeDocument/2006/relationships/hyperlink" Target="https://dx.doi.org/10.17504/protocols.io.yxmvmmd46v3p/v1" TargetMode="External"/><Relationship Id="rId55" Type="http://schemas.openxmlformats.org/officeDocument/2006/relationships/hyperlink" Target="https://dx.doi.org/10.17504/protocols.io.yxmvmmd46v3p/v1" TargetMode="External"/><Relationship Id="rId7" Type="http://schemas.openxmlformats.org/officeDocument/2006/relationships/hyperlink" Target="https://dx.doi.org/10.17504/protocols.io.yxmvmmd46v3p/v1" TargetMode="External"/><Relationship Id="rId2" Type="http://schemas.openxmlformats.org/officeDocument/2006/relationships/hyperlink" Target="https://dx.doi.org/10.17504/protocols.io.yxmvmmd46v3p/v1" TargetMode="External"/><Relationship Id="rId16" Type="http://schemas.openxmlformats.org/officeDocument/2006/relationships/hyperlink" Target="https://dx.doi.org/10.17504/protocols.io.yxmvmmd46v3p/v1" TargetMode="External"/><Relationship Id="rId29" Type="http://schemas.openxmlformats.org/officeDocument/2006/relationships/hyperlink" Target="https://dx.doi.org/10.17504/protocols.io.yxmvmmd46v3p/v1" TargetMode="External"/><Relationship Id="rId11" Type="http://schemas.openxmlformats.org/officeDocument/2006/relationships/hyperlink" Target="https://dx.doi.org/10.17504/protocols.io.yxmvmmd46v3p/v1" TargetMode="External"/><Relationship Id="rId24" Type="http://schemas.openxmlformats.org/officeDocument/2006/relationships/hyperlink" Target="https://dx.doi.org/10.17504/protocols.io.yxmvmmd46v3p/v1" TargetMode="External"/><Relationship Id="rId32" Type="http://schemas.openxmlformats.org/officeDocument/2006/relationships/hyperlink" Target="https://dx.doi.org/10.17504/protocols.io.yxmvmmd46v3p/v1" TargetMode="External"/><Relationship Id="rId37" Type="http://schemas.openxmlformats.org/officeDocument/2006/relationships/hyperlink" Target="https://dx.doi.org/10.17504/protocols.io.yxmvmmd46v3p/v1" TargetMode="External"/><Relationship Id="rId40" Type="http://schemas.openxmlformats.org/officeDocument/2006/relationships/hyperlink" Target="https://dx.doi.org/10.17504/protocols.io.yxmvmmd46v3p/v1" TargetMode="External"/><Relationship Id="rId45" Type="http://schemas.openxmlformats.org/officeDocument/2006/relationships/hyperlink" Target="https://dx.doi.org/10.17504/protocols.io.yxmvmmd46v3p/v1" TargetMode="External"/><Relationship Id="rId53" Type="http://schemas.openxmlformats.org/officeDocument/2006/relationships/hyperlink" Target="https://dx.doi.org/10.17504/protocols.io.yxmvmmd46v3p/v1" TargetMode="External"/><Relationship Id="rId58" Type="http://schemas.openxmlformats.org/officeDocument/2006/relationships/hyperlink" Target="https://dx.doi.org/10.17504/protocols.io.yxmvmmd46v3p/v1" TargetMode="External"/><Relationship Id="rId5" Type="http://schemas.openxmlformats.org/officeDocument/2006/relationships/hyperlink" Target="https://dx.doi.org/10.17504/protocols.io.yxmvmmd46v3p/v1" TargetMode="External"/><Relationship Id="rId19" Type="http://schemas.openxmlformats.org/officeDocument/2006/relationships/hyperlink" Target="https://dx.doi.org/10.17504/protocols.io.yxmvmmd46v3p/v1" TargetMode="External"/><Relationship Id="rId4" Type="http://schemas.openxmlformats.org/officeDocument/2006/relationships/hyperlink" Target="https://dx.doi.org/10.17504/protocols.io.yxmvmmd46v3p/v1" TargetMode="External"/><Relationship Id="rId9" Type="http://schemas.openxmlformats.org/officeDocument/2006/relationships/hyperlink" Target="https://dx.doi.org/10.17504/protocols.io.yxmvmmd46v3p/v1" TargetMode="External"/><Relationship Id="rId14" Type="http://schemas.openxmlformats.org/officeDocument/2006/relationships/hyperlink" Target="https://dx.doi.org/10.17504/protocols.io.yxmvmmd46v3p/v1" TargetMode="External"/><Relationship Id="rId22" Type="http://schemas.openxmlformats.org/officeDocument/2006/relationships/hyperlink" Target="https://dx.doi.org/10.17504/protocols.io.yxmvmmd46v3p/v1" TargetMode="External"/><Relationship Id="rId27" Type="http://schemas.openxmlformats.org/officeDocument/2006/relationships/hyperlink" Target="https://dx.doi.org/10.17504/protocols.io.yxmvmmd46v3p/v1" TargetMode="External"/><Relationship Id="rId30" Type="http://schemas.openxmlformats.org/officeDocument/2006/relationships/hyperlink" Target="https://dx.doi.org/10.17504/protocols.io.yxmvmmd46v3p/v1" TargetMode="External"/><Relationship Id="rId35" Type="http://schemas.openxmlformats.org/officeDocument/2006/relationships/hyperlink" Target="https://dx.doi.org/10.17504/protocols.io.yxmvmmd46v3p/v1" TargetMode="External"/><Relationship Id="rId43" Type="http://schemas.openxmlformats.org/officeDocument/2006/relationships/hyperlink" Target="https://dx.doi.org/10.17504/protocols.io.yxmvmmd46v3p/v1" TargetMode="External"/><Relationship Id="rId48" Type="http://schemas.openxmlformats.org/officeDocument/2006/relationships/hyperlink" Target="https://dx.doi.org/10.17504/protocols.io.yxmvmmd46v3p/v1" TargetMode="External"/><Relationship Id="rId56" Type="http://schemas.openxmlformats.org/officeDocument/2006/relationships/hyperlink" Target="https://dx.doi.org/10.17504/protocols.io.yxmvmmd46v3p/v1" TargetMode="External"/><Relationship Id="rId8" Type="http://schemas.openxmlformats.org/officeDocument/2006/relationships/hyperlink" Target="https://dx.doi.org/10.17504/protocols.io.yxmvmmd46v3p/v1" TargetMode="External"/><Relationship Id="rId51" Type="http://schemas.openxmlformats.org/officeDocument/2006/relationships/hyperlink" Target="https://dx.doi.org/10.17504/protocols.io.yxmvmmd46v3p/v1" TargetMode="External"/><Relationship Id="rId3" Type="http://schemas.openxmlformats.org/officeDocument/2006/relationships/hyperlink" Target="https://dx.doi.org/10.17504/protocols.io.yxmvmmd46v3p/v1" TargetMode="External"/><Relationship Id="rId12" Type="http://schemas.openxmlformats.org/officeDocument/2006/relationships/hyperlink" Target="https://dx.doi.org/10.17504/protocols.io.yxmvmmd46v3p/v1" TargetMode="External"/><Relationship Id="rId17" Type="http://schemas.openxmlformats.org/officeDocument/2006/relationships/hyperlink" Target="https://dx.doi.org/10.17504/protocols.io.yxmvmmd46v3p/v1" TargetMode="External"/><Relationship Id="rId25" Type="http://schemas.openxmlformats.org/officeDocument/2006/relationships/hyperlink" Target="https://dx.doi.org/10.17504/protocols.io.yxmvmmd46v3p/v1" TargetMode="External"/><Relationship Id="rId33" Type="http://schemas.openxmlformats.org/officeDocument/2006/relationships/hyperlink" Target="https://dx.doi.org/10.17504/protocols.io.yxmvmmd46v3p/v1" TargetMode="External"/><Relationship Id="rId38" Type="http://schemas.openxmlformats.org/officeDocument/2006/relationships/hyperlink" Target="https://dx.doi.org/10.17504/protocols.io.yxmvmmd46v3p/v1" TargetMode="External"/><Relationship Id="rId46" Type="http://schemas.openxmlformats.org/officeDocument/2006/relationships/hyperlink" Target="https://dx.doi.org/10.17504/protocols.io.yxmvmmd46v3p/v1" TargetMode="External"/><Relationship Id="rId59" Type="http://schemas.openxmlformats.org/officeDocument/2006/relationships/hyperlink" Target="https://dx.doi.org/10.17504/protocols.io.yxmvmmd46v3p/v1" TargetMode="External"/><Relationship Id="rId20" Type="http://schemas.openxmlformats.org/officeDocument/2006/relationships/hyperlink" Target="https://dx.doi.org/10.17504/protocols.io.yxmvmmd46v3p/v1" TargetMode="External"/><Relationship Id="rId41" Type="http://schemas.openxmlformats.org/officeDocument/2006/relationships/hyperlink" Target="https://dx.doi.org/10.17504/protocols.io.yxmvmmd46v3p/v1" TargetMode="External"/><Relationship Id="rId54" Type="http://schemas.openxmlformats.org/officeDocument/2006/relationships/hyperlink" Target="https://dx.doi.org/10.17504/protocols.io.yxmvmmd46v3p/v1" TargetMode="External"/><Relationship Id="rId1" Type="http://schemas.openxmlformats.org/officeDocument/2006/relationships/hyperlink" Target="https://dx.doi.org/10.17504/protocols.io.yxmvmmd46v3p/v1" TargetMode="External"/><Relationship Id="rId6" Type="http://schemas.openxmlformats.org/officeDocument/2006/relationships/hyperlink" Target="https://dx.doi.org/10.17504/protocols.io.yxmvmmd46v3p/v1" TargetMode="External"/><Relationship Id="rId15" Type="http://schemas.openxmlformats.org/officeDocument/2006/relationships/hyperlink" Target="https://dx.doi.org/10.17504/protocols.io.yxmvmmd46v3p/v1" TargetMode="External"/><Relationship Id="rId23" Type="http://schemas.openxmlformats.org/officeDocument/2006/relationships/hyperlink" Target="https://dx.doi.org/10.17504/protocols.io.yxmvmmd46v3p/v1" TargetMode="External"/><Relationship Id="rId28" Type="http://schemas.openxmlformats.org/officeDocument/2006/relationships/hyperlink" Target="https://dx.doi.org/10.17504/protocols.io.yxmvmmd46v3p/v1" TargetMode="External"/><Relationship Id="rId36" Type="http://schemas.openxmlformats.org/officeDocument/2006/relationships/hyperlink" Target="https://dx.doi.org/10.17504/protocols.io.yxmvmmd46v3p/v1" TargetMode="External"/><Relationship Id="rId49" Type="http://schemas.openxmlformats.org/officeDocument/2006/relationships/hyperlink" Target="https://dx.doi.org/10.17504/protocols.io.yxmvmmd46v3p/v1" TargetMode="External"/><Relationship Id="rId57" Type="http://schemas.openxmlformats.org/officeDocument/2006/relationships/hyperlink" Target="https://dx.doi.org/10.17504/protocols.io.yxmvmmd46v3p/v1" TargetMode="External"/><Relationship Id="rId10" Type="http://schemas.openxmlformats.org/officeDocument/2006/relationships/hyperlink" Target="https://dx.doi.org/10.17504/protocols.io.yxmvmmd46v3p/v1" TargetMode="External"/><Relationship Id="rId31" Type="http://schemas.openxmlformats.org/officeDocument/2006/relationships/hyperlink" Target="https://dx.doi.org/10.17504/protocols.io.yxmvmmd46v3p/v1" TargetMode="External"/><Relationship Id="rId44" Type="http://schemas.openxmlformats.org/officeDocument/2006/relationships/hyperlink" Target="https://dx.doi.org/10.17504/protocols.io.yxmvmmd46v3p/v1" TargetMode="External"/><Relationship Id="rId52" Type="http://schemas.openxmlformats.org/officeDocument/2006/relationships/hyperlink" Target="https://dx.doi.org/10.17504/protocols.io.yxmvmmd46v3p/v1" TargetMode="External"/><Relationship Id="rId60" Type="http://schemas.openxmlformats.org/officeDocument/2006/relationships/hyperlink" Target="https://dx.doi.org/10.17504/protocols.io.yxmvmmd46v3p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D1C3-DB2E-F841-A5FE-EDE46D68B640}">
  <dimension ref="A1:Q30"/>
  <sheetViews>
    <sheetView workbookViewId="0">
      <pane ySplit="1" topLeftCell="A2" activePane="bottomLeft" state="frozen"/>
      <selection pane="bottomLeft" activeCell="A30" sqref="A30:XFD30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tr">
        <f>HYPERLINK("https://portal.hubmapconsortium.org/browse/sample/4b65fbcc3122353f24724bce80fad2fe", "HBM677.KJSR.495")</f>
        <v>HBM677.KJSR.495</v>
      </c>
      <c r="B2" t="s">
        <v>162</v>
      </c>
      <c r="C2" t="s">
        <v>163</v>
      </c>
      <c r="D2" s="2" t="str">
        <f>HYPERLINK("https://portal.hubmapconsortium.org/browse/sample/95e661b6148f0eb7dc29eb519de1e934", "HBM348.BSHQ.569")</f>
        <v>HBM348.BSHQ.569</v>
      </c>
      <c r="E2" t="s">
        <v>164</v>
      </c>
      <c r="F2" t="s">
        <v>165</v>
      </c>
      <c r="G2" t="s">
        <v>20</v>
      </c>
      <c r="H2" t="s">
        <v>21</v>
      </c>
      <c r="I2" t="s">
        <v>22</v>
      </c>
      <c r="J2" s="2" t="b">
        <v>0</v>
      </c>
      <c r="K2" s="2" t="s">
        <v>166</v>
      </c>
      <c r="L2" t="s">
        <v>24</v>
      </c>
      <c r="M2" t="s">
        <v>167</v>
      </c>
      <c r="N2" t="s">
        <v>168</v>
      </c>
      <c r="O2" t="s">
        <v>169</v>
      </c>
      <c r="P2" s="3">
        <v>45460.735644513887</v>
      </c>
      <c r="Q2" s="3">
        <v>45460.735644513887</v>
      </c>
    </row>
    <row r="3" spans="1:17" x14ac:dyDescent="0.2">
      <c r="A3" s="2" t="str">
        <f>HYPERLINK("https://portal.hubmapconsortium.org/browse/sample/d38c64594fef5b278226218355f5cfd3", "HBM937.BNWQ.265")</f>
        <v>HBM937.BNWQ.265</v>
      </c>
      <c r="B3" t="s">
        <v>173</v>
      </c>
      <c r="C3" t="s">
        <v>174</v>
      </c>
      <c r="D3" s="2" t="str">
        <f>HYPERLINK("https://portal.hubmapconsortium.org/browse/sample/9d944eb8a61bf85f70762ae3f2b0e22e", "HBM297.BWFF.894")</f>
        <v>HBM297.BWFF.894</v>
      </c>
      <c r="E3" t="s">
        <v>175</v>
      </c>
      <c r="F3" t="s">
        <v>176</v>
      </c>
      <c r="G3" t="s">
        <v>20</v>
      </c>
      <c r="H3" t="s">
        <v>21</v>
      </c>
      <c r="I3" t="s">
        <v>22</v>
      </c>
      <c r="J3" s="2" t="b">
        <v>0</v>
      </c>
      <c r="K3" s="2" t="s">
        <v>177</v>
      </c>
      <c r="L3" t="s">
        <v>24</v>
      </c>
      <c r="M3" t="s">
        <v>167</v>
      </c>
      <c r="N3" t="s">
        <v>168</v>
      </c>
      <c r="O3" t="s">
        <v>169</v>
      </c>
      <c r="P3" s="3">
        <v>45358.847079861109</v>
      </c>
      <c r="Q3" s="3">
        <v>45559.77799195602</v>
      </c>
    </row>
    <row r="4" spans="1:17" x14ac:dyDescent="0.2">
      <c r="A4" s="2" t="str">
        <f>HYPERLINK("https://portal.hubmapconsortium.org/browse/sample/d261ada3e6d43c7c1edbe16d76a62357", "HBM459.XZPR.876")</f>
        <v>HBM459.XZPR.876</v>
      </c>
      <c r="B4" t="s">
        <v>17</v>
      </c>
      <c r="C4" t="s">
        <v>18</v>
      </c>
      <c r="D4" s="2" t="str">
        <f>HYPERLINK("https://portal.hubmapconsortium.org/browse/sample/8d7323f8e67fae6440c934eeb1ab3d9a", "HBM888.XXWD.357")</f>
        <v>HBM888.XXWD.357</v>
      </c>
      <c r="E4" t="s">
        <v>188</v>
      </c>
      <c r="F4" t="s">
        <v>189</v>
      </c>
      <c r="G4" t="s">
        <v>20</v>
      </c>
      <c r="H4" t="s">
        <v>21</v>
      </c>
      <c r="I4" t="s">
        <v>22</v>
      </c>
      <c r="J4" s="2" t="b">
        <v>0</v>
      </c>
      <c r="K4" s="2" t="s">
        <v>190</v>
      </c>
      <c r="L4" t="s">
        <v>24</v>
      </c>
      <c r="M4" t="s">
        <v>183</v>
      </c>
      <c r="N4" t="s">
        <v>184</v>
      </c>
      <c r="O4" t="s">
        <v>169</v>
      </c>
      <c r="P4" s="3">
        <v>45602.639295682871</v>
      </c>
      <c r="Q4" s="3">
        <v>45692.640923113417</v>
      </c>
    </row>
    <row r="5" spans="1:17" x14ac:dyDescent="0.2">
      <c r="A5" s="2" t="str">
        <f>HYPERLINK("https://portal.hubmapconsortium.org/browse/sample/92e12fd67bcf32778b0dc4772cf90da7", "HBM498.CWRV.928")</f>
        <v>HBM498.CWRV.928</v>
      </c>
      <c r="B5" t="s">
        <v>33</v>
      </c>
      <c r="C5" t="s">
        <v>34</v>
      </c>
      <c r="D5" s="2" t="str">
        <f>HYPERLINK("https://portal.hubmapconsortium.org/browse/sample/83ab99a06a11a99e3fb971c922b50642", "HBM972.ZVMR.866")</f>
        <v>HBM972.ZVMR.866</v>
      </c>
      <c r="E5" t="s">
        <v>221</v>
      </c>
      <c r="F5" t="s">
        <v>222</v>
      </c>
      <c r="G5" t="s">
        <v>20</v>
      </c>
      <c r="H5" t="s">
        <v>21</v>
      </c>
      <c r="I5" t="s">
        <v>22</v>
      </c>
      <c r="J5" s="2" t="b">
        <v>0</v>
      </c>
      <c r="K5" s="2" t="s">
        <v>223</v>
      </c>
      <c r="L5" t="s">
        <v>24</v>
      </c>
      <c r="M5" t="s">
        <v>183</v>
      </c>
      <c r="N5" t="s">
        <v>184</v>
      </c>
      <c r="O5" t="s">
        <v>169</v>
      </c>
      <c r="P5" s="3">
        <v>45610.583769699071</v>
      </c>
      <c r="Q5" s="3">
        <v>45610.583769699071</v>
      </c>
    </row>
    <row r="6" spans="1:17" x14ac:dyDescent="0.2">
      <c r="A6" s="2" t="str">
        <f>HYPERLINK("https://portal.hubmapconsortium.org/browse/sample/0e1c2d399477b244ac006eb58918ec0c", "HBM484.XDKM.759")</f>
        <v>HBM484.XDKM.759</v>
      </c>
      <c r="B6" t="s">
        <v>33</v>
      </c>
      <c r="C6" t="s">
        <v>34</v>
      </c>
      <c r="D6" s="2" t="str">
        <f>HYPERLINK("https://portal.hubmapconsortium.org/browse/sample/83ab99a06a11a99e3fb971c922b50642", "HBM972.ZVMR.866")</f>
        <v>HBM972.ZVMR.866</v>
      </c>
      <c r="E6" t="s">
        <v>35</v>
      </c>
      <c r="G6" t="s">
        <v>20</v>
      </c>
      <c r="H6" t="s">
        <v>21</v>
      </c>
      <c r="I6" t="s">
        <v>22</v>
      </c>
      <c r="J6" t="b">
        <v>0</v>
      </c>
      <c r="K6" s="2" t="s">
        <v>36</v>
      </c>
      <c r="L6" t="s">
        <v>24</v>
      </c>
      <c r="M6" t="s">
        <v>25</v>
      </c>
      <c r="N6" t="s">
        <v>26</v>
      </c>
      <c r="O6" t="s">
        <v>27</v>
      </c>
      <c r="P6" s="3">
        <v>44060.683941342591</v>
      </c>
      <c r="Q6" s="3">
        <v>44060.683941342591</v>
      </c>
    </row>
    <row r="7" spans="1:17" x14ac:dyDescent="0.2">
      <c r="A7" s="2" t="str">
        <f>HYPERLINK("https://portal.hubmapconsortium.org/browse/sample/6749bb2a27307d808678cb10d227b785", "HBM287.SCGZ.656")</f>
        <v>HBM287.SCGZ.656</v>
      </c>
      <c r="B7" t="s">
        <v>46</v>
      </c>
      <c r="C7" t="s">
        <v>251</v>
      </c>
      <c r="D7" s="2" t="str">
        <f>HYPERLINK("https://portal.hubmapconsortium.org/browse/sample/97408712e754c9d9ba0a450d8617997a", "HBM633.KTTT.942")</f>
        <v>HBM633.KTTT.942</v>
      </c>
      <c r="E7" t="s">
        <v>252</v>
      </c>
      <c r="F7" t="s">
        <v>253</v>
      </c>
      <c r="G7" t="s">
        <v>20</v>
      </c>
      <c r="H7" t="s">
        <v>21</v>
      </c>
      <c r="I7" t="s">
        <v>22</v>
      </c>
      <c r="J7" s="2" t="b">
        <v>0</v>
      </c>
      <c r="K7" s="2" t="s">
        <v>223</v>
      </c>
      <c r="L7" t="s">
        <v>24</v>
      </c>
      <c r="M7" t="s">
        <v>183</v>
      </c>
      <c r="N7" t="s">
        <v>184</v>
      </c>
      <c r="O7" t="s">
        <v>169</v>
      </c>
      <c r="P7" s="3">
        <v>45722.754723298611</v>
      </c>
      <c r="Q7" s="3">
        <v>45722.754723298611</v>
      </c>
    </row>
    <row r="8" spans="1:17" x14ac:dyDescent="0.2">
      <c r="A8" s="2" t="str">
        <f>HYPERLINK("https://portal.hubmapconsortium.org/browse/sample/c2202e7ca16c428539b61e7d6a8dabce", "HBM529.LTRK.856")</f>
        <v>HBM529.LTRK.856</v>
      </c>
      <c r="B8" t="s">
        <v>53</v>
      </c>
      <c r="C8" t="s">
        <v>54</v>
      </c>
      <c r="D8" s="2" t="str">
        <f>HYPERLINK("https://portal.hubmapconsortium.org/browse/sample/75e0685fda23bf05bf3f75afd36f597c", "HBM757.DWNN.437")</f>
        <v>HBM757.DWNN.437</v>
      </c>
      <c r="E8" t="s">
        <v>256</v>
      </c>
      <c r="F8" t="s">
        <v>257</v>
      </c>
      <c r="G8" t="s">
        <v>20</v>
      </c>
      <c r="H8" t="s">
        <v>21</v>
      </c>
      <c r="I8" t="s">
        <v>22</v>
      </c>
      <c r="J8" s="2" t="b">
        <v>0</v>
      </c>
      <c r="K8" s="2" t="s">
        <v>223</v>
      </c>
      <c r="L8" t="s">
        <v>24</v>
      </c>
      <c r="M8" t="s">
        <v>183</v>
      </c>
      <c r="N8" t="s">
        <v>184</v>
      </c>
      <c r="O8" t="s">
        <v>169</v>
      </c>
      <c r="P8" s="3">
        <v>45722.754746805564</v>
      </c>
      <c r="Q8" s="3">
        <v>45722.754746805564</v>
      </c>
    </row>
    <row r="9" spans="1:17" x14ac:dyDescent="0.2">
      <c r="A9" s="2" t="str">
        <f>HYPERLINK("https://portal.hubmapconsortium.org/browse/sample/539b8dd38698d191ec284f9f061e7441", "HBM658.BXNB.873")</f>
        <v>HBM658.BXNB.873</v>
      </c>
      <c r="B9" t="s">
        <v>62</v>
      </c>
      <c r="C9" t="s">
        <v>63</v>
      </c>
      <c r="D9" s="2" t="str">
        <f>HYPERLINK("https://portal.hubmapconsortium.org/browse/sample/5b24ccb2caa0fadbb19325591b4c2236", "HBM247.SHRT.724")</f>
        <v>HBM247.SHRT.724</v>
      </c>
      <c r="E9" t="s">
        <v>260</v>
      </c>
      <c r="F9" t="s">
        <v>261</v>
      </c>
      <c r="G9" t="s">
        <v>20</v>
      </c>
      <c r="H9" t="s">
        <v>21</v>
      </c>
      <c r="I9" t="s">
        <v>22</v>
      </c>
      <c r="J9" s="2" t="b">
        <v>1</v>
      </c>
      <c r="K9" s="2" t="s">
        <v>262</v>
      </c>
      <c r="L9" t="s">
        <v>24</v>
      </c>
      <c r="M9" t="s">
        <v>167</v>
      </c>
      <c r="N9" t="s">
        <v>168</v>
      </c>
      <c r="O9" t="s">
        <v>169</v>
      </c>
      <c r="P9" s="3">
        <v>45314.631616678242</v>
      </c>
      <c r="Q9" s="3">
        <v>45441.604077245371</v>
      </c>
    </row>
    <row r="10" spans="1:17" x14ac:dyDescent="0.2">
      <c r="A10" s="2" t="str">
        <f>HYPERLINK("https://portal.hubmapconsortium.org/browse/sample/6e4cae95a41895178b44f8a6cad3e7c0", "HBM924.KJZP.299")</f>
        <v>HBM924.KJZP.299</v>
      </c>
      <c r="B10" t="s">
        <v>62</v>
      </c>
      <c r="C10" t="s">
        <v>63</v>
      </c>
      <c r="D10" s="2" t="str">
        <f>HYPERLINK("https://portal.hubmapconsortium.org/browse/sample/5b24ccb2caa0fadbb19325591b4c2236", "HBM247.SHRT.724")</f>
        <v>HBM247.SHRT.724</v>
      </c>
      <c r="E10" t="s">
        <v>272</v>
      </c>
      <c r="F10" t="s">
        <v>273</v>
      </c>
      <c r="G10" t="s">
        <v>20</v>
      </c>
      <c r="H10" t="s">
        <v>21</v>
      </c>
      <c r="I10" t="s">
        <v>22</v>
      </c>
      <c r="J10" s="2" t="b">
        <v>0</v>
      </c>
      <c r="K10" s="2" t="s">
        <v>274</v>
      </c>
      <c r="L10" t="s">
        <v>77</v>
      </c>
      <c r="M10" t="s">
        <v>167</v>
      </c>
      <c r="N10" t="s">
        <v>168</v>
      </c>
      <c r="O10" t="s">
        <v>169</v>
      </c>
      <c r="P10" s="3">
        <v>45736.652329502307</v>
      </c>
      <c r="Q10" s="3">
        <v>45736.652329502307</v>
      </c>
    </row>
    <row r="11" spans="1:17" x14ac:dyDescent="0.2">
      <c r="A11" s="2" t="str">
        <f>HYPERLINK("https://portal.hubmapconsortium.org/browse/sample/932c9f9d5001b3880c6354f07b012403", "HBM355.BXKP.734")</f>
        <v>HBM355.BXKP.734</v>
      </c>
      <c r="B11" t="s">
        <v>72</v>
      </c>
      <c r="C11" t="s">
        <v>73</v>
      </c>
      <c r="D11" s="2" t="str">
        <f>HYPERLINK("https://portal.hubmapconsortium.org/browse/sample/914451adcbf7503357c542841367b6fb", "HBM693.VJCB.242")</f>
        <v>HBM693.VJCB.242</v>
      </c>
      <c r="E11" t="s">
        <v>276</v>
      </c>
      <c r="F11" t="s">
        <v>277</v>
      </c>
      <c r="G11" t="s">
        <v>20</v>
      </c>
      <c r="H11" t="s">
        <v>21</v>
      </c>
      <c r="I11" t="s">
        <v>22</v>
      </c>
      <c r="J11" s="2" t="b">
        <v>0</v>
      </c>
      <c r="K11" s="2" t="s">
        <v>223</v>
      </c>
      <c r="L11" t="s">
        <v>24</v>
      </c>
      <c r="M11" t="s">
        <v>183</v>
      </c>
      <c r="N11" t="s">
        <v>184</v>
      </c>
      <c r="O11" t="s">
        <v>169</v>
      </c>
      <c r="P11" s="3">
        <v>45722.754796898153</v>
      </c>
      <c r="Q11" s="3">
        <v>45722.754796898153</v>
      </c>
    </row>
    <row r="12" spans="1:17" x14ac:dyDescent="0.2">
      <c r="A12" s="2" t="str">
        <f>HYPERLINK("https://portal.hubmapconsortium.org/browse/sample/07a5d29d45599533cd50a9c76e198e47", "HBM429.WSGJ.746")</f>
        <v>HBM429.WSGJ.746</v>
      </c>
      <c r="B12" t="s">
        <v>72</v>
      </c>
      <c r="C12" t="s">
        <v>73</v>
      </c>
      <c r="D12" s="2" t="str">
        <f>HYPERLINK("https://portal.hubmapconsortium.org/browse/sample/914451adcbf7503357c542841367b6fb", "HBM693.VJCB.242")</f>
        <v>HBM693.VJCB.242</v>
      </c>
      <c r="E12" t="s">
        <v>280</v>
      </c>
      <c r="F12" t="s">
        <v>281</v>
      </c>
      <c r="G12" t="s">
        <v>20</v>
      </c>
      <c r="H12" t="s">
        <v>21</v>
      </c>
      <c r="I12" t="s">
        <v>22</v>
      </c>
      <c r="J12" s="2" t="b">
        <v>0</v>
      </c>
      <c r="K12" s="2" t="s">
        <v>223</v>
      </c>
      <c r="L12" t="s">
        <v>77</v>
      </c>
      <c r="M12" t="s">
        <v>183</v>
      </c>
      <c r="N12" t="s">
        <v>184</v>
      </c>
      <c r="O12" t="s">
        <v>169</v>
      </c>
      <c r="P12" s="3">
        <v>45722.754768819454</v>
      </c>
      <c r="Q12" s="3">
        <v>45722.754768819454</v>
      </c>
    </row>
    <row r="13" spans="1:17" x14ac:dyDescent="0.2">
      <c r="A13" s="2" t="str">
        <f>HYPERLINK("https://portal.hubmapconsortium.org/browse/sample/cfd6f1a41100df6510117b5d57aff4ae", "HBM354.HPBP.394")</f>
        <v>HBM354.HPBP.394</v>
      </c>
      <c r="B13" t="s">
        <v>84</v>
      </c>
      <c r="C13" t="s">
        <v>85</v>
      </c>
      <c r="D13" s="2" t="str">
        <f>HYPERLINK("https://portal.hubmapconsortium.org/browse/sample/30036c780684b91f47ea886887051bec", "HBM957.PBHP.655")</f>
        <v>HBM957.PBHP.655</v>
      </c>
      <c r="E13" t="s">
        <v>282</v>
      </c>
      <c r="F13" t="s">
        <v>283</v>
      </c>
      <c r="G13" t="s">
        <v>20</v>
      </c>
      <c r="H13" t="s">
        <v>21</v>
      </c>
      <c r="I13" t="s">
        <v>22</v>
      </c>
      <c r="J13" s="2" t="b">
        <v>0</v>
      </c>
      <c r="K13" s="2" t="s">
        <v>223</v>
      </c>
      <c r="L13" t="s">
        <v>24</v>
      </c>
      <c r="M13" t="s">
        <v>183</v>
      </c>
      <c r="N13" t="s">
        <v>184</v>
      </c>
      <c r="O13" t="s">
        <v>169</v>
      </c>
      <c r="P13" s="3">
        <v>45722.754820393522</v>
      </c>
      <c r="Q13" s="3">
        <v>45722.754820393522</v>
      </c>
    </row>
    <row r="14" spans="1:17" x14ac:dyDescent="0.2">
      <c r="A14" s="2" t="str">
        <f>HYPERLINK("https://portal.hubmapconsortium.org/browse/sample/d9287b1710bc78b8533482baf8f45ca6", "HBM478.XJCC.627")</f>
        <v>HBM478.XJCC.627</v>
      </c>
      <c r="B14" t="s">
        <v>94</v>
      </c>
      <c r="C14" t="s">
        <v>95</v>
      </c>
      <c r="D14" s="2" t="str">
        <f>HYPERLINK("https://portal.hubmapconsortium.org/browse/sample/b4d5c999634afcdb45473176dfdf14ab", "HBM224.PXCC.749")</f>
        <v>HBM224.PXCC.749</v>
      </c>
      <c r="E14" t="s">
        <v>286</v>
      </c>
      <c r="F14" t="s">
        <v>287</v>
      </c>
      <c r="G14" t="s">
        <v>20</v>
      </c>
      <c r="H14" t="s">
        <v>21</v>
      </c>
      <c r="I14" t="s">
        <v>22</v>
      </c>
      <c r="J14" s="2" t="b">
        <v>0</v>
      </c>
      <c r="K14" s="2" t="s">
        <v>223</v>
      </c>
      <c r="L14" t="s">
        <v>24</v>
      </c>
      <c r="M14" t="s">
        <v>183</v>
      </c>
      <c r="N14" t="s">
        <v>184</v>
      </c>
      <c r="O14" t="s">
        <v>169</v>
      </c>
      <c r="P14" s="3">
        <v>45722.754845752323</v>
      </c>
      <c r="Q14" s="3">
        <v>45722.754845752323</v>
      </c>
    </row>
    <row r="15" spans="1:17" x14ac:dyDescent="0.2">
      <c r="A15" s="2" t="str">
        <f>HYPERLINK("https://portal.hubmapconsortium.org/browse/sample/8a193a1894019b4f34a8a84824c65eb1", "HBM855.BKBH.632")</f>
        <v>HBM855.BKBH.632</v>
      </c>
      <c r="B15" t="s">
        <v>139</v>
      </c>
      <c r="C15" t="s">
        <v>140</v>
      </c>
      <c r="D15" s="2" t="str">
        <f>HYPERLINK("https://portal.hubmapconsortium.org/browse/sample/bf6797891187c90525e7e2a4778f58a8", "HBM559.ZVDB.249")</f>
        <v>HBM559.ZVDB.249</v>
      </c>
      <c r="E15" t="s">
        <v>297</v>
      </c>
      <c r="F15" t="s">
        <v>298</v>
      </c>
      <c r="G15" t="s">
        <v>20</v>
      </c>
      <c r="H15" t="s">
        <v>21</v>
      </c>
      <c r="I15" t="s">
        <v>22</v>
      </c>
      <c r="J15" s="2" t="b">
        <v>0</v>
      </c>
      <c r="K15" s="2" t="s">
        <v>223</v>
      </c>
      <c r="L15" t="s">
        <v>24</v>
      </c>
      <c r="M15" t="s">
        <v>183</v>
      </c>
      <c r="N15" t="s">
        <v>184</v>
      </c>
      <c r="O15" t="s">
        <v>169</v>
      </c>
      <c r="P15" s="3">
        <v>45722.754865486109</v>
      </c>
      <c r="Q15" s="3">
        <v>45722.754865486109</v>
      </c>
    </row>
    <row r="16" spans="1:17" x14ac:dyDescent="0.2">
      <c r="A16" s="2" t="str">
        <f>HYPERLINK("https://portal.hubmapconsortium.org/browse/sample/c536a9749c532f3b713bbd0d309ab1e7", "HBM329.GCDL.947")</f>
        <v>HBM329.GCDL.947</v>
      </c>
      <c r="B16" t="s">
        <v>139</v>
      </c>
      <c r="C16" t="s">
        <v>140</v>
      </c>
      <c r="D16" s="2" t="str">
        <f>HYPERLINK("https://portal.hubmapconsortium.org/browse/sample/bf6797891187c90525e7e2a4778f58a8", "HBM559.ZVDB.249")</f>
        <v>HBM559.ZVDB.249</v>
      </c>
      <c r="E16" t="s">
        <v>316</v>
      </c>
      <c r="F16" t="s">
        <v>317</v>
      </c>
      <c r="G16" t="s">
        <v>20</v>
      </c>
      <c r="H16" t="s">
        <v>21</v>
      </c>
      <c r="I16" t="s">
        <v>22</v>
      </c>
      <c r="J16" s="2" t="b">
        <v>0</v>
      </c>
      <c r="K16" s="2" t="s">
        <v>166</v>
      </c>
      <c r="L16" t="s">
        <v>77</v>
      </c>
      <c r="M16" t="s">
        <v>183</v>
      </c>
      <c r="N16" t="s">
        <v>184</v>
      </c>
      <c r="O16" t="s">
        <v>169</v>
      </c>
      <c r="P16" s="3">
        <v>45819.670083182871</v>
      </c>
      <c r="Q16" s="3">
        <v>45819.670083182871</v>
      </c>
    </row>
    <row r="17" spans="1:17" x14ac:dyDescent="0.2">
      <c r="A17" s="2" t="str">
        <f>HYPERLINK("https://portal.hubmapconsortium.org/browse/sample/1b2aef0b73604d08de6c55269ae51d37", "HBM882.RWGT.367")</f>
        <v>HBM882.RWGT.367</v>
      </c>
      <c r="B17" t="s">
        <v>329</v>
      </c>
      <c r="C17" t="s">
        <v>330</v>
      </c>
      <c r="D17" s="2" t="str">
        <f>HYPERLINK("https://portal.hubmapconsortium.org/browse/sample/9ea8bdc2c660a0da9d944e0b2da6b237", "HBM749.ZWMQ.359")</f>
        <v>HBM749.ZWMQ.359</v>
      </c>
      <c r="E17" t="s">
        <v>331</v>
      </c>
      <c r="F17" t="s">
        <v>332</v>
      </c>
      <c r="G17" t="s">
        <v>20</v>
      </c>
      <c r="H17" t="s">
        <v>21</v>
      </c>
      <c r="I17" t="s">
        <v>22</v>
      </c>
      <c r="J17" s="2" t="b">
        <v>0</v>
      </c>
      <c r="K17" s="2" t="s">
        <v>190</v>
      </c>
      <c r="L17" t="s">
        <v>24</v>
      </c>
      <c r="M17" t="s">
        <v>183</v>
      </c>
      <c r="N17" t="s">
        <v>184</v>
      </c>
      <c r="O17" t="s">
        <v>169</v>
      </c>
      <c r="P17" s="3">
        <v>45602.6456209838</v>
      </c>
      <c r="Q17" s="3">
        <v>45602.6456209838</v>
      </c>
    </row>
    <row r="18" spans="1:17" x14ac:dyDescent="0.2">
      <c r="A18" s="2" t="str">
        <f>HYPERLINK("https://portal.hubmapconsortium.org/browse/sample/4620b1e80841d677a5276dff5a3669b2", "HBM567.CKPD.835")</f>
        <v>HBM567.CKPD.835</v>
      </c>
      <c r="B18" t="s">
        <v>148</v>
      </c>
      <c r="C18" t="s">
        <v>149</v>
      </c>
      <c r="D18" s="2" t="str">
        <f>HYPERLINK("https://portal.hubmapconsortium.org/browse/sample/647bb669b1302c49cada4274553543e1", "HBM436.JQXP.677")</f>
        <v>HBM436.JQXP.677</v>
      </c>
      <c r="E18" t="s">
        <v>340</v>
      </c>
      <c r="F18" t="s">
        <v>341</v>
      </c>
      <c r="G18" t="s">
        <v>20</v>
      </c>
      <c r="H18" t="s">
        <v>21</v>
      </c>
      <c r="I18" t="s">
        <v>22</v>
      </c>
      <c r="J18" s="2" t="b">
        <v>0</v>
      </c>
      <c r="K18" s="2" t="s">
        <v>262</v>
      </c>
      <c r="L18" t="s">
        <v>24</v>
      </c>
      <c r="M18" t="s">
        <v>183</v>
      </c>
      <c r="N18" t="s">
        <v>184</v>
      </c>
      <c r="O18" t="s">
        <v>169</v>
      </c>
      <c r="P18" s="3">
        <v>45714.921205810177</v>
      </c>
      <c r="Q18" s="3">
        <v>45714.921205810177</v>
      </c>
    </row>
    <row r="19" spans="1:17" x14ac:dyDescent="0.2">
      <c r="A19" s="2" t="str">
        <f>HYPERLINK("https://portal.hubmapconsortium.org/browse/sample/fb63526ec2775425fdae474cb35698b8", "HBM983.VMGH.956")</f>
        <v>HBM983.VMGH.956</v>
      </c>
      <c r="B19" t="s">
        <v>148</v>
      </c>
      <c r="C19" t="s">
        <v>149</v>
      </c>
      <c r="D19" s="2" t="str">
        <f>HYPERLINK("https://portal.hubmapconsortium.org/browse/sample/647bb669b1302c49cada4274553543e1", "HBM436.JQXP.677")</f>
        <v>HBM436.JQXP.677</v>
      </c>
      <c r="E19" t="s">
        <v>366</v>
      </c>
      <c r="F19" t="s">
        <v>367</v>
      </c>
      <c r="G19" t="s">
        <v>20</v>
      </c>
      <c r="H19" t="s">
        <v>21</v>
      </c>
      <c r="I19" t="s">
        <v>22</v>
      </c>
      <c r="J19" s="2" t="b">
        <v>0</v>
      </c>
      <c r="K19" s="2" t="s">
        <v>166</v>
      </c>
      <c r="L19" t="s">
        <v>77</v>
      </c>
      <c r="M19" t="s">
        <v>183</v>
      </c>
      <c r="N19" t="s">
        <v>184</v>
      </c>
      <c r="O19" t="s">
        <v>169</v>
      </c>
      <c r="P19" s="3">
        <v>45819.670097685193</v>
      </c>
      <c r="Q19" s="3">
        <v>45819.670097685193</v>
      </c>
    </row>
    <row r="20" spans="1:17" x14ac:dyDescent="0.2">
      <c r="A20" s="2" t="str">
        <f>HYPERLINK("https://portal.hubmapconsortium.org/browse/sample/a6ab4e911fb1b4eabdba9497bf3101f1", "HBM797.KRVC.473")</f>
        <v>HBM797.KRVC.473</v>
      </c>
      <c r="B20" t="s">
        <v>155</v>
      </c>
      <c r="C20" t="s">
        <v>156</v>
      </c>
      <c r="D20" s="2" t="str">
        <f>HYPERLINK("https://portal.hubmapconsortium.org/browse/sample/d8d8a01808460212f824348ccb643839", "HBM566.VHMC.724")</f>
        <v>HBM566.VHMC.724</v>
      </c>
      <c r="E20" t="s">
        <v>380</v>
      </c>
      <c r="F20" t="s">
        <v>381</v>
      </c>
      <c r="G20" t="s">
        <v>20</v>
      </c>
      <c r="H20" t="s">
        <v>21</v>
      </c>
      <c r="I20" t="s">
        <v>22</v>
      </c>
      <c r="J20" s="2" t="b">
        <v>0</v>
      </c>
      <c r="K20" s="2" t="s">
        <v>262</v>
      </c>
      <c r="L20" t="s">
        <v>24</v>
      </c>
      <c r="M20" t="s">
        <v>167</v>
      </c>
      <c r="N20" t="s">
        <v>168</v>
      </c>
      <c r="O20" t="s">
        <v>169</v>
      </c>
      <c r="P20" s="3">
        <v>45314.617619201388</v>
      </c>
      <c r="Q20" s="3">
        <v>45314.617619201388</v>
      </c>
    </row>
    <row r="21" spans="1:17" x14ac:dyDescent="0.2">
      <c r="A21" s="2" t="str">
        <f>HYPERLINK("https://portal.hubmapconsortium.org/browse/sample/cb4bc0c6ac78402872e4ee54c795f3b2", "HBM572.QKGC.894")</f>
        <v>HBM572.QKGC.894</v>
      </c>
      <c r="B21" t="s">
        <v>386</v>
      </c>
      <c r="C21" t="s">
        <v>408</v>
      </c>
      <c r="D21" s="2" t="str">
        <f>HYPERLINK("https://portal.hubmapconsortium.org/browse/sample/6d3a61d32c777efa3bef04dc1f698e91", "HBM657.BGFJ.898")</f>
        <v>HBM657.BGFJ.898</v>
      </c>
      <c r="E21" t="s">
        <v>409</v>
      </c>
      <c r="F21" t="s">
        <v>410</v>
      </c>
      <c r="G21" t="s">
        <v>20</v>
      </c>
      <c r="H21" t="s">
        <v>21</v>
      </c>
      <c r="I21" t="s">
        <v>22</v>
      </c>
      <c r="J21" s="2" t="b">
        <v>0</v>
      </c>
      <c r="K21" s="2" t="s">
        <v>235</v>
      </c>
      <c r="L21" t="s">
        <v>24</v>
      </c>
      <c r="M21" t="s">
        <v>183</v>
      </c>
      <c r="N21" t="s">
        <v>184</v>
      </c>
      <c r="O21" t="s">
        <v>169</v>
      </c>
      <c r="P21" s="3">
        <v>45512.797779988417</v>
      </c>
      <c r="Q21" s="3">
        <v>45512.797779988417</v>
      </c>
    </row>
    <row r="22" spans="1:17" x14ac:dyDescent="0.2">
      <c r="A22" s="2" t="str">
        <f>HYPERLINK("https://portal.hubmapconsortium.org/browse/sample/db0c5368c69e1a0c3a077ce7e377a949", "HBM687.ZZDN.787")</f>
        <v>HBM687.ZZDN.787</v>
      </c>
      <c r="B22" t="s">
        <v>386</v>
      </c>
      <c r="C22" t="s">
        <v>408</v>
      </c>
      <c r="D22" s="2" t="str">
        <f>HYPERLINK("https://portal.hubmapconsortium.org/browse/sample/6d3a61d32c777efa3bef04dc1f698e91", "HBM657.BGFJ.898")</f>
        <v>HBM657.BGFJ.898</v>
      </c>
      <c r="E22" t="s">
        <v>475</v>
      </c>
      <c r="F22" t="s">
        <v>476</v>
      </c>
      <c r="G22" t="s">
        <v>20</v>
      </c>
      <c r="H22" t="s">
        <v>21</v>
      </c>
      <c r="I22" t="s">
        <v>22</v>
      </c>
      <c r="J22" s="2" t="b">
        <v>0</v>
      </c>
      <c r="K22" s="2" t="s">
        <v>235</v>
      </c>
      <c r="L22" t="s">
        <v>24</v>
      </c>
      <c r="M22" t="s">
        <v>183</v>
      </c>
      <c r="N22" t="s">
        <v>184</v>
      </c>
      <c r="O22" t="s">
        <v>169</v>
      </c>
      <c r="P22" s="3">
        <v>45512.797795520833</v>
      </c>
      <c r="Q22" s="3">
        <v>45512.797795520833</v>
      </c>
    </row>
    <row r="23" spans="1:17" x14ac:dyDescent="0.2">
      <c r="A23" s="2" t="str">
        <f>HYPERLINK("https://portal.hubmapconsortium.org/browse/sample/9324aace0e0f9aa0f97d57237a391f71", "HBM999.MTJT.989")</f>
        <v>HBM999.MTJT.989</v>
      </c>
      <c r="B23" t="s">
        <v>386</v>
      </c>
      <c r="C23" t="s">
        <v>541</v>
      </c>
      <c r="D23" s="2" t="str">
        <f>HYPERLINK("https://portal.hubmapconsortium.org/browse/sample/9954d4d8adb0a53a26179bc99b08b6c0", "HBM688.BJZV.237")</f>
        <v>HBM688.BJZV.237</v>
      </c>
      <c r="E23" t="s">
        <v>542</v>
      </c>
      <c r="F23" t="s">
        <v>543</v>
      </c>
      <c r="G23" t="s">
        <v>20</v>
      </c>
      <c r="H23" t="s">
        <v>21</v>
      </c>
      <c r="I23" t="s">
        <v>22</v>
      </c>
      <c r="J23" s="2" t="b">
        <v>0</v>
      </c>
      <c r="K23" s="2" t="s">
        <v>235</v>
      </c>
      <c r="L23" t="s">
        <v>24</v>
      </c>
      <c r="M23" t="s">
        <v>183</v>
      </c>
      <c r="N23" t="s">
        <v>184</v>
      </c>
      <c r="O23" t="s">
        <v>169</v>
      </c>
      <c r="P23" s="3">
        <v>45643.911409444438</v>
      </c>
      <c r="Q23" s="3">
        <v>45643.911409444438</v>
      </c>
    </row>
    <row r="24" spans="1:17" x14ac:dyDescent="0.2">
      <c r="A24" s="2" t="str">
        <f>HYPERLINK("https://portal.hubmapconsortium.org/browse/sample/c2650067e3dd3761e87a1e0dbaa984e9", "HBM836.VFTN.367")</f>
        <v>HBM836.VFTN.367</v>
      </c>
      <c r="B24" t="s">
        <v>386</v>
      </c>
      <c r="C24" t="s">
        <v>541</v>
      </c>
      <c r="D24" s="2" t="str">
        <f>HYPERLINK("https://portal.hubmapconsortium.org/browse/sample/9954d4d8adb0a53a26179bc99b08b6c0", "HBM688.BJZV.237")</f>
        <v>HBM688.BJZV.237</v>
      </c>
      <c r="E24" t="s">
        <v>556</v>
      </c>
      <c r="F24" t="s">
        <v>557</v>
      </c>
      <c r="G24" t="s">
        <v>20</v>
      </c>
      <c r="H24" t="s">
        <v>21</v>
      </c>
      <c r="I24" t="s">
        <v>22</v>
      </c>
      <c r="J24" s="2" t="b">
        <v>0</v>
      </c>
      <c r="K24" s="2" t="s">
        <v>166</v>
      </c>
      <c r="L24" t="s">
        <v>77</v>
      </c>
      <c r="M24" t="s">
        <v>183</v>
      </c>
      <c r="N24" t="s">
        <v>184</v>
      </c>
      <c r="O24" t="s">
        <v>169</v>
      </c>
      <c r="P24" s="3">
        <v>45819.670110659717</v>
      </c>
      <c r="Q24" s="3">
        <v>45819.670110659717</v>
      </c>
    </row>
    <row r="25" spans="1:17" x14ac:dyDescent="0.2">
      <c r="A25" s="2" t="str">
        <f>HYPERLINK("https://portal.hubmapconsortium.org/browse/sample/c3c2a8c95ae4ca3f7a864ed0d35adb5e", "HBM277.XJVM.762")</f>
        <v>HBM277.XJVM.762</v>
      </c>
      <c r="B25" t="s">
        <v>571</v>
      </c>
      <c r="C25" t="s">
        <v>589</v>
      </c>
      <c r="D25" s="2" t="str">
        <f>HYPERLINK("https://portal.hubmapconsortium.org/browse/sample/4037bc931cabe8556ee08b0cc44ccf22", "HBM346.FQHN.263")</f>
        <v>HBM346.FQHN.263</v>
      </c>
      <c r="E25" t="s">
        <v>590</v>
      </c>
      <c r="F25" t="s">
        <v>591</v>
      </c>
      <c r="G25" t="s">
        <v>20</v>
      </c>
      <c r="H25" t="s">
        <v>21</v>
      </c>
      <c r="I25" t="s">
        <v>22</v>
      </c>
      <c r="J25" s="2" t="b">
        <v>0</v>
      </c>
      <c r="K25" s="2" t="s">
        <v>235</v>
      </c>
      <c r="L25" t="s">
        <v>24</v>
      </c>
      <c r="M25" t="s">
        <v>183</v>
      </c>
      <c r="N25" t="s">
        <v>184</v>
      </c>
      <c r="O25" t="s">
        <v>169</v>
      </c>
      <c r="P25" s="3">
        <v>45512.82223726852</v>
      </c>
      <c r="Q25" s="3">
        <v>45512.82223726852</v>
      </c>
    </row>
    <row r="26" spans="1:17" x14ac:dyDescent="0.2">
      <c r="A26" s="2" t="str">
        <f>HYPERLINK("https://portal.hubmapconsortium.org/browse/sample/cb43988d0d6ad149d7bef5509be3feae", "HBM848.TGJV.438")</f>
        <v>HBM848.TGJV.438</v>
      </c>
      <c r="B26" t="s">
        <v>571</v>
      </c>
      <c r="C26" t="s">
        <v>589</v>
      </c>
      <c r="D26" s="2" t="str">
        <f>HYPERLINK("https://portal.hubmapconsortium.org/browse/sample/4037bc931cabe8556ee08b0cc44ccf22", "HBM346.FQHN.263")</f>
        <v>HBM346.FQHN.263</v>
      </c>
      <c r="E26" t="s">
        <v>654</v>
      </c>
      <c r="F26" t="s">
        <v>655</v>
      </c>
      <c r="G26" t="s">
        <v>20</v>
      </c>
      <c r="H26" t="s">
        <v>21</v>
      </c>
      <c r="I26" t="s">
        <v>22</v>
      </c>
      <c r="J26" s="2" t="b">
        <v>0</v>
      </c>
      <c r="K26" s="2" t="s">
        <v>235</v>
      </c>
      <c r="L26" t="s">
        <v>24</v>
      </c>
      <c r="M26" t="s">
        <v>183</v>
      </c>
      <c r="N26" t="s">
        <v>184</v>
      </c>
      <c r="O26" t="s">
        <v>169</v>
      </c>
      <c r="P26" s="3">
        <v>45512.822254953702</v>
      </c>
      <c r="Q26" s="3">
        <v>45512.822254953702</v>
      </c>
    </row>
    <row r="27" spans="1:17" x14ac:dyDescent="0.2">
      <c r="A27" s="2" t="str">
        <f>HYPERLINK("https://portal.hubmapconsortium.org/browse/sample/6a09ea7223f439ed3a950fe0985abf23", "HBM293.KVFK.668")</f>
        <v>HBM293.KVFK.668</v>
      </c>
      <c r="B27" t="s">
        <v>571</v>
      </c>
      <c r="C27" t="s">
        <v>716</v>
      </c>
      <c r="D27" s="2" t="str">
        <f>HYPERLINK("https://portal.hubmapconsortium.org/browse/sample/7f7f6faf1ed24ed62109de031b99a555", "HBM876.WSJF.893")</f>
        <v>HBM876.WSJF.893</v>
      </c>
      <c r="E27" t="s">
        <v>717</v>
      </c>
      <c r="F27" t="s">
        <v>718</v>
      </c>
      <c r="G27" t="s">
        <v>20</v>
      </c>
      <c r="H27" t="s">
        <v>21</v>
      </c>
      <c r="I27" t="s">
        <v>22</v>
      </c>
      <c r="J27" s="2" t="b">
        <v>0</v>
      </c>
      <c r="K27" s="2" t="s">
        <v>166</v>
      </c>
      <c r="L27" t="s">
        <v>77</v>
      </c>
      <c r="M27" t="s">
        <v>183</v>
      </c>
      <c r="N27" t="s">
        <v>184</v>
      </c>
      <c r="O27" t="s">
        <v>169</v>
      </c>
      <c r="P27" s="3">
        <v>45819.670124490738</v>
      </c>
      <c r="Q27" s="3">
        <v>45848.689818263891</v>
      </c>
    </row>
    <row r="28" spans="1:17" x14ac:dyDescent="0.2">
      <c r="A28" s="2" t="str">
        <f>HYPERLINK("https://portal.hubmapconsortium.org/browse/sample/86a48166a284aabf8cc6050c4d8a3ec7", "HBM798.WWGF.972")</f>
        <v>HBM798.WWGF.972</v>
      </c>
      <c r="B28" t="s">
        <v>571</v>
      </c>
      <c r="C28" t="s">
        <v>716</v>
      </c>
      <c r="D28" s="2" t="str">
        <f>HYPERLINK("https://portal.hubmapconsortium.org/browse/sample/7f7f6faf1ed24ed62109de031b99a555", "HBM876.WSJF.893")</f>
        <v>HBM876.WSJF.893</v>
      </c>
      <c r="E28" t="s">
        <v>732</v>
      </c>
      <c r="F28" t="s">
        <v>733</v>
      </c>
      <c r="G28" t="s">
        <v>20</v>
      </c>
      <c r="H28" t="s">
        <v>21</v>
      </c>
      <c r="I28" t="s">
        <v>22</v>
      </c>
      <c r="J28" s="2" t="b">
        <v>0</v>
      </c>
      <c r="K28" s="2" t="s">
        <v>166</v>
      </c>
      <c r="L28" t="s">
        <v>77</v>
      </c>
      <c r="M28" t="s">
        <v>183</v>
      </c>
      <c r="N28" t="s">
        <v>184</v>
      </c>
      <c r="O28" t="s">
        <v>169</v>
      </c>
      <c r="P28" s="3">
        <v>45848.696506365741</v>
      </c>
      <c r="Q28" s="3">
        <v>45848.696506365741</v>
      </c>
    </row>
    <row r="29" spans="1:17" x14ac:dyDescent="0.2">
      <c r="A29" s="2" t="str">
        <f>HYPERLINK("https://portal.hubmapconsortium.org/browse/sample/e8a87e34d6330fb84a784aa2850abd31", "HBM344.JMJR.482")</f>
        <v>HBM344.JMJR.482</v>
      </c>
      <c r="B29" t="s">
        <v>763</v>
      </c>
      <c r="C29" t="s">
        <v>779</v>
      </c>
      <c r="D29" s="2" t="str">
        <f>HYPERLINK("https://portal.hubmapconsortium.org/browse/sample/76b132346676d19ecc52dd0e7f6ec220", "HBM758.PXTF.453")</f>
        <v>HBM758.PXTF.453</v>
      </c>
      <c r="E29" t="s">
        <v>780</v>
      </c>
      <c r="F29" t="s">
        <v>781</v>
      </c>
      <c r="G29" t="s">
        <v>20</v>
      </c>
      <c r="H29" t="s">
        <v>21</v>
      </c>
      <c r="I29" t="s">
        <v>22</v>
      </c>
      <c r="J29" s="2" t="b">
        <v>0</v>
      </c>
      <c r="K29" s="2" t="s">
        <v>766</v>
      </c>
      <c r="L29" t="s">
        <v>24</v>
      </c>
      <c r="M29" t="s">
        <v>167</v>
      </c>
      <c r="N29" t="s">
        <v>168</v>
      </c>
      <c r="O29" t="s">
        <v>169</v>
      </c>
      <c r="P29" s="3">
        <v>45726.584994837962</v>
      </c>
      <c r="Q29" s="3">
        <v>45726.584994837962</v>
      </c>
    </row>
    <row r="30" spans="1:17" x14ac:dyDescent="0.2">
      <c r="A30" s="2" t="str">
        <f>HYPERLINK("https://portal.hubmapconsortium.org/browse/sample/c9fc93217441b749b5fa2b96734feca0", "HBM284.MKWJ.457")</f>
        <v>HBM284.MKWJ.457</v>
      </c>
      <c r="B30" t="s">
        <v>763</v>
      </c>
      <c r="C30" t="s">
        <v>779</v>
      </c>
      <c r="D30" s="2" t="str">
        <f>HYPERLINK("https://portal.hubmapconsortium.org/browse/sample/76b132346676d19ecc52dd0e7f6ec220", "HBM758.PXTF.453")</f>
        <v>HBM758.PXTF.453</v>
      </c>
      <c r="E30" t="s">
        <v>834</v>
      </c>
      <c r="F30" t="s">
        <v>835</v>
      </c>
      <c r="G30" t="s">
        <v>20</v>
      </c>
      <c r="H30" t="s">
        <v>21</v>
      </c>
      <c r="I30" t="s">
        <v>22</v>
      </c>
      <c r="J30" s="2" t="b">
        <v>0</v>
      </c>
      <c r="K30" s="2" t="s">
        <v>766</v>
      </c>
      <c r="L30" t="s">
        <v>24</v>
      </c>
      <c r="M30" t="s">
        <v>167</v>
      </c>
      <c r="N30" t="s">
        <v>168</v>
      </c>
      <c r="O30" t="s">
        <v>169</v>
      </c>
      <c r="P30" s="3">
        <v>45726.584207893517</v>
      </c>
      <c r="Q30" s="3">
        <v>45726.584207893517</v>
      </c>
    </row>
  </sheetData>
  <hyperlinks>
    <hyperlink ref="K2" r:id="rId1" xr:uid="{145892A9-ECE5-E341-9F1A-ACADEEB58538}"/>
    <hyperlink ref="K3" r:id="rId2" xr:uid="{5F10BEC8-6E8A-924B-9CF2-7065D9F665EB}"/>
    <hyperlink ref="K4" r:id="rId3" xr:uid="{40CF1ABF-A79F-F84B-889E-02977C47D899}"/>
    <hyperlink ref="K5" r:id="rId4" xr:uid="{110D447C-7688-AD44-9D59-6EEECE548553}"/>
    <hyperlink ref="K7" r:id="rId5" xr:uid="{0120250A-FA4E-814F-AE80-AD88160AE133}"/>
    <hyperlink ref="K8" r:id="rId6" xr:uid="{B11DDE5E-3728-864E-8A6E-2C305EEC7CD1}"/>
    <hyperlink ref="K9" r:id="rId7" xr:uid="{E4722BC2-B333-1F4C-A21D-E89F11E38F4F}"/>
    <hyperlink ref="K10" r:id="rId8" xr:uid="{BB3548DF-272B-5842-9E43-9C64AAF1B9D7}"/>
    <hyperlink ref="K11" r:id="rId9" xr:uid="{A1883984-BBE9-1248-973F-1074F5A6EBC5}"/>
    <hyperlink ref="K12" r:id="rId10" xr:uid="{AFB81989-D58E-9645-B2B1-EA2B32E76FA8}"/>
    <hyperlink ref="K13" r:id="rId11" xr:uid="{015F58C7-DC31-0440-B727-20C335A9AA9F}"/>
    <hyperlink ref="K14" r:id="rId12" xr:uid="{0FEA7255-3E8B-8740-B28A-ABF6C24298DF}"/>
    <hyperlink ref="K15" r:id="rId13" xr:uid="{26814951-8FFD-2F41-99AB-CAF8D427C51C}"/>
    <hyperlink ref="K16" r:id="rId14" xr:uid="{66CA5643-97EE-9341-AAA6-403768182BAA}"/>
    <hyperlink ref="K17" r:id="rId15" xr:uid="{1CFAC4EA-A048-214D-861E-9D999E270C29}"/>
    <hyperlink ref="K18" r:id="rId16" xr:uid="{A85E43F1-EA91-3C4D-B74F-A14ED416252A}"/>
    <hyperlink ref="K19" r:id="rId17" xr:uid="{CC6FE2A6-A4DE-304E-8748-8E8F71A892B9}"/>
    <hyperlink ref="K20" r:id="rId18" xr:uid="{5271C159-6793-BC4A-A2C0-9A6FE051B041}"/>
    <hyperlink ref="K21" r:id="rId19" xr:uid="{22B66930-6A87-1044-A715-22835BEAA61A}"/>
    <hyperlink ref="K22" r:id="rId20" xr:uid="{B4DE9093-B626-EB4C-835F-38805020D2E8}"/>
    <hyperlink ref="K23" r:id="rId21" xr:uid="{57B395D2-60F7-224A-B93D-22DE63F07604}"/>
    <hyperlink ref="K24" r:id="rId22" xr:uid="{55860172-E187-1B44-9B0C-DC4E9EC124C2}"/>
    <hyperlink ref="K25" r:id="rId23" xr:uid="{733F1669-35B9-A84A-BCEE-66BBA5CF76BA}"/>
    <hyperlink ref="K26" r:id="rId24" xr:uid="{74A325F0-20AC-D447-AB9F-8F2973869CE0}"/>
    <hyperlink ref="K27" r:id="rId25" xr:uid="{B21E9D44-D66C-F744-8FBA-6BC4C7EFE8D4}"/>
    <hyperlink ref="K28" r:id="rId26" xr:uid="{0DE012D0-65C3-1048-BD8E-5AD668FE6F36}"/>
    <hyperlink ref="K29" r:id="rId27" xr:uid="{A771FF26-EE4C-F348-A7F1-C7B5C33960A4}"/>
    <hyperlink ref="K30" r:id="rId28" xr:uid="{6F37451D-F0A7-D04E-8A6B-E53E9CE258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10C4-0D4B-2E4C-B39E-451A7E0DC97A}">
  <dimension ref="A1:Q23"/>
  <sheetViews>
    <sheetView workbookViewId="0">
      <pane ySplit="1" topLeftCell="A2" activePane="bottomLeft" state="frozen"/>
      <selection pane="bottomLeft" activeCell="A23" sqref="A23:XFD23"/>
    </sheetView>
  </sheetViews>
  <sheetFormatPr baseColWidth="10" defaultRowHeight="16" x14ac:dyDescent="0.2"/>
  <cols>
    <col min="5" max="5" width="17.6640625" bestFit="1" customWidth="1"/>
    <col min="6" max="6" width="42.332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tr">
        <f>HYPERLINK("https://portal.hubmapconsortium.org/browse/sample/472031d879dd3d556e3b0bc569a3bf47", "HBM634.JCLF.579")</f>
        <v>HBM634.JCLF.579</v>
      </c>
      <c r="B2" t="s">
        <v>162</v>
      </c>
      <c r="C2" t="s">
        <v>163</v>
      </c>
      <c r="D2" s="2" t="str">
        <f>HYPERLINK("https://portal.hubmapconsortium.org/browse/sample/95e661b6148f0eb7dc29eb519de1e934", "HBM348.BSHQ.569")</f>
        <v>HBM348.BSHQ.569</v>
      </c>
      <c r="E2" t="s">
        <v>170</v>
      </c>
      <c r="F2" t="s">
        <v>171</v>
      </c>
      <c r="G2" t="s">
        <v>20</v>
      </c>
      <c r="H2" t="s">
        <v>21</v>
      </c>
      <c r="I2" t="s">
        <v>22</v>
      </c>
      <c r="J2" s="2" t="b">
        <v>0</v>
      </c>
      <c r="K2" s="2" t="s">
        <v>166</v>
      </c>
      <c r="L2" t="s">
        <v>24</v>
      </c>
      <c r="M2" t="s">
        <v>167</v>
      </c>
      <c r="N2" t="s">
        <v>168</v>
      </c>
      <c r="O2" t="s">
        <v>169</v>
      </c>
      <c r="P2" s="3">
        <v>45460.736693113417</v>
      </c>
      <c r="Q2" s="3">
        <v>45460.736693113417</v>
      </c>
    </row>
    <row r="3" spans="1:17" x14ac:dyDescent="0.2">
      <c r="A3" s="2" t="str">
        <f>HYPERLINK("https://portal.hubmapconsortium.org/browse/sample/d604f80c58fa0491ff7b9ebe7f7ea292", "HBM727.QPDX.344")</f>
        <v>HBM727.QPDX.344</v>
      </c>
      <c r="B3" t="s">
        <v>17</v>
      </c>
      <c r="C3" t="s">
        <v>18</v>
      </c>
      <c r="D3" s="2" t="str">
        <f>HYPERLINK("https://portal.hubmapconsortium.org/browse/sample/8d7323f8e67fae6440c934eeb1ab3d9a", "HBM888.XXWD.357")</f>
        <v>HBM888.XXWD.357</v>
      </c>
      <c r="E3" t="s">
        <v>193</v>
      </c>
      <c r="F3" t="s">
        <v>194</v>
      </c>
      <c r="G3" t="s">
        <v>20</v>
      </c>
      <c r="H3" t="s">
        <v>21</v>
      </c>
      <c r="I3" t="s">
        <v>22</v>
      </c>
      <c r="J3" s="2" t="b">
        <v>0</v>
      </c>
      <c r="K3" s="2" t="s">
        <v>166</v>
      </c>
      <c r="L3" t="s">
        <v>77</v>
      </c>
      <c r="M3" t="s">
        <v>183</v>
      </c>
      <c r="N3" t="s">
        <v>184</v>
      </c>
      <c r="O3" t="s">
        <v>169</v>
      </c>
      <c r="P3" s="3">
        <v>45819.755727164353</v>
      </c>
      <c r="Q3" s="3">
        <v>45819.755727164353</v>
      </c>
    </row>
    <row r="4" spans="1:17" x14ac:dyDescent="0.2">
      <c r="A4" s="2" t="str">
        <f>HYPERLINK("https://portal.hubmapconsortium.org/browse/sample/db8d63ed9de39050ae47e3dc1ebf39f1", "HBM773.BMDL.763")</f>
        <v>HBM773.BMDL.763</v>
      </c>
      <c r="B4" t="s">
        <v>17</v>
      </c>
      <c r="C4" t="s">
        <v>18</v>
      </c>
      <c r="D4" s="2" t="str">
        <f>HYPERLINK("https://portal.hubmapconsortium.org/browse/sample/8d7323f8e67fae6440c934eeb1ab3d9a", "HBM888.XXWD.357")</f>
        <v>HBM888.XXWD.357</v>
      </c>
      <c r="E4" t="s">
        <v>205</v>
      </c>
      <c r="F4" t="s">
        <v>194</v>
      </c>
      <c r="G4" t="s">
        <v>20</v>
      </c>
      <c r="H4" t="s">
        <v>21</v>
      </c>
      <c r="I4" t="s">
        <v>22</v>
      </c>
      <c r="J4" s="2" t="b">
        <v>0</v>
      </c>
      <c r="K4" s="2" t="s">
        <v>166</v>
      </c>
      <c r="L4" t="s">
        <v>77</v>
      </c>
      <c r="M4" t="s">
        <v>183</v>
      </c>
      <c r="N4" t="s">
        <v>184</v>
      </c>
      <c r="O4" t="s">
        <v>169</v>
      </c>
      <c r="P4" s="3">
        <v>45819.755738796302</v>
      </c>
      <c r="Q4" s="3">
        <v>45819.755738796302</v>
      </c>
    </row>
    <row r="5" spans="1:17" x14ac:dyDescent="0.2">
      <c r="A5" s="2" t="str">
        <f>HYPERLINK("https://portal.hubmapconsortium.org/browse/sample/2ec012620649fa041d363fe4664bab64", "HBM843.JVKP.257")</f>
        <v>HBM843.JVKP.257</v>
      </c>
      <c r="B5" t="s">
        <v>17</v>
      </c>
      <c r="C5" t="s">
        <v>18</v>
      </c>
      <c r="D5" s="2" t="str">
        <f>HYPERLINK("https://portal.hubmapconsortium.org/browse/sample/8d7323f8e67fae6440c934eeb1ab3d9a", "HBM888.XXWD.357")</f>
        <v>HBM888.XXWD.357</v>
      </c>
      <c r="E5" t="s">
        <v>211</v>
      </c>
      <c r="F5" t="s">
        <v>194</v>
      </c>
      <c r="G5" t="s">
        <v>20</v>
      </c>
      <c r="H5" t="s">
        <v>21</v>
      </c>
      <c r="I5" t="s">
        <v>22</v>
      </c>
      <c r="J5" s="2" t="b">
        <v>0</v>
      </c>
      <c r="K5" s="2" t="s">
        <v>166</v>
      </c>
      <c r="L5" t="s">
        <v>77</v>
      </c>
      <c r="M5" t="s">
        <v>183</v>
      </c>
      <c r="N5" t="s">
        <v>184</v>
      </c>
      <c r="O5" t="s">
        <v>169</v>
      </c>
      <c r="P5" s="3">
        <v>45819.755750185177</v>
      </c>
      <c r="Q5" s="3">
        <v>45819.755750185177</v>
      </c>
    </row>
    <row r="6" spans="1:17" x14ac:dyDescent="0.2">
      <c r="A6" s="2" t="str">
        <f>HYPERLINK("https://portal.hubmapconsortium.org/browse/sample/5af76e25a93b9bad388673c94f45eda3", "HBM549.VNLJ.483")</f>
        <v>HBM549.VNLJ.483</v>
      </c>
      <c r="B6" t="s">
        <v>33</v>
      </c>
      <c r="C6" t="s">
        <v>34</v>
      </c>
      <c r="D6" s="2" t="str">
        <f>HYPERLINK("https://portal.hubmapconsortium.org/browse/sample/83ab99a06a11a99e3fb971c922b50642", "HBM972.ZVMR.866")</f>
        <v>HBM972.ZVMR.866</v>
      </c>
      <c r="E6" t="s">
        <v>224</v>
      </c>
      <c r="F6" t="s">
        <v>225</v>
      </c>
      <c r="G6" t="s">
        <v>20</v>
      </c>
      <c r="H6" t="s">
        <v>21</v>
      </c>
      <c r="I6" t="s">
        <v>22</v>
      </c>
      <c r="J6" s="2" t="b">
        <v>0</v>
      </c>
      <c r="K6" s="2" t="s">
        <v>166</v>
      </c>
      <c r="L6" t="s">
        <v>77</v>
      </c>
      <c r="M6" t="s">
        <v>183</v>
      </c>
      <c r="N6" t="s">
        <v>184</v>
      </c>
      <c r="O6" t="s">
        <v>169</v>
      </c>
      <c r="P6" s="3">
        <v>45848.75960795139</v>
      </c>
      <c r="Q6" s="3">
        <v>45848.75960795139</v>
      </c>
    </row>
    <row r="7" spans="1:17" x14ac:dyDescent="0.2">
      <c r="A7" s="2" t="str">
        <f>HYPERLINK("https://portal.hubmapconsortium.org/browse/sample/f5b96aac1ba28429825bf085a7bc9838", "HBM838.FNBV.229")</f>
        <v>HBM838.FNBV.229</v>
      </c>
      <c r="B7" t="s">
        <v>33</v>
      </c>
      <c r="C7" t="s">
        <v>34</v>
      </c>
      <c r="D7" s="2" t="str">
        <f>HYPERLINK("https://portal.hubmapconsortium.org/browse/sample/83ab99a06a11a99e3fb971c922b50642", "HBM972.ZVMR.866")</f>
        <v>HBM972.ZVMR.866</v>
      </c>
      <c r="E7" t="s">
        <v>232</v>
      </c>
      <c r="F7" t="s">
        <v>225</v>
      </c>
      <c r="G7" t="s">
        <v>20</v>
      </c>
      <c r="H7" t="s">
        <v>21</v>
      </c>
      <c r="I7" t="s">
        <v>22</v>
      </c>
      <c r="J7" s="2" t="b">
        <v>0</v>
      </c>
      <c r="K7" s="2" t="s">
        <v>166</v>
      </c>
      <c r="L7" t="s">
        <v>77</v>
      </c>
      <c r="M7" t="s">
        <v>183</v>
      </c>
      <c r="N7" t="s">
        <v>184</v>
      </c>
      <c r="O7" t="s">
        <v>169</v>
      </c>
      <c r="P7" s="3">
        <v>45848.759618090276</v>
      </c>
      <c r="Q7" s="3">
        <v>45848.759618090276</v>
      </c>
    </row>
    <row r="8" spans="1:17" x14ac:dyDescent="0.2">
      <c r="A8" s="2" t="str">
        <f>HYPERLINK("https://portal.hubmapconsortium.org/browse/sample/b83922ed52ece627e6144299a05b5772", "HBM474.KSLW.777")</f>
        <v>HBM474.KSLW.777</v>
      </c>
      <c r="B8" t="s">
        <v>33</v>
      </c>
      <c r="C8" t="s">
        <v>34</v>
      </c>
      <c r="D8" s="2" t="str">
        <f>HYPERLINK("https://portal.hubmapconsortium.org/browse/sample/83ab99a06a11a99e3fb971c922b50642", "HBM972.ZVMR.866")</f>
        <v>HBM972.ZVMR.866</v>
      </c>
      <c r="E8" t="s">
        <v>238</v>
      </c>
      <c r="F8" t="s">
        <v>225</v>
      </c>
      <c r="G8" t="s">
        <v>20</v>
      </c>
      <c r="H8" t="s">
        <v>21</v>
      </c>
      <c r="I8" t="s">
        <v>22</v>
      </c>
      <c r="J8" s="2" t="b">
        <v>0</v>
      </c>
      <c r="K8" s="2" t="s">
        <v>166</v>
      </c>
      <c r="L8" t="s">
        <v>77</v>
      </c>
      <c r="M8" t="s">
        <v>183</v>
      </c>
      <c r="N8" t="s">
        <v>184</v>
      </c>
      <c r="O8" t="s">
        <v>169</v>
      </c>
      <c r="P8" s="3">
        <v>45848.75963025463</v>
      </c>
      <c r="Q8" s="3">
        <v>45848.75963025463</v>
      </c>
    </row>
    <row r="9" spans="1:17" x14ac:dyDescent="0.2">
      <c r="A9" s="2" t="str">
        <f>HYPERLINK("https://portal.hubmapconsortium.org/browse/sample/47d6e20989394f47842f8d440509368f", "HBM295.NDWB.396")</f>
        <v>HBM295.NDWB.396</v>
      </c>
      <c r="B9" t="s">
        <v>33</v>
      </c>
      <c r="C9" t="s">
        <v>34</v>
      </c>
      <c r="D9" s="2" t="str">
        <f>HYPERLINK("https://portal.hubmapconsortium.org/browse/sample/83ab99a06a11a99e3fb971c922b50642", "HBM972.ZVMR.866")</f>
        <v>HBM972.ZVMR.866</v>
      </c>
      <c r="E9" t="s">
        <v>241</v>
      </c>
      <c r="F9" t="s">
        <v>225</v>
      </c>
      <c r="G9" t="s">
        <v>20</v>
      </c>
      <c r="H9" t="s">
        <v>21</v>
      </c>
      <c r="I9" t="s">
        <v>22</v>
      </c>
      <c r="J9" s="2" t="b">
        <v>0</v>
      </c>
      <c r="K9" s="2" t="s">
        <v>166</v>
      </c>
      <c r="L9" t="s">
        <v>77</v>
      </c>
      <c r="M9" t="s">
        <v>183</v>
      </c>
      <c r="N9" t="s">
        <v>184</v>
      </c>
      <c r="O9" t="s">
        <v>169</v>
      </c>
      <c r="P9" s="3">
        <v>45819.755767499999</v>
      </c>
      <c r="Q9" s="3">
        <v>45819.755767499999</v>
      </c>
    </row>
    <row r="10" spans="1:17" x14ac:dyDescent="0.2">
      <c r="A10" s="2" t="str">
        <f>HYPERLINK("https://portal.hubmapconsortium.org/browse/sample/fe363edbc8c61f6a8a539c7af5dcb1c1", "HBM584.FDHL.868")</f>
        <v>HBM584.FDHL.868</v>
      </c>
      <c r="B10" t="s">
        <v>33</v>
      </c>
      <c r="C10" t="s">
        <v>34</v>
      </c>
      <c r="D10" s="2" t="str">
        <f>HYPERLINK("https://portal.hubmapconsortium.org/browse/sample/83ab99a06a11a99e3fb971c922b50642", "HBM972.ZVMR.866")</f>
        <v>HBM972.ZVMR.866</v>
      </c>
      <c r="E10" t="s">
        <v>246</v>
      </c>
      <c r="F10" t="s">
        <v>225</v>
      </c>
      <c r="G10" t="s">
        <v>20</v>
      </c>
      <c r="H10" t="s">
        <v>21</v>
      </c>
      <c r="I10" t="s">
        <v>22</v>
      </c>
      <c r="J10" s="2" t="b">
        <v>0</v>
      </c>
      <c r="K10" s="2" t="s">
        <v>166</v>
      </c>
      <c r="L10" t="s">
        <v>77</v>
      </c>
      <c r="M10" t="s">
        <v>183</v>
      </c>
      <c r="N10" t="s">
        <v>184</v>
      </c>
      <c r="O10" t="s">
        <v>169</v>
      </c>
      <c r="P10" s="3">
        <v>45819.755782974527</v>
      </c>
      <c r="Q10" s="3">
        <v>45819.755782974527</v>
      </c>
    </row>
    <row r="11" spans="1:17" x14ac:dyDescent="0.2">
      <c r="A11" s="2" t="str">
        <f>HYPERLINK("https://portal.hubmapconsortium.org/browse/sample/6eb14b2d8d7ce45b636b113218eaeda8", "HBM567.PMFW.429")</f>
        <v>HBM567.PMFW.429</v>
      </c>
      <c r="B11" t="s">
        <v>62</v>
      </c>
      <c r="C11" t="s">
        <v>63</v>
      </c>
      <c r="D11" s="2" t="str">
        <f>HYPERLINK("https://portal.hubmapconsortium.org/browse/sample/5b24ccb2caa0fadbb19325591b4c2236", "HBM247.SHRT.724")</f>
        <v>HBM247.SHRT.724</v>
      </c>
      <c r="E11" t="s">
        <v>263</v>
      </c>
      <c r="F11" t="s">
        <v>264</v>
      </c>
      <c r="G11" t="s">
        <v>20</v>
      </c>
      <c r="H11" t="s">
        <v>21</v>
      </c>
      <c r="I11" t="s">
        <v>22</v>
      </c>
      <c r="J11" s="2" t="b">
        <v>0</v>
      </c>
      <c r="K11" s="2" t="s">
        <v>166</v>
      </c>
      <c r="L11" t="s">
        <v>77</v>
      </c>
      <c r="M11" t="s">
        <v>167</v>
      </c>
      <c r="N11" t="s">
        <v>168</v>
      </c>
      <c r="O11" t="s">
        <v>169</v>
      </c>
      <c r="P11" s="3">
        <v>45789.819570405103</v>
      </c>
      <c r="Q11" s="3">
        <v>45789.819570405103</v>
      </c>
    </row>
    <row r="12" spans="1:17" x14ac:dyDescent="0.2">
      <c r="A12" s="2" t="str">
        <f>HYPERLINK("https://portal.hubmapconsortium.org/browse/sample/43018d02e179e8b28c51e372156a8fde", "HBM533.HTKT.662")</f>
        <v>HBM533.HTKT.662</v>
      </c>
      <c r="B12" t="s">
        <v>139</v>
      </c>
      <c r="C12" t="s">
        <v>140</v>
      </c>
      <c r="D12" s="2" t="str">
        <f>HYPERLINK("https://portal.hubmapconsortium.org/browse/sample/bf6797891187c90525e7e2a4778f58a8", "HBM559.ZVDB.249")</f>
        <v>HBM559.ZVDB.249</v>
      </c>
      <c r="E12" t="s">
        <v>299</v>
      </c>
      <c r="F12" t="s">
        <v>300</v>
      </c>
      <c r="G12" t="s">
        <v>20</v>
      </c>
      <c r="H12" t="s">
        <v>21</v>
      </c>
      <c r="I12" t="s">
        <v>22</v>
      </c>
      <c r="J12" s="2" t="b">
        <v>0</v>
      </c>
      <c r="K12" s="2" t="s">
        <v>166</v>
      </c>
      <c r="L12" t="s">
        <v>77</v>
      </c>
      <c r="M12" t="s">
        <v>183</v>
      </c>
      <c r="N12" t="s">
        <v>184</v>
      </c>
      <c r="O12" t="s">
        <v>169</v>
      </c>
      <c r="P12" s="3">
        <v>45848.759643321762</v>
      </c>
      <c r="Q12" s="3">
        <v>45848.759643321762</v>
      </c>
    </row>
    <row r="13" spans="1:17" x14ac:dyDescent="0.2">
      <c r="A13" s="2" t="str">
        <f>HYPERLINK("https://portal.hubmapconsortium.org/browse/sample/7fbc411cfb443140c6859594d5577be2", "HBM526.VDSG.723")</f>
        <v>HBM526.VDSG.723</v>
      </c>
      <c r="B13" t="s">
        <v>139</v>
      </c>
      <c r="C13" t="s">
        <v>140</v>
      </c>
      <c r="D13" s="2" t="str">
        <f>HYPERLINK("https://portal.hubmapconsortium.org/browse/sample/bf6797891187c90525e7e2a4778f58a8", "HBM559.ZVDB.249")</f>
        <v>HBM559.ZVDB.249</v>
      </c>
      <c r="E13" t="s">
        <v>305</v>
      </c>
      <c r="F13" t="s">
        <v>300</v>
      </c>
      <c r="G13" t="s">
        <v>20</v>
      </c>
      <c r="H13" t="s">
        <v>21</v>
      </c>
      <c r="I13" t="s">
        <v>22</v>
      </c>
      <c r="J13" s="2" t="b">
        <v>0</v>
      </c>
      <c r="K13" s="2" t="s">
        <v>166</v>
      </c>
      <c r="L13" t="s">
        <v>77</v>
      </c>
      <c r="M13" t="s">
        <v>183</v>
      </c>
      <c r="N13" t="s">
        <v>184</v>
      </c>
      <c r="O13" t="s">
        <v>169</v>
      </c>
      <c r="P13" s="3">
        <v>45819.755799722217</v>
      </c>
      <c r="Q13" s="3">
        <v>45845.745431261566</v>
      </c>
    </row>
    <row r="14" spans="1:17" x14ac:dyDescent="0.2">
      <c r="A14" s="2" t="str">
        <f>HYPERLINK("https://portal.hubmapconsortium.org/browse/sample/eacb7a99546627f512926b00b8e0f023", "HBM655.KCCS.826")</f>
        <v>HBM655.KCCS.826</v>
      </c>
      <c r="B14" t="s">
        <v>139</v>
      </c>
      <c r="C14" t="s">
        <v>140</v>
      </c>
      <c r="D14" s="2" t="str">
        <f>HYPERLINK("https://portal.hubmapconsortium.org/browse/sample/bf6797891187c90525e7e2a4778f58a8", "HBM559.ZVDB.249")</f>
        <v>HBM559.ZVDB.249</v>
      </c>
      <c r="E14" t="s">
        <v>318</v>
      </c>
      <c r="F14" t="s">
        <v>319</v>
      </c>
      <c r="G14" t="s">
        <v>20</v>
      </c>
      <c r="H14" t="s">
        <v>21</v>
      </c>
      <c r="I14" t="s">
        <v>22</v>
      </c>
      <c r="J14" s="2" t="b">
        <v>0</v>
      </c>
      <c r="K14" s="2" t="s">
        <v>166</v>
      </c>
      <c r="L14" t="s">
        <v>77</v>
      </c>
      <c r="M14" t="s">
        <v>183</v>
      </c>
      <c r="N14" t="s">
        <v>184</v>
      </c>
      <c r="O14" t="s">
        <v>169</v>
      </c>
      <c r="P14" s="3">
        <v>45819.755816620367</v>
      </c>
      <c r="Q14" s="3">
        <v>45819.755816620367</v>
      </c>
    </row>
    <row r="15" spans="1:17" x14ac:dyDescent="0.2">
      <c r="A15" s="2" t="str">
        <f>HYPERLINK("https://portal.hubmapconsortium.org/browse/sample/442c8439bd8e170952c54a7a27bc7810", "HBM256.NGWR.774")</f>
        <v>HBM256.NGWR.774</v>
      </c>
      <c r="B15" t="s">
        <v>148</v>
      </c>
      <c r="C15" t="s">
        <v>149</v>
      </c>
      <c r="D15" s="2" t="str">
        <f>HYPERLINK("https://portal.hubmapconsortium.org/browse/sample/647bb669b1302c49cada4274553543e1", "HBM436.JQXP.677")</f>
        <v>HBM436.JQXP.677</v>
      </c>
      <c r="E15" t="s">
        <v>342</v>
      </c>
      <c r="F15" t="s">
        <v>343</v>
      </c>
      <c r="G15" t="s">
        <v>20</v>
      </c>
      <c r="H15" t="s">
        <v>21</v>
      </c>
      <c r="I15" t="s">
        <v>22</v>
      </c>
      <c r="J15" s="2" t="b">
        <v>0</v>
      </c>
      <c r="K15" s="2" t="s">
        <v>166</v>
      </c>
      <c r="L15" t="s">
        <v>77</v>
      </c>
      <c r="M15" t="s">
        <v>167</v>
      </c>
      <c r="N15" t="s">
        <v>168</v>
      </c>
      <c r="O15" t="s">
        <v>169</v>
      </c>
      <c r="P15" s="3">
        <v>45852.781154039352</v>
      </c>
      <c r="Q15" s="3">
        <v>45852.781154039352</v>
      </c>
    </row>
    <row r="16" spans="1:17" x14ac:dyDescent="0.2">
      <c r="A16" s="2" t="str">
        <f>HYPERLINK("https://portal.hubmapconsortium.org/browse/sample/85222d975fc04f7abe68c1e28e409d6f", "HBM868.WNLH.688")</f>
        <v>HBM868.WNLH.688</v>
      </c>
      <c r="B16" t="s">
        <v>148</v>
      </c>
      <c r="C16" t="s">
        <v>149</v>
      </c>
      <c r="D16" s="2" t="str">
        <f>HYPERLINK("https://portal.hubmapconsortium.org/browse/sample/647bb669b1302c49cada4274553543e1", "HBM436.JQXP.677")</f>
        <v>HBM436.JQXP.677</v>
      </c>
      <c r="E16" t="s">
        <v>348</v>
      </c>
      <c r="F16" t="s">
        <v>343</v>
      </c>
      <c r="G16" t="s">
        <v>20</v>
      </c>
      <c r="H16" t="s">
        <v>21</v>
      </c>
      <c r="I16" t="s">
        <v>22</v>
      </c>
      <c r="J16" s="2" t="b">
        <v>0</v>
      </c>
      <c r="K16" s="2" t="s">
        <v>166</v>
      </c>
      <c r="L16" t="s">
        <v>77</v>
      </c>
      <c r="M16" t="s">
        <v>183</v>
      </c>
      <c r="N16" t="s">
        <v>184</v>
      </c>
      <c r="O16" t="s">
        <v>169</v>
      </c>
      <c r="P16" s="3">
        <v>45848.759660810189</v>
      </c>
      <c r="Q16" s="3">
        <v>45848.759660810189</v>
      </c>
    </row>
    <row r="17" spans="1:17" x14ac:dyDescent="0.2">
      <c r="A17" s="2" t="str">
        <f>HYPERLINK("https://portal.hubmapconsortium.org/browse/sample/9f942777a3ce7df1e9d7560f0509ca7a", "HBM298.WSBX.597")</f>
        <v>HBM298.WSBX.597</v>
      </c>
      <c r="B17" t="s">
        <v>148</v>
      </c>
      <c r="C17" t="s">
        <v>149</v>
      </c>
      <c r="D17" s="2" t="str">
        <f>HYPERLINK("https://portal.hubmapconsortium.org/browse/sample/647bb669b1302c49cada4274553543e1", "HBM436.JQXP.677")</f>
        <v>HBM436.JQXP.677</v>
      </c>
      <c r="E17" t="s">
        <v>352</v>
      </c>
      <c r="F17" t="s">
        <v>343</v>
      </c>
      <c r="G17" t="s">
        <v>20</v>
      </c>
      <c r="H17" t="s">
        <v>21</v>
      </c>
      <c r="I17" t="s">
        <v>22</v>
      </c>
      <c r="J17" s="2" t="b">
        <v>0</v>
      </c>
      <c r="K17" s="2" t="s">
        <v>166</v>
      </c>
      <c r="L17" t="s">
        <v>77</v>
      </c>
      <c r="M17" t="s">
        <v>183</v>
      </c>
      <c r="N17" t="s">
        <v>184</v>
      </c>
      <c r="O17" t="s">
        <v>169</v>
      </c>
      <c r="P17" s="3">
        <v>45819.755841620368</v>
      </c>
      <c r="Q17" s="3">
        <v>45819.755841620368</v>
      </c>
    </row>
    <row r="18" spans="1:17" x14ac:dyDescent="0.2">
      <c r="A18" s="2" t="str">
        <f>HYPERLINK("https://portal.hubmapconsortium.org/browse/sample/80647b585f9128e45e95ddab2a82fd69", "HBM352.PLLS.379")</f>
        <v>HBM352.PLLS.379</v>
      </c>
      <c r="B18" t="s">
        <v>148</v>
      </c>
      <c r="C18" t="s">
        <v>149</v>
      </c>
      <c r="D18" s="2" t="str">
        <f>HYPERLINK("https://portal.hubmapconsortium.org/browse/sample/647bb669b1302c49cada4274553543e1", "HBM436.JQXP.677")</f>
        <v>HBM436.JQXP.677</v>
      </c>
      <c r="E18" t="s">
        <v>359</v>
      </c>
      <c r="F18" t="s">
        <v>343</v>
      </c>
      <c r="G18" t="s">
        <v>20</v>
      </c>
      <c r="H18" t="s">
        <v>21</v>
      </c>
      <c r="I18" t="s">
        <v>22</v>
      </c>
      <c r="J18" s="2" t="b">
        <v>0</v>
      </c>
      <c r="K18" s="2" t="s">
        <v>166</v>
      </c>
      <c r="L18" t="s">
        <v>77</v>
      </c>
      <c r="M18" t="s">
        <v>183</v>
      </c>
      <c r="N18" t="s">
        <v>184</v>
      </c>
      <c r="O18" t="s">
        <v>169</v>
      </c>
      <c r="P18" s="3">
        <v>45848.759707106481</v>
      </c>
      <c r="Q18" s="3">
        <v>45848.759707106481</v>
      </c>
    </row>
    <row r="19" spans="1:17" x14ac:dyDescent="0.2">
      <c r="A19" s="2" t="str">
        <f>HYPERLINK("https://portal.hubmapconsortium.org/browse/sample/613965dc4d58970e7f93354a227b2c09", "HBM882.LFRD.826")</f>
        <v>HBM882.LFRD.826</v>
      </c>
      <c r="B19" t="s">
        <v>148</v>
      </c>
      <c r="C19" t="s">
        <v>149</v>
      </c>
      <c r="D19" s="2" t="str">
        <f>HYPERLINK("https://portal.hubmapconsortium.org/browse/sample/647bb669b1302c49cada4274553543e1", "HBM436.JQXP.677")</f>
        <v>HBM436.JQXP.677</v>
      </c>
      <c r="E19" t="s">
        <v>368</v>
      </c>
      <c r="F19" t="s">
        <v>369</v>
      </c>
      <c r="G19" t="s">
        <v>20</v>
      </c>
      <c r="H19" t="s">
        <v>21</v>
      </c>
      <c r="I19" t="s">
        <v>22</v>
      </c>
      <c r="J19" s="2" t="b">
        <v>0</v>
      </c>
      <c r="K19" s="2" t="s">
        <v>166</v>
      </c>
      <c r="L19" t="s">
        <v>77</v>
      </c>
      <c r="M19" t="s">
        <v>183</v>
      </c>
      <c r="N19" t="s">
        <v>184</v>
      </c>
      <c r="O19" t="s">
        <v>169</v>
      </c>
      <c r="P19" s="3">
        <v>45819.755874363429</v>
      </c>
      <c r="Q19" s="3">
        <v>45819.755874363429</v>
      </c>
    </row>
    <row r="20" spans="1:17" x14ac:dyDescent="0.2">
      <c r="A20" s="2" t="str">
        <f>HYPERLINK("https://portal.hubmapconsortium.org/browse/sample/8ad7a2bf779ef2158973ea75fdf95e52", "HBM846.LWDS.728")</f>
        <v>HBM846.LWDS.728</v>
      </c>
      <c r="B20" t="s">
        <v>386</v>
      </c>
      <c r="C20" t="s">
        <v>541</v>
      </c>
      <c r="D20" s="2" t="str">
        <f>HYPERLINK("https://portal.hubmapconsortium.org/browse/sample/9954d4d8adb0a53a26179bc99b08b6c0", "HBM688.BJZV.237")</f>
        <v>HBM688.BJZV.237</v>
      </c>
      <c r="E20" t="s">
        <v>544</v>
      </c>
      <c r="F20" t="s">
        <v>545</v>
      </c>
      <c r="G20" t="s">
        <v>20</v>
      </c>
      <c r="H20" t="s">
        <v>21</v>
      </c>
      <c r="I20" t="s">
        <v>22</v>
      </c>
      <c r="J20" s="2" t="b">
        <v>0</v>
      </c>
      <c r="K20" s="2" t="s">
        <v>166</v>
      </c>
      <c r="L20" t="s">
        <v>77</v>
      </c>
      <c r="M20" t="s">
        <v>183</v>
      </c>
      <c r="N20" t="s">
        <v>184</v>
      </c>
      <c r="O20" t="s">
        <v>169</v>
      </c>
      <c r="P20" s="3">
        <v>45848.759786840281</v>
      </c>
      <c r="Q20" s="3">
        <v>45848.759786840281</v>
      </c>
    </row>
    <row r="21" spans="1:17" x14ac:dyDescent="0.2">
      <c r="A21" s="2" t="str">
        <f>HYPERLINK("https://portal.hubmapconsortium.org/browse/sample/1b331d093160c96406e8cdb994fcc594", "HBM922.RQZT.344")</f>
        <v>HBM922.RQZT.344</v>
      </c>
      <c r="B21" t="s">
        <v>386</v>
      </c>
      <c r="C21" t="s">
        <v>541</v>
      </c>
      <c r="D21" s="2" t="str">
        <f>HYPERLINK("https://portal.hubmapconsortium.org/browse/sample/9954d4d8adb0a53a26179bc99b08b6c0", "HBM688.BJZV.237")</f>
        <v>HBM688.BJZV.237</v>
      </c>
      <c r="E21" t="s">
        <v>558</v>
      </c>
      <c r="F21" t="s">
        <v>559</v>
      </c>
      <c r="G21" t="s">
        <v>20</v>
      </c>
      <c r="H21" t="s">
        <v>21</v>
      </c>
      <c r="I21" t="s">
        <v>22</v>
      </c>
      <c r="J21" s="2" t="b">
        <v>0</v>
      </c>
      <c r="K21" s="2" t="s">
        <v>166</v>
      </c>
      <c r="L21" t="s">
        <v>77</v>
      </c>
      <c r="M21" t="s">
        <v>183</v>
      </c>
      <c r="N21" t="s">
        <v>184</v>
      </c>
      <c r="O21" t="s">
        <v>169</v>
      </c>
      <c r="P21" s="3">
        <v>45819.755938692128</v>
      </c>
      <c r="Q21" s="3">
        <v>45819.755938692128</v>
      </c>
    </row>
    <row r="22" spans="1:17" x14ac:dyDescent="0.2">
      <c r="A22" s="2" t="str">
        <f>HYPERLINK("https://portal.hubmapconsortium.org/browse/sample/15f2d024399304b2abdd638374cfbad3", "HBM389.TBFG.856")</f>
        <v>HBM389.TBFG.856</v>
      </c>
      <c r="B22" t="s">
        <v>571</v>
      </c>
      <c r="C22" t="s">
        <v>716</v>
      </c>
      <c r="D22" s="2" t="str">
        <f>HYPERLINK("https://portal.hubmapconsortium.org/browse/sample/7f7f6faf1ed24ed62109de031b99a555", "HBM876.WSJF.893")</f>
        <v>HBM876.WSJF.893</v>
      </c>
      <c r="E22" t="s">
        <v>719</v>
      </c>
      <c r="F22" t="s">
        <v>720</v>
      </c>
      <c r="G22" t="s">
        <v>20</v>
      </c>
      <c r="H22" t="s">
        <v>21</v>
      </c>
      <c r="I22" t="s">
        <v>22</v>
      </c>
      <c r="J22" s="2" t="b">
        <v>0</v>
      </c>
      <c r="K22" s="2" t="s">
        <v>166</v>
      </c>
      <c r="L22" t="s">
        <v>77</v>
      </c>
      <c r="M22" t="s">
        <v>183</v>
      </c>
      <c r="N22" t="s">
        <v>184</v>
      </c>
      <c r="O22" t="s">
        <v>169</v>
      </c>
      <c r="P22" s="3">
        <v>45819.755970208331</v>
      </c>
      <c r="Q22" s="3">
        <v>45819.755970208331</v>
      </c>
    </row>
    <row r="23" spans="1:17" x14ac:dyDescent="0.2">
      <c r="A23" s="2" t="str">
        <f>HYPERLINK("https://portal.hubmapconsortium.org/browse/sample/fd4857b64ea839e2374c237199014aa2", "HBM747.RZKL.456")</f>
        <v>HBM747.RZKL.456</v>
      </c>
      <c r="B23" t="s">
        <v>571</v>
      </c>
      <c r="C23" t="s">
        <v>716</v>
      </c>
      <c r="D23" s="2" t="str">
        <f>HYPERLINK("https://portal.hubmapconsortium.org/browse/sample/7f7f6faf1ed24ed62109de031b99a555", "HBM876.WSJF.893")</f>
        <v>HBM876.WSJF.893</v>
      </c>
      <c r="E23" t="s">
        <v>734</v>
      </c>
      <c r="F23" t="s">
        <v>735</v>
      </c>
      <c r="G23" t="s">
        <v>20</v>
      </c>
      <c r="H23" t="s">
        <v>21</v>
      </c>
      <c r="I23" t="s">
        <v>22</v>
      </c>
      <c r="J23" s="2" t="b">
        <v>0</v>
      </c>
      <c r="K23" s="2" t="s">
        <v>166</v>
      </c>
      <c r="L23" t="s">
        <v>77</v>
      </c>
      <c r="M23" t="s">
        <v>183</v>
      </c>
      <c r="N23" t="s">
        <v>184</v>
      </c>
      <c r="O23" t="s">
        <v>169</v>
      </c>
      <c r="P23" s="3">
        <v>45848.759807905088</v>
      </c>
      <c r="Q23" s="3">
        <v>45848.759807905088</v>
      </c>
    </row>
  </sheetData>
  <sortState xmlns:xlrd2="http://schemas.microsoft.com/office/spreadsheetml/2017/richdata2" ref="A2:Q23">
    <sortCondition ref="C2:C23"/>
    <sortCondition ref="E2:E23"/>
  </sortState>
  <hyperlinks>
    <hyperlink ref="K2" r:id="rId1" xr:uid="{46E0583D-3C08-C943-8111-FDE42977FA10}"/>
    <hyperlink ref="K3" r:id="rId2" xr:uid="{DD6912BF-BB25-3E4D-A89E-93C1A9E69868}"/>
    <hyperlink ref="K4" r:id="rId3" xr:uid="{5AC31940-8616-BE46-B5A1-833927755DA5}"/>
    <hyperlink ref="K5" r:id="rId4" xr:uid="{C7A802D2-0DF4-7C43-A7BF-AF323E2E0359}"/>
    <hyperlink ref="K6" r:id="rId5" xr:uid="{61A107E0-091E-174C-AFF5-8546A0039AC5}"/>
    <hyperlink ref="K7" r:id="rId6" xr:uid="{05D5D198-50B1-1045-8ECF-37BCDA363C4B}"/>
    <hyperlink ref="K8" r:id="rId7" xr:uid="{672017C7-091A-3B44-8FDC-6663BE53FDE6}"/>
    <hyperlink ref="K9" r:id="rId8" xr:uid="{30388DAB-C8EE-9C46-8EE5-D39DC200EC6C}"/>
    <hyperlink ref="K10" r:id="rId9" xr:uid="{A416B813-ED84-4C44-9077-25C3D4ABEC96}"/>
    <hyperlink ref="K11" r:id="rId10" xr:uid="{94FC6F96-A41F-0E46-8E36-2EEFF3004318}"/>
    <hyperlink ref="K12" r:id="rId11" xr:uid="{BA8F6F76-1099-3A41-B2E6-EB8887AC5F3A}"/>
    <hyperlink ref="K13" r:id="rId12" xr:uid="{715B6230-712B-9446-8D37-7321E1C17473}"/>
    <hyperlink ref="K14" r:id="rId13" xr:uid="{E6A1E0EF-2E17-9442-B828-78F2AE0DD27A}"/>
    <hyperlink ref="K15" r:id="rId14" xr:uid="{9015C413-20FD-354E-8783-8B836563F410}"/>
    <hyperlink ref="K16" r:id="rId15" xr:uid="{8418F5B0-95D4-C44F-B854-51A5A8CB011F}"/>
    <hyperlink ref="K17" r:id="rId16" xr:uid="{30C86FD7-602C-4948-89CE-0F822713E0F9}"/>
    <hyperlink ref="K18" r:id="rId17" xr:uid="{C406B30D-3EB9-A544-9645-E2962CA46886}"/>
    <hyperlink ref="K19" r:id="rId18" xr:uid="{53378252-CF2F-D345-B60D-5470644A3910}"/>
    <hyperlink ref="K20" r:id="rId19" xr:uid="{40F0DC01-EB4D-BF4B-B181-0CCDB1B0D19C}"/>
    <hyperlink ref="K21" r:id="rId20" xr:uid="{65E1B488-EDF4-0341-BF18-E72CF12DC359}"/>
    <hyperlink ref="K22" r:id="rId21" xr:uid="{C13C12A5-2BB7-0645-B9F1-4382527506CD}"/>
    <hyperlink ref="K23" r:id="rId22" xr:uid="{FC178189-C279-2C44-824E-571C4283748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9CAB-F648-9040-9009-99C015821B06}">
  <dimension ref="A1:Q58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6" x14ac:dyDescent="0.2"/>
  <cols>
    <col min="5" max="5" width="17.6640625" bestFit="1" customWidth="1"/>
    <col min="6" max="6" width="84.5" bestFit="1" customWidth="1"/>
    <col min="16" max="16" width="18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3" spans="1:17" x14ac:dyDescent="0.2">
      <c r="A3" s="2" t="str">
        <f>HYPERLINK("https://portal.hubmapconsortium.org/browse/sample/4d37f6438e1f5fda391faa1af108f6c7", "HBM366.HSKK.872")</f>
        <v>HBM366.HSKK.872</v>
      </c>
      <c r="B3" t="s">
        <v>386</v>
      </c>
      <c r="C3" t="s">
        <v>387</v>
      </c>
      <c r="D3" s="2" t="str">
        <f>HYPERLINK("https://portal.hubmapconsortium.org/browse/sample/74aeefbc8e5eb1ab9adba5bf2fd8be8b", "HBM652.DLTR.837")</f>
        <v>HBM652.DLTR.837</v>
      </c>
      <c r="E3" t="s">
        <v>392</v>
      </c>
      <c r="F3" t="s">
        <v>393</v>
      </c>
      <c r="G3" t="s">
        <v>20</v>
      </c>
      <c r="H3" t="s">
        <v>21</v>
      </c>
      <c r="I3" t="s">
        <v>22</v>
      </c>
      <c r="J3" s="2" t="b">
        <v>0</v>
      </c>
      <c r="K3" s="2" t="s">
        <v>235</v>
      </c>
      <c r="L3" t="s">
        <v>24</v>
      </c>
      <c r="M3" t="s">
        <v>183</v>
      </c>
      <c r="N3" t="s">
        <v>184</v>
      </c>
      <c r="O3" t="s">
        <v>169</v>
      </c>
      <c r="P3" s="3">
        <v>45513.820141863427</v>
      </c>
      <c r="Q3" s="3">
        <v>45513.820141863427</v>
      </c>
    </row>
    <row r="4" spans="1:17" x14ac:dyDescent="0.2">
      <c r="A4" s="2" t="str">
        <f>HYPERLINK("https://portal.hubmapconsortium.org/browse/sample/9b7869e2f162911c5463461de84f65d5", "HBM328.GMCX.869")</f>
        <v>HBM328.GMCX.869</v>
      </c>
      <c r="B4" t="s">
        <v>386</v>
      </c>
      <c r="C4" t="s">
        <v>387</v>
      </c>
      <c r="D4" s="2" t="str">
        <f>HYPERLINK("https://portal.hubmapconsortium.org/browse/sample/74aeefbc8e5eb1ab9adba5bf2fd8be8b", "HBM652.DLTR.837")</f>
        <v>HBM652.DLTR.837</v>
      </c>
      <c r="E4" t="s">
        <v>402</v>
      </c>
      <c r="F4" t="s">
        <v>403</v>
      </c>
      <c r="G4" t="s">
        <v>20</v>
      </c>
      <c r="H4" t="s">
        <v>21</v>
      </c>
      <c r="I4" t="s">
        <v>22</v>
      </c>
      <c r="J4" s="2" t="b">
        <v>0</v>
      </c>
      <c r="K4" s="2" t="s">
        <v>235</v>
      </c>
      <c r="L4" t="s">
        <v>24</v>
      </c>
      <c r="M4" t="s">
        <v>183</v>
      </c>
      <c r="N4" t="s">
        <v>184</v>
      </c>
      <c r="O4" t="s">
        <v>169</v>
      </c>
      <c r="P4" s="3">
        <v>45513.820156134258</v>
      </c>
      <c r="Q4" s="3">
        <v>45513.820156134258</v>
      </c>
    </row>
    <row r="5" spans="1:17" x14ac:dyDescent="0.2">
      <c r="A5" s="2" t="str">
        <f>HYPERLINK("https://portal.hubmapconsortium.org/browse/sample/c465bdb0fab311092a6fc7627319651c", "HBM596.HCDM.759")</f>
        <v>HBM596.HCDM.759</v>
      </c>
      <c r="B5" t="s">
        <v>386</v>
      </c>
      <c r="C5" t="s">
        <v>408</v>
      </c>
      <c r="D5" s="2" t="str">
        <f t="shared" ref="D5:D20" si="0">HYPERLINK("https://portal.hubmapconsortium.org/browse/sample/6d3a61d32c777efa3bef04dc1f698e91", "HBM657.BGFJ.898")</f>
        <v>HBM657.BGFJ.898</v>
      </c>
      <c r="E5" t="s">
        <v>411</v>
      </c>
      <c r="F5" t="s">
        <v>412</v>
      </c>
      <c r="G5" t="s">
        <v>20</v>
      </c>
      <c r="H5" t="s">
        <v>21</v>
      </c>
      <c r="I5" t="s">
        <v>22</v>
      </c>
      <c r="J5" s="2" t="b">
        <v>0</v>
      </c>
      <c r="K5" s="2" t="s">
        <v>235</v>
      </c>
      <c r="L5" t="s">
        <v>24</v>
      </c>
      <c r="M5" t="s">
        <v>183</v>
      </c>
      <c r="N5" t="s">
        <v>184</v>
      </c>
      <c r="O5" t="s">
        <v>169</v>
      </c>
      <c r="P5" s="3">
        <v>45513.820174814813</v>
      </c>
      <c r="Q5" s="3">
        <v>45513.820174814813</v>
      </c>
    </row>
    <row r="6" spans="1:17" x14ac:dyDescent="0.2">
      <c r="A6" s="2" t="str">
        <f>HYPERLINK("https://portal.hubmapconsortium.org/browse/sample/c37ed4c41e9525e5de6d504ad2eeec9d", "HBM339.PSWC.722")</f>
        <v>HBM339.PSWC.722</v>
      </c>
      <c r="B6" t="s">
        <v>386</v>
      </c>
      <c r="C6" t="s">
        <v>408</v>
      </c>
      <c r="D6" s="2" t="str">
        <f t="shared" si="0"/>
        <v>HBM657.BGFJ.898</v>
      </c>
      <c r="E6" t="s">
        <v>421</v>
      </c>
      <c r="F6" t="s">
        <v>422</v>
      </c>
      <c r="G6" t="s">
        <v>20</v>
      </c>
      <c r="H6" t="s">
        <v>21</v>
      </c>
      <c r="I6" t="s">
        <v>22</v>
      </c>
      <c r="J6" s="2" t="b">
        <v>0</v>
      </c>
      <c r="K6" s="2" t="s">
        <v>235</v>
      </c>
      <c r="L6" t="s">
        <v>24</v>
      </c>
      <c r="M6" t="s">
        <v>183</v>
      </c>
      <c r="N6" t="s">
        <v>184</v>
      </c>
      <c r="O6" t="s">
        <v>169</v>
      </c>
      <c r="P6" s="3">
        <v>45513.820189988422</v>
      </c>
      <c r="Q6" s="3">
        <v>45513.820189988422</v>
      </c>
    </row>
    <row r="7" spans="1:17" x14ac:dyDescent="0.2">
      <c r="A7" s="2" t="str">
        <f>HYPERLINK("https://portal.hubmapconsortium.org/browse/sample/d326e190b8f36ae5cf24b27d87410f3e", "HBM424.XLFL.435")</f>
        <v>HBM424.XLFL.435</v>
      </c>
      <c r="B7" t="s">
        <v>386</v>
      </c>
      <c r="C7" t="s">
        <v>408</v>
      </c>
      <c r="D7" s="2" t="str">
        <f t="shared" si="0"/>
        <v>HBM657.BGFJ.898</v>
      </c>
      <c r="E7" t="s">
        <v>431</v>
      </c>
      <c r="F7" t="s">
        <v>432</v>
      </c>
      <c r="G7" t="s">
        <v>20</v>
      </c>
      <c r="H7" t="s">
        <v>21</v>
      </c>
      <c r="I7" t="s">
        <v>22</v>
      </c>
      <c r="J7" s="2" t="b">
        <v>0</v>
      </c>
      <c r="K7" s="2" t="s">
        <v>235</v>
      </c>
      <c r="L7" t="s">
        <v>24</v>
      </c>
      <c r="M7" t="s">
        <v>183</v>
      </c>
      <c r="N7" t="s">
        <v>184</v>
      </c>
      <c r="O7" t="s">
        <v>169</v>
      </c>
      <c r="P7" s="3">
        <v>45513.82020451389</v>
      </c>
      <c r="Q7" s="3">
        <v>45513.82020451389</v>
      </c>
    </row>
    <row r="8" spans="1:17" x14ac:dyDescent="0.2">
      <c r="A8" s="2" t="str">
        <f>HYPERLINK("https://portal.hubmapconsortium.org/browse/sample/2fe46bb8143435629673b00067420279", "HBM782.JXLD.548")</f>
        <v>HBM782.JXLD.548</v>
      </c>
      <c r="B8" t="s">
        <v>386</v>
      </c>
      <c r="C8" t="s">
        <v>408</v>
      </c>
      <c r="D8" s="2" t="str">
        <f t="shared" si="0"/>
        <v>HBM657.BGFJ.898</v>
      </c>
      <c r="E8" t="s">
        <v>441</v>
      </c>
      <c r="F8" t="s">
        <v>442</v>
      </c>
      <c r="G8" t="s">
        <v>20</v>
      </c>
      <c r="H8" t="s">
        <v>21</v>
      </c>
      <c r="I8" t="s">
        <v>22</v>
      </c>
      <c r="J8" s="2" t="b">
        <v>0</v>
      </c>
      <c r="K8" s="2" t="s">
        <v>235</v>
      </c>
      <c r="L8" t="s">
        <v>24</v>
      </c>
      <c r="M8" t="s">
        <v>183</v>
      </c>
      <c r="N8" t="s">
        <v>184</v>
      </c>
      <c r="O8" t="s">
        <v>169</v>
      </c>
      <c r="P8" s="3">
        <v>45513.820218865738</v>
      </c>
      <c r="Q8" s="3">
        <v>45513.820218865738</v>
      </c>
    </row>
    <row r="9" spans="1:17" x14ac:dyDescent="0.2">
      <c r="A9" s="2" t="str">
        <f>HYPERLINK("https://portal.hubmapconsortium.org/browse/sample/ae3cb316943b64ba78d205173f682a9e", "HBM777.KBWH.686")</f>
        <v>HBM777.KBWH.686</v>
      </c>
      <c r="B9" t="s">
        <v>386</v>
      </c>
      <c r="C9" t="s">
        <v>408</v>
      </c>
      <c r="D9" s="2" t="str">
        <f t="shared" si="0"/>
        <v>HBM657.BGFJ.898</v>
      </c>
      <c r="E9" t="s">
        <v>451</v>
      </c>
      <c r="F9" t="s">
        <v>452</v>
      </c>
      <c r="G9" t="s">
        <v>20</v>
      </c>
      <c r="H9" t="s">
        <v>21</v>
      </c>
      <c r="I9" t="s">
        <v>22</v>
      </c>
      <c r="J9" s="2" t="b">
        <v>0</v>
      </c>
      <c r="K9" s="2" t="s">
        <v>235</v>
      </c>
      <c r="L9" t="s">
        <v>24</v>
      </c>
      <c r="M9" t="s">
        <v>183</v>
      </c>
      <c r="N9" t="s">
        <v>184</v>
      </c>
      <c r="O9" t="s">
        <v>169</v>
      </c>
      <c r="P9" s="3">
        <v>45513.820232986109</v>
      </c>
      <c r="Q9" s="3">
        <v>45513.820232986109</v>
      </c>
    </row>
    <row r="10" spans="1:17" x14ac:dyDescent="0.2">
      <c r="A10" s="2" t="str">
        <f>HYPERLINK("https://portal.hubmapconsortium.org/browse/sample/c07a55ca0b8836aaca793b4bffe60005", "HBM657.SLXF.568")</f>
        <v>HBM657.SLXF.568</v>
      </c>
      <c r="B10" t="s">
        <v>386</v>
      </c>
      <c r="C10" t="s">
        <v>408</v>
      </c>
      <c r="D10" s="2" t="str">
        <f t="shared" si="0"/>
        <v>HBM657.BGFJ.898</v>
      </c>
      <c r="E10" t="s">
        <v>457</v>
      </c>
      <c r="F10" t="s">
        <v>458</v>
      </c>
      <c r="G10" t="s">
        <v>20</v>
      </c>
      <c r="H10" t="s">
        <v>21</v>
      </c>
      <c r="I10" t="s">
        <v>22</v>
      </c>
      <c r="J10" s="2" t="b">
        <v>0</v>
      </c>
      <c r="K10" s="2" t="s">
        <v>235</v>
      </c>
      <c r="L10" t="s">
        <v>24</v>
      </c>
      <c r="M10" t="s">
        <v>183</v>
      </c>
      <c r="N10" t="s">
        <v>184</v>
      </c>
      <c r="O10" t="s">
        <v>169</v>
      </c>
      <c r="P10" s="3">
        <v>45513.820247175929</v>
      </c>
      <c r="Q10" s="3">
        <v>45513.820247175929</v>
      </c>
    </row>
    <row r="11" spans="1:17" x14ac:dyDescent="0.2">
      <c r="A11" s="2" t="str">
        <f>HYPERLINK("https://portal.hubmapconsortium.org/browse/sample/07ad40458a0c62069910f96651a5ddc4", "HBM355.GTKP.929")</f>
        <v>HBM355.GTKP.929</v>
      </c>
      <c r="B11" t="s">
        <v>386</v>
      </c>
      <c r="C11" t="s">
        <v>408</v>
      </c>
      <c r="D11" s="2" t="str">
        <f t="shared" si="0"/>
        <v>HBM657.BGFJ.898</v>
      </c>
      <c r="E11" t="s">
        <v>463</v>
      </c>
      <c r="F11" t="s">
        <v>464</v>
      </c>
      <c r="G11" t="s">
        <v>20</v>
      </c>
      <c r="H11" t="s">
        <v>21</v>
      </c>
      <c r="I11" t="s">
        <v>22</v>
      </c>
      <c r="J11" s="2" t="b">
        <v>0</v>
      </c>
      <c r="K11" s="2" t="s">
        <v>235</v>
      </c>
      <c r="L11" t="s">
        <v>24</v>
      </c>
      <c r="M11" t="s">
        <v>183</v>
      </c>
      <c r="N11" t="s">
        <v>184</v>
      </c>
      <c r="O11" t="s">
        <v>169</v>
      </c>
      <c r="P11" s="3">
        <v>45513.82026197917</v>
      </c>
      <c r="Q11" s="3">
        <v>45513.82026197917</v>
      </c>
    </row>
    <row r="12" spans="1:17" x14ac:dyDescent="0.2">
      <c r="A12" s="2" t="str">
        <f>HYPERLINK("https://portal.hubmapconsortium.org/browse/sample/f33981b51848d7f23b45c154c00c8256", "HBM657.FQNL.356")</f>
        <v>HBM657.FQNL.356</v>
      </c>
      <c r="B12" t="s">
        <v>386</v>
      </c>
      <c r="C12" t="s">
        <v>408</v>
      </c>
      <c r="D12" s="2" t="str">
        <f t="shared" si="0"/>
        <v>HBM657.BGFJ.898</v>
      </c>
      <c r="E12" t="s">
        <v>469</v>
      </c>
      <c r="F12" t="s">
        <v>470</v>
      </c>
      <c r="G12" t="s">
        <v>20</v>
      </c>
      <c r="H12" t="s">
        <v>21</v>
      </c>
      <c r="I12" t="s">
        <v>22</v>
      </c>
      <c r="J12" s="2" t="b">
        <v>0</v>
      </c>
      <c r="K12" s="2" t="s">
        <v>235</v>
      </c>
      <c r="L12" t="s">
        <v>24</v>
      </c>
      <c r="M12" t="s">
        <v>183</v>
      </c>
      <c r="N12" t="s">
        <v>184</v>
      </c>
      <c r="O12" t="s">
        <v>169</v>
      </c>
      <c r="P12" s="3">
        <v>45513.820277164348</v>
      </c>
      <c r="Q12" s="3">
        <v>45513.820277164348</v>
      </c>
    </row>
    <row r="13" spans="1:17" x14ac:dyDescent="0.2">
      <c r="A13" s="2" t="str">
        <f>HYPERLINK("https://portal.hubmapconsortium.org/browse/sample/e7dee83c1c8ab8b526848a201c359db3", "HBM334.KSXR.544")</f>
        <v>HBM334.KSXR.544</v>
      </c>
      <c r="B13" t="s">
        <v>386</v>
      </c>
      <c r="C13" t="s">
        <v>408</v>
      </c>
      <c r="D13" s="2" t="str">
        <f t="shared" si="0"/>
        <v>HBM657.BGFJ.898</v>
      </c>
      <c r="E13" t="s">
        <v>477</v>
      </c>
      <c r="F13" t="s">
        <v>478</v>
      </c>
      <c r="G13" t="s">
        <v>20</v>
      </c>
      <c r="H13" t="s">
        <v>21</v>
      </c>
      <c r="I13" t="s">
        <v>22</v>
      </c>
      <c r="J13" s="2" t="b">
        <v>0</v>
      </c>
      <c r="K13" s="2" t="s">
        <v>235</v>
      </c>
      <c r="L13" t="s">
        <v>24</v>
      </c>
      <c r="M13" t="s">
        <v>183</v>
      </c>
      <c r="N13" t="s">
        <v>184</v>
      </c>
      <c r="O13" t="s">
        <v>169</v>
      </c>
      <c r="P13" s="3">
        <v>45513.820291631942</v>
      </c>
      <c r="Q13" s="3">
        <v>45513.820291631942</v>
      </c>
    </row>
    <row r="14" spans="1:17" x14ac:dyDescent="0.2">
      <c r="A14" s="2" t="str">
        <f>HYPERLINK("https://portal.hubmapconsortium.org/browse/sample/448723f7087c83130a8e7323fa996390", "HBM422.TRQX.267")</f>
        <v>HBM422.TRQX.267</v>
      </c>
      <c r="B14" t="s">
        <v>386</v>
      </c>
      <c r="C14" t="s">
        <v>408</v>
      </c>
      <c r="D14" s="2" t="str">
        <f t="shared" si="0"/>
        <v>HBM657.BGFJ.898</v>
      </c>
      <c r="E14" t="s">
        <v>487</v>
      </c>
      <c r="F14" t="s">
        <v>488</v>
      </c>
      <c r="G14" t="s">
        <v>20</v>
      </c>
      <c r="H14" t="s">
        <v>21</v>
      </c>
      <c r="I14" t="s">
        <v>22</v>
      </c>
      <c r="J14" s="2" t="b">
        <v>0</v>
      </c>
      <c r="K14" s="2" t="s">
        <v>235</v>
      </c>
      <c r="L14" t="s">
        <v>24</v>
      </c>
      <c r="M14" t="s">
        <v>183</v>
      </c>
      <c r="N14" t="s">
        <v>184</v>
      </c>
      <c r="O14" t="s">
        <v>169</v>
      </c>
      <c r="P14" s="3">
        <v>45513.820306180547</v>
      </c>
      <c r="Q14" s="3">
        <v>45513.820306180547</v>
      </c>
    </row>
    <row r="15" spans="1:17" x14ac:dyDescent="0.2">
      <c r="A15" s="2" t="str">
        <f>HYPERLINK("https://portal.hubmapconsortium.org/browse/sample/15c005a60474187851a5ea2255fe4af2", "HBM982.MXZJ.936")</f>
        <v>HBM982.MXZJ.936</v>
      </c>
      <c r="B15" t="s">
        <v>386</v>
      </c>
      <c r="C15" t="s">
        <v>408</v>
      </c>
      <c r="D15" s="2" t="str">
        <f t="shared" si="0"/>
        <v>HBM657.BGFJ.898</v>
      </c>
      <c r="E15" t="s">
        <v>497</v>
      </c>
      <c r="F15" t="s">
        <v>498</v>
      </c>
      <c r="G15" t="s">
        <v>20</v>
      </c>
      <c r="H15" t="s">
        <v>21</v>
      </c>
      <c r="I15" t="s">
        <v>22</v>
      </c>
      <c r="J15" s="2" t="b">
        <v>0</v>
      </c>
      <c r="K15" s="2" t="s">
        <v>235</v>
      </c>
      <c r="L15" t="s">
        <v>24</v>
      </c>
      <c r="M15" t="s">
        <v>183</v>
      </c>
      <c r="N15" t="s">
        <v>184</v>
      </c>
      <c r="O15" t="s">
        <v>169</v>
      </c>
      <c r="P15" s="3">
        <v>45513.820319826387</v>
      </c>
      <c r="Q15" s="3">
        <v>45513.820319826387</v>
      </c>
    </row>
    <row r="16" spans="1:17" x14ac:dyDescent="0.2">
      <c r="A16" s="2" t="str">
        <f>HYPERLINK("https://portal.hubmapconsortium.org/browse/sample/24805fa03b46ae75dbb20983f349aa06", "HBM836.KRJT.789")</f>
        <v>HBM836.KRJT.789</v>
      </c>
      <c r="B16" t="s">
        <v>386</v>
      </c>
      <c r="C16" t="s">
        <v>408</v>
      </c>
      <c r="D16" s="2" t="str">
        <f t="shared" si="0"/>
        <v>HBM657.BGFJ.898</v>
      </c>
      <c r="E16" t="s">
        <v>507</v>
      </c>
      <c r="F16" t="s">
        <v>508</v>
      </c>
      <c r="G16" t="s">
        <v>20</v>
      </c>
      <c r="H16" t="s">
        <v>21</v>
      </c>
      <c r="I16" t="s">
        <v>22</v>
      </c>
      <c r="J16" s="2" t="b">
        <v>0</v>
      </c>
      <c r="K16" s="2" t="s">
        <v>235</v>
      </c>
      <c r="L16" t="s">
        <v>24</v>
      </c>
      <c r="M16" t="s">
        <v>183</v>
      </c>
      <c r="N16" t="s">
        <v>184</v>
      </c>
      <c r="O16" t="s">
        <v>169</v>
      </c>
      <c r="P16" s="3">
        <v>45513.820334097218</v>
      </c>
      <c r="Q16" s="3">
        <v>45513.820334097218</v>
      </c>
    </row>
    <row r="17" spans="1:17" x14ac:dyDescent="0.2">
      <c r="A17" s="2" t="str">
        <f>HYPERLINK("https://portal.hubmapconsortium.org/browse/sample/602698fe2419ad6bbd6b1d2d4d22ec47", "HBM785.JKLL.763")</f>
        <v>HBM785.JKLL.763</v>
      </c>
      <c r="B17" t="s">
        <v>386</v>
      </c>
      <c r="C17" t="s">
        <v>408</v>
      </c>
      <c r="D17" s="2" t="str">
        <f t="shared" si="0"/>
        <v>HBM657.BGFJ.898</v>
      </c>
      <c r="E17" t="s">
        <v>517</v>
      </c>
      <c r="F17" t="s">
        <v>518</v>
      </c>
      <c r="G17" t="s">
        <v>20</v>
      </c>
      <c r="H17" t="s">
        <v>21</v>
      </c>
      <c r="I17" t="s">
        <v>22</v>
      </c>
      <c r="J17" s="2" t="b">
        <v>0</v>
      </c>
      <c r="K17" s="2" t="s">
        <v>235</v>
      </c>
      <c r="L17" t="s">
        <v>24</v>
      </c>
      <c r="M17" t="s">
        <v>183</v>
      </c>
      <c r="N17" t="s">
        <v>184</v>
      </c>
      <c r="O17" t="s">
        <v>169</v>
      </c>
      <c r="P17" s="3">
        <v>45513.820350972223</v>
      </c>
      <c r="Q17" s="3">
        <v>45513.820350972223</v>
      </c>
    </row>
    <row r="18" spans="1:17" x14ac:dyDescent="0.2">
      <c r="A18" s="2" t="str">
        <f>HYPERLINK("https://portal.hubmapconsortium.org/browse/sample/0af20feb7c21a05542035ef0937619c3", "HBM762.TQCL.964")</f>
        <v>HBM762.TQCL.964</v>
      </c>
      <c r="B18" t="s">
        <v>386</v>
      </c>
      <c r="C18" t="s">
        <v>408</v>
      </c>
      <c r="D18" s="2" t="str">
        <f t="shared" si="0"/>
        <v>HBM657.BGFJ.898</v>
      </c>
      <c r="E18" t="s">
        <v>523</v>
      </c>
      <c r="F18" t="s">
        <v>524</v>
      </c>
      <c r="G18" t="s">
        <v>20</v>
      </c>
      <c r="H18" t="s">
        <v>21</v>
      </c>
      <c r="I18" t="s">
        <v>22</v>
      </c>
      <c r="J18" s="2" t="b">
        <v>0</v>
      </c>
      <c r="K18" s="2" t="s">
        <v>235</v>
      </c>
      <c r="L18" t="s">
        <v>24</v>
      </c>
      <c r="M18" t="s">
        <v>183</v>
      </c>
      <c r="N18" t="s">
        <v>184</v>
      </c>
      <c r="O18" t="s">
        <v>169</v>
      </c>
      <c r="P18" s="3">
        <v>45513.820365150466</v>
      </c>
      <c r="Q18" s="3">
        <v>45513.820365150466</v>
      </c>
    </row>
    <row r="19" spans="1:17" x14ac:dyDescent="0.2">
      <c r="A19" s="2" t="str">
        <f>HYPERLINK("https://portal.hubmapconsortium.org/browse/sample/51e02105b9c3506cb59448d7a39f7fdc", "HBM369.WFRL.789")</f>
        <v>HBM369.WFRL.789</v>
      </c>
      <c r="B19" t="s">
        <v>386</v>
      </c>
      <c r="C19" t="s">
        <v>408</v>
      </c>
      <c r="D19" s="2" t="str">
        <f t="shared" si="0"/>
        <v>HBM657.BGFJ.898</v>
      </c>
      <c r="E19" t="s">
        <v>529</v>
      </c>
      <c r="F19" t="s">
        <v>530</v>
      </c>
      <c r="G19" t="s">
        <v>20</v>
      </c>
      <c r="H19" t="s">
        <v>21</v>
      </c>
      <c r="I19" t="s">
        <v>22</v>
      </c>
      <c r="J19" s="2" t="b">
        <v>0</v>
      </c>
      <c r="K19" s="2" t="s">
        <v>235</v>
      </c>
      <c r="L19" t="s">
        <v>24</v>
      </c>
      <c r="M19" t="s">
        <v>183</v>
      </c>
      <c r="N19" t="s">
        <v>184</v>
      </c>
      <c r="O19" t="s">
        <v>169</v>
      </c>
      <c r="P19" s="3">
        <v>45513.820379351862</v>
      </c>
      <c r="Q19" s="3">
        <v>45513.820379351862</v>
      </c>
    </row>
    <row r="20" spans="1:17" x14ac:dyDescent="0.2">
      <c r="A20" s="2" t="str">
        <f>HYPERLINK("https://portal.hubmapconsortium.org/browse/sample/6228541447bb4fa895745c07c577d900", "HBM963.NCFZ.365")</f>
        <v>HBM963.NCFZ.365</v>
      </c>
      <c r="B20" t="s">
        <v>386</v>
      </c>
      <c r="C20" t="s">
        <v>408</v>
      </c>
      <c r="D20" s="2" t="str">
        <f t="shared" si="0"/>
        <v>HBM657.BGFJ.898</v>
      </c>
      <c r="E20" t="s">
        <v>535</v>
      </c>
      <c r="F20" t="s">
        <v>536</v>
      </c>
      <c r="G20" t="s">
        <v>20</v>
      </c>
      <c r="H20" t="s">
        <v>21</v>
      </c>
      <c r="I20" t="s">
        <v>22</v>
      </c>
      <c r="J20" s="2" t="b">
        <v>0</v>
      </c>
      <c r="K20" s="2" t="s">
        <v>235</v>
      </c>
      <c r="L20" t="s">
        <v>24</v>
      </c>
      <c r="M20" t="s">
        <v>183</v>
      </c>
      <c r="N20" t="s">
        <v>184</v>
      </c>
      <c r="O20" t="s">
        <v>169</v>
      </c>
      <c r="P20" s="3">
        <v>45513.820393842587</v>
      </c>
      <c r="Q20" s="3">
        <v>45513.820393842587</v>
      </c>
    </row>
    <row r="21" spans="1:17" x14ac:dyDescent="0.2">
      <c r="A21" s="2" t="str">
        <f>HYPERLINK("https://portal.hubmapconsortium.org/browse/sample/3b321ff898b337bc744cdb5246bb2b66", "HBM632.NWMV.648")</f>
        <v>HBM632.NWMV.648</v>
      </c>
      <c r="B21" t="s">
        <v>571</v>
      </c>
      <c r="C21" t="s">
        <v>572</v>
      </c>
      <c r="D21" s="2" t="str">
        <f>HYPERLINK("https://portal.hubmapconsortium.org/browse/sample/bc7918805c94ad395dd26c50573d1e40", "HBM367.CMSK.938")</f>
        <v>HBM367.CMSK.938</v>
      </c>
      <c r="E21" t="s">
        <v>573</v>
      </c>
      <c r="F21" t="s">
        <v>393</v>
      </c>
      <c r="G21" t="s">
        <v>20</v>
      </c>
      <c r="H21" t="s">
        <v>21</v>
      </c>
      <c r="I21" t="s">
        <v>22</v>
      </c>
      <c r="J21" s="2" t="b">
        <v>0</v>
      </c>
      <c r="K21" s="2" t="s">
        <v>166</v>
      </c>
      <c r="L21" t="s">
        <v>24</v>
      </c>
      <c r="M21" t="s">
        <v>183</v>
      </c>
      <c r="N21" t="s">
        <v>184</v>
      </c>
      <c r="O21" t="s">
        <v>169</v>
      </c>
      <c r="P21" s="3">
        <v>45524.808498067126</v>
      </c>
      <c r="Q21" s="3">
        <v>45524.829865</v>
      </c>
    </row>
    <row r="22" spans="1:17" x14ac:dyDescent="0.2">
      <c r="A22" s="2" t="str">
        <f>HYPERLINK("https://portal.hubmapconsortium.org/browse/sample/355f10dbae3499c2389e28d3402b4bc2", "HBM373.SGMG.635")</f>
        <v>HBM373.SGMG.635</v>
      </c>
      <c r="B22" t="s">
        <v>571</v>
      </c>
      <c r="C22" t="s">
        <v>572</v>
      </c>
      <c r="D22" s="2" t="str">
        <f>HYPERLINK("https://portal.hubmapconsortium.org/browse/sample/bc7918805c94ad395dd26c50573d1e40", "HBM367.CMSK.938")</f>
        <v>HBM367.CMSK.938</v>
      </c>
      <c r="E22" t="s">
        <v>584</v>
      </c>
      <c r="F22" t="s">
        <v>403</v>
      </c>
      <c r="G22" t="s">
        <v>20</v>
      </c>
      <c r="H22" t="s">
        <v>21</v>
      </c>
      <c r="I22" t="s">
        <v>22</v>
      </c>
      <c r="J22" s="2" t="b">
        <v>0</v>
      </c>
      <c r="K22" s="2" t="s">
        <v>166</v>
      </c>
      <c r="L22" t="s">
        <v>24</v>
      </c>
      <c r="M22" t="s">
        <v>183</v>
      </c>
      <c r="N22" t="s">
        <v>184</v>
      </c>
      <c r="O22" t="s">
        <v>169</v>
      </c>
      <c r="P22" s="3">
        <v>45524.80851239583</v>
      </c>
      <c r="Q22" s="3">
        <v>45524.830240266201</v>
      </c>
    </row>
    <row r="23" spans="1:17" x14ac:dyDescent="0.2">
      <c r="A23" s="2" t="str">
        <f>HYPERLINK("https://portal.hubmapconsortium.org/browse/sample/ff88b31649d8c2ec5fe591a3ccc9bea7", "HBM562.FBNJ.879")</f>
        <v>HBM562.FBNJ.879</v>
      </c>
      <c r="B23" t="s">
        <v>571</v>
      </c>
      <c r="C23" t="s">
        <v>589</v>
      </c>
      <c r="D23" s="2" t="str">
        <f t="shared" ref="D23:D38" si="1">HYPERLINK("https://portal.hubmapconsortium.org/browse/sample/4037bc931cabe8556ee08b0cc44ccf22", "HBM346.FQHN.263")</f>
        <v>HBM346.FQHN.263</v>
      </c>
      <c r="E23" t="s">
        <v>592</v>
      </c>
      <c r="F23" t="s">
        <v>593</v>
      </c>
      <c r="G23" t="s">
        <v>20</v>
      </c>
      <c r="H23" t="s">
        <v>21</v>
      </c>
      <c r="I23" t="s">
        <v>22</v>
      </c>
      <c r="J23" s="2" t="b">
        <v>0</v>
      </c>
      <c r="K23" s="2" t="s">
        <v>166</v>
      </c>
      <c r="L23" t="s">
        <v>24</v>
      </c>
      <c r="M23" t="s">
        <v>183</v>
      </c>
      <c r="N23" t="s">
        <v>184</v>
      </c>
      <c r="O23" t="s">
        <v>169</v>
      </c>
      <c r="P23" s="3">
        <v>45524.808559016201</v>
      </c>
      <c r="Q23" s="3">
        <v>45524.831487187497</v>
      </c>
    </row>
    <row r="24" spans="1:17" x14ac:dyDescent="0.2">
      <c r="A24" s="2" t="str">
        <f>HYPERLINK("https://portal.hubmapconsortium.org/browse/sample/1519c39f9bd92961a4bb6fa4746b5c19", "HBM522.LBPW.434")</f>
        <v>HBM522.LBPW.434</v>
      </c>
      <c r="B24" t="s">
        <v>571</v>
      </c>
      <c r="C24" t="s">
        <v>589</v>
      </c>
      <c r="D24" s="2" t="str">
        <f t="shared" si="1"/>
        <v>HBM346.FQHN.263</v>
      </c>
      <c r="E24" t="s">
        <v>602</v>
      </c>
      <c r="F24" t="s">
        <v>603</v>
      </c>
      <c r="G24" t="s">
        <v>20</v>
      </c>
      <c r="H24" t="s">
        <v>21</v>
      </c>
      <c r="I24" t="s">
        <v>22</v>
      </c>
      <c r="J24" s="2" t="b">
        <v>0</v>
      </c>
      <c r="K24" s="2" t="s">
        <v>166</v>
      </c>
      <c r="L24" t="s">
        <v>24</v>
      </c>
      <c r="M24" t="s">
        <v>183</v>
      </c>
      <c r="N24" t="s">
        <v>184</v>
      </c>
      <c r="O24" t="s">
        <v>169</v>
      </c>
      <c r="P24" s="3">
        <v>45524.808576747688</v>
      </c>
      <c r="Q24" s="3">
        <v>45524.833245949078</v>
      </c>
    </row>
    <row r="25" spans="1:17" x14ac:dyDescent="0.2">
      <c r="A25" s="2" t="str">
        <f>HYPERLINK("https://portal.hubmapconsortium.org/browse/sample/e96f89a956299fd33a7a47eec2883492", "HBM447.STGW.566")</f>
        <v>HBM447.STGW.566</v>
      </c>
      <c r="B25" t="s">
        <v>571</v>
      </c>
      <c r="C25" t="s">
        <v>589</v>
      </c>
      <c r="D25" s="2" t="str">
        <f t="shared" si="1"/>
        <v>HBM346.FQHN.263</v>
      </c>
      <c r="E25" t="s">
        <v>612</v>
      </c>
      <c r="F25" t="s">
        <v>613</v>
      </c>
      <c r="G25" t="s">
        <v>20</v>
      </c>
      <c r="H25" t="s">
        <v>21</v>
      </c>
      <c r="I25" t="s">
        <v>22</v>
      </c>
      <c r="J25" s="2" t="b">
        <v>0</v>
      </c>
      <c r="K25" s="2" t="s">
        <v>166</v>
      </c>
      <c r="L25" t="s">
        <v>24</v>
      </c>
      <c r="M25" t="s">
        <v>183</v>
      </c>
      <c r="N25" t="s">
        <v>184</v>
      </c>
      <c r="O25" t="s">
        <v>169</v>
      </c>
      <c r="P25" s="3">
        <v>45524.808593344897</v>
      </c>
      <c r="Q25" s="3">
        <v>45524.834308425918</v>
      </c>
    </row>
    <row r="26" spans="1:17" x14ac:dyDescent="0.2">
      <c r="A26" s="2" t="str">
        <f>HYPERLINK("https://portal.hubmapconsortium.org/browse/sample/36eef8c0b9a37bb565603cd1c85ec3df", "HBM222.QLRM.474")</f>
        <v>HBM222.QLRM.474</v>
      </c>
      <c r="B26" t="s">
        <v>571</v>
      </c>
      <c r="C26" t="s">
        <v>589</v>
      </c>
      <c r="D26" s="2" t="str">
        <f t="shared" si="1"/>
        <v>HBM346.FQHN.263</v>
      </c>
      <c r="E26" t="s">
        <v>622</v>
      </c>
      <c r="F26" t="s">
        <v>442</v>
      </c>
      <c r="G26" t="s">
        <v>20</v>
      </c>
      <c r="H26" t="s">
        <v>21</v>
      </c>
      <c r="I26" t="s">
        <v>22</v>
      </c>
      <c r="J26" s="2" t="b">
        <v>0</v>
      </c>
      <c r="K26" s="2" t="s">
        <v>166</v>
      </c>
      <c r="L26" t="s">
        <v>24</v>
      </c>
      <c r="M26" t="s">
        <v>183</v>
      </c>
      <c r="N26" t="s">
        <v>184</v>
      </c>
      <c r="O26" t="s">
        <v>169</v>
      </c>
      <c r="P26" s="3">
        <v>45524.808608101848</v>
      </c>
      <c r="Q26" s="3">
        <v>45524.835314953707</v>
      </c>
    </row>
    <row r="27" spans="1:17" x14ac:dyDescent="0.2">
      <c r="A27" s="2" t="str">
        <f>HYPERLINK("https://portal.hubmapconsortium.org/browse/sample/7df8828dbc048226ba4de8af7c96cd68", "HBM656.FVDD.535")</f>
        <v>HBM656.FVDD.535</v>
      </c>
      <c r="B27" t="s">
        <v>571</v>
      </c>
      <c r="C27" t="s">
        <v>589</v>
      </c>
      <c r="D27" s="2" t="str">
        <f t="shared" si="1"/>
        <v>HBM346.FQHN.263</v>
      </c>
      <c r="E27" t="s">
        <v>631</v>
      </c>
      <c r="F27" t="s">
        <v>632</v>
      </c>
      <c r="G27" t="s">
        <v>20</v>
      </c>
      <c r="H27" t="s">
        <v>21</v>
      </c>
      <c r="I27" t="s">
        <v>22</v>
      </c>
      <c r="J27" s="2" t="b">
        <v>0</v>
      </c>
      <c r="K27" s="2" t="s">
        <v>166</v>
      </c>
      <c r="L27" t="s">
        <v>24</v>
      </c>
      <c r="M27" t="s">
        <v>183</v>
      </c>
      <c r="N27" t="s">
        <v>184</v>
      </c>
      <c r="O27" t="s">
        <v>169</v>
      </c>
      <c r="P27" s="3">
        <v>45524.808623425917</v>
      </c>
      <c r="Q27" s="3">
        <v>45524.832261018521</v>
      </c>
    </row>
    <row r="28" spans="1:17" x14ac:dyDescent="0.2">
      <c r="A28" s="2" t="str">
        <f>HYPERLINK("https://portal.hubmapconsortium.org/browse/sample/65a20e445ba80e4be908de06237449ee", "HBM784.TTPH.787")</f>
        <v>HBM784.TTPH.787</v>
      </c>
      <c r="B28" t="s">
        <v>571</v>
      </c>
      <c r="C28" t="s">
        <v>589</v>
      </c>
      <c r="D28" s="2" t="str">
        <f t="shared" si="1"/>
        <v>HBM346.FQHN.263</v>
      </c>
      <c r="E28" t="s">
        <v>637</v>
      </c>
      <c r="F28" t="s">
        <v>638</v>
      </c>
      <c r="G28" t="s">
        <v>20</v>
      </c>
      <c r="H28" t="s">
        <v>21</v>
      </c>
      <c r="I28" t="s">
        <v>22</v>
      </c>
      <c r="J28" s="2" t="b">
        <v>0</v>
      </c>
      <c r="K28" s="2" t="s">
        <v>166</v>
      </c>
      <c r="L28" t="s">
        <v>24</v>
      </c>
      <c r="M28" t="s">
        <v>183</v>
      </c>
      <c r="N28" t="s">
        <v>184</v>
      </c>
      <c r="O28" t="s">
        <v>169</v>
      </c>
      <c r="P28" s="3">
        <v>45524.808637696762</v>
      </c>
      <c r="Q28" s="3">
        <v>45524.83362351852</v>
      </c>
    </row>
    <row r="29" spans="1:17" x14ac:dyDescent="0.2">
      <c r="A29" s="2" t="str">
        <f>HYPERLINK("https://portal.hubmapconsortium.org/browse/sample/fd5ddd35bea47ea7cfe63635d4a61809", "HBM778.XCCC.233")</f>
        <v>HBM778.XCCC.233</v>
      </c>
      <c r="B29" t="s">
        <v>571</v>
      </c>
      <c r="C29" t="s">
        <v>589</v>
      </c>
      <c r="D29" s="2" t="str">
        <f t="shared" si="1"/>
        <v>HBM346.FQHN.263</v>
      </c>
      <c r="E29" t="s">
        <v>643</v>
      </c>
      <c r="F29" t="s">
        <v>644</v>
      </c>
      <c r="G29" t="s">
        <v>20</v>
      </c>
      <c r="H29" t="s">
        <v>21</v>
      </c>
      <c r="I29" t="s">
        <v>22</v>
      </c>
      <c r="J29" s="2" t="b">
        <v>0</v>
      </c>
      <c r="K29" s="2" t="s">
        <v>166</v>
      </c>
      <c r="L29" t="s">
        <v>24</v>
      </c>
      <c r="M29" t="s">
        <v>183</v>
      </c>
      <c r="N29" t="s">
        <v>184</v>
      </c>
      <c r="O29" t="s">
        <v>169</v>
      </c>
      <c r="P29" s="3">
        <v>45524.808652418978</v>
      </c>
      <c r="Q29" s="3">
        <v>45524.834689270843</v>
      </c>
    </row>
    <row r="30" spans="1:17" x14ac:dyDescent="0.2">
      <c r="A30" s="2" t="str">
        <f>HYPERLINK("https://portal.hubmapconsortium.org/browse/sample/20df7f7c70bf54fdf64672d7167170f8", "HBM784.WMJH.325")</f>
        <v>HBM784.WMJH.325</v>
      </c>
      <c r="B30" t="s">
        <v>571</v>
      </c>
      <c r="C30" t="s">
        <v>589</v>
      </c>
      <c r="D30" s="2" t="str">
        <f t="shared" si="1"/>
        <v>HBM346.FQHN.263</v>
      </c>
      <c r="E30" t="s">
        <v>649</v>
      </c>
      <c r="F30" t="s">
        <v>470</v>
      </c>
      <c r="G30" t="s">
        <v>20</v>
      </c>
      <c r="H30" t="s">
        <v>21</v>
      </c>
      <c r="I30" t="s">
        <v>22</v>
      </c>
      <c r="J30" s="2" t="b">
        <v>0</v>
      </c>
      <c r="K30" s="2" t="s">
        <v>166</v>
      </c>
      <c r="L30" t="s">
        <v>24</v>
      </c>
      <c r="M30" t="s">
        <v>183</v>
      </c>
      <c r="N30" t="s">
        <v>184</v>
      </c>
      <c r="O30" t="s">
        <v>169</v>
      </c>
      <c r="P30" s="3">
        <v>45524.808667025463</v>
      </c>
      <c r="Q30" s="3">
        <v>45524.835621990736</v>
      </c>
    </row>
    <row r="31" spans="1:17" x14ac:dyDescent="0.2">
      <c r="A31" s="2" t="str">
        <f>HYPERLINK("https://portal.hubmapconsortium.org/browse/sample/c6bf65a6f51e223c68c5f0f17ee29d66", "HBM883.XWKG.389")</f>
        <v>HBM883.XWKG.389</v>
      </c>
      <c r="B31" t="s">
        <v>571</v>
      </c>
      <c r="C31" t="s">
        <v>589</v>
      </c>
      <c r="D31" s="2" t="str">
        <f t="shared" si="1"/>
        <v>HBM346.FQHN.263</v>
      </c>
      <c r="E31" t="s">
        <v>656</v>
      </c>
      <c r="F31" t="s">
        <v>478</v>
      </c>
      <c r="G31" t="s">
        <v>20</v>
      </c>
      <c r="H31" t="s">
        <v>21</v>
      </c>
      <c r="I31" t="s">
        <v>22</v>
      </c>
      <c r="J31" s="2" t="b">
        <v>0</v>
      </c>
      <c r="K31" s="2" t="s">
        <v>166</v>
      </c>
      <c r="L31" t="s">
        <v>24</v>
      </c>
      <c r="M31" t="s">
        <v>183</v>
      </c>
      <c r="N31" t="s">
        <v>184</v>
      </c>
      <c r="O31" t="s">
        <v>169</v>
      </c>
      <c r="P31" s="3">
        <v>45524.808681388888</v>
      </c>
      <c r="Q31" s="3">
        <v>45524.856737465278</v>
      </c>
    </row>
    <row r="32" spans="1:17" x14ac:dyDescent="0.2">
      <c r="A32" s="2" t="str">
        <f>HYPERLINK("https://portal.hubmapconsortium.org/browse/sample/fec2ac8001a99274fdd4e1e2a10e3e3d", "HBM275.LLQV.649")</f>
        <v>HBM275.LLQV.649</v>
      </c>
      <c r="B32" t="s">
        <v>571</v>
      </c>
      <c r="C32" t="s">
        <v>589</v>
      </c>
      <c r="D32" s="2" t="str">
        <f t="shared" si="1"/>
        <v>HBM346.FQHN.263</v>
      </c>
      <c r="E32" t="s">
        <v>665</v>
      </c>
      <c r="F32" t="s">
        <v>666</v>
      </c>
      <c r="G32" t="s">
        <v>20</v>
      </c>
      <c r="H32" t="s">
        <v>21</v>
      </c>
      <c r="I32" t="s">
        <v>22</v>
      </c>
      <c r="J32" s="2" t="b">
        <v>0</v>
      </c>
      <c r="K32" s="2" t="s">
        <v>166</v>
      </c>
      <c r="L32" t="s">
        <v>24</v>
      </c>
      <c r="M32" t="s">
        <v>183</v>
      </c>
      <c r="N32" t="s">
        <v>184</v>
      </c>
      <c r="O32" t="s">
        <v>169</v>
      </c>
      <c r="P32" s="3">
        <v>45524.808696041669</v>
      </c>
      <c r="Q32" s="3">
        <v>45524.857791331022</v>
      </c>
    </row>
    <row r="33" spans="1:17" x14ac:dyDescent="0.2">
      <c r="A33" s="2" t="str">
        <f>HYPERLINK("https://portal.hubmapconsortium.org/browse/sample/84d957b62890a88f084b11bf8847cea5", "HBM746.QLGX.352")</f>
        <v>HBM746.QLGX.352</v>
      </c>
      <c r="B33" t="s">
        <v>571</v>
      </c>
      <c r="C33" t="s">
        <v>589</v>
      </c>
      <c r="D33" s="2" t="str">
        <f t="shared" si="1"/>
        <v>HBM346.FQHN.263</v>
      </c>
      <c r="E33" t="s">
        <v>675</v>
      </c>
      <c r="F33" t="s">
        <v>676</v>
      </c>
      <c r="G33" t="s">
        <v>20</v>
      </c>
      <c r="H33" t="s">
        <v>21</v>
      </c>
      <c r="I33" t="s">
        <v>22</v>
      </c>
      <c r="J33" s="2" t="b">
        <v>0</v>
      </c>
      <c r="K33" s="2" t="s">
        <v>166</v>
      </c>
      <c r="L33" t="s">
        <v>24</v>
      </c>
      <c r="M33" t="s">
        <v>183</v>
      </c>
      <c r="N33" t="s">
        <v>184</v>
      </c>
      <c r="O33" t="s">
        <v>169</v>
      </c>
      <c r="P33" s="3">
        <v>45524.808710763893</v>
      </c>
      <c r="Q33" s="3">
        <v>45524.858906203714</v>
      </c>
    </row>
    <row r="34" spans="1:17" x14ac:dyDescent="0.2">
      <c r="A34" s="2" t="str">
        <f>HYPERLINK("https://portal.hubmapconsortium.org/browse/sample/aa1c6646f92bd8c7785f1c8b4bb0f194", "HBM692.JNSB.587")</f>
        <v>HBM692.JNSB.587</v>
      </c>
      <c r="B34" t="s">
        <v>571</v>
      </c>
      <c r="C34" t="s">
        <v>589</v>
      </c>
      <c r="D34" s="2" t="str">
        <f t="shared" si="1"/>
        <v>HBM346.FQHN.263</v>
      </c>
      <c r="E34" t="s">
        <v>685</v>
      </c>
      <c r="F34" t="s">
        <v>508</v>
      </c>
      <c r="G34" t="s">
        <v>20</v>
      </c>
      <c r="H34" t="s">
        <v>21</v>
      </c>
      <c r="I34" t="s">
        <v>22</v>
      </c>
      <c r="J34" s="2" t="b">
        <v>0</v>
      </c>
      <c r="K34" s="2" t="s">
        <v>166</v>
      </c>
      <c r="L34" t="s">
        <v>24</v>
      </c>
      <c r="M34" t="s">
        <v>183</v>
      </c>
      <c r="N34" t="s">
        <v>184</v>
      </c>
      <c r="O34" t="s">
        <v>169</v>
      </c>
      <c r="P34" s="3">
        <v>45524.808724282397</v>
      </c>
      <c r="Q34" s="3">
        <v>45524.860425266197</v>
      </c>
    </row>
    <row r="35" spans="1:17" x14ac:dyDescent="0.2">
      <c r="A35" s="2" t="str">
        <f>HYPERLINK("https://portal.hubmapconsortium.org/browse/sample/4f2283d7dde5f09dac4e5ed0f32ebaa7", "HBM748.PRMV.689")</f>
        <v>HBM748.PRMV.689</v>
      </c>
      <c r="B35" t="s">
        <v>571</v>
      </c>
      <c r="C35" t="s">
        <v>589</v>
      </c>
      <c r="D35" s="2" t="str">
        <f t="shared" si="1"/>
        <v>HBM346.FQHN.263</v>
      </c>
      <c r="E35" t="s">
        <v>694</v>
      </c>
      <c r="F35" t="s">
        <v>518</v>
      </c>
      <c r="G35" t="s">
        <v>20</v>
      </c>
      <c r="H35" t="s">
        <v>21</v>
      </c>
      <c r="I35" t="s">
        <v>22</v>
      </c>
      <c r="J35" s="2" t="b">
        <v>0</v>
      </c>
      <c r="K35" s="2" t="s">
        <v>166</v>
      </c>
      <c r="L35" t="s">
        <v>24</v>
      </c>
      <c r="M35" t="s">
        <v>183</v>
      </c>
      <c r="N35" t="s">
        <v>184</v>
      </c>
      <c r="O35" t="s">
        <v>169</v>
      </c>
      <c r="P35" s="3">
        <v>45524.808739016204</v>
      </c>
      <c r="Q35" s="3">
        <v>45524.857123831018</v>
      </c>
    </row>
    <row r="36" spans="1:17" x14ac:dyDescent="0.2">
      <c r="A36" s="2" t="str">
        <f>HYPERLINK("https://portal.hubmapconsortium.org/browse/sample/ac60f355bd03e8f7c1b4f42d7bec057b", "HBM484.JDFG.896")</f>
        <v>HBM484.JDFG.896</v>
      </c>
      <c r="B36" t="s">
        <v>571</v>
      </c>
      <c r="C36" t="s">
        <v>589</v>
      </c>
      <c r="D36" s="2" t="str">
        <f t="shared" si="1"/>
        <v>HBM346.FQHN.263</v>
      </c>
      <c r="E36" t="s">
        <v>699</v>
      </c>
      <c r="F36" t="s">
        <v>700</v>
      </c>
      <c r="G36" t="s">
        <v>20</v>
      </c>
      <c r="H36" t="s">
        <v>21</v>
      </c>
      <c r="I36" t="s">
        <v>22</v>
      </c>
      <c r="J36" s="2" t="b">
        <v>0</v>
      </c>
      <c r="K36" s="2" t="s">
        <v>166</v>
      </c>
      <c r="L36" t="s">
        <v>24</v>
      </c>
      <c r="M36" t="s">
        <v>183</v>
      </c>
      <c r="N36" t="s">
        <v>184</v>
      </c>
      <c r="O36" t="s">
        <v>169</v>
      </c>
      <c r="P36" s="3">
        <v>45524.808753460653</v>
      </c>
      <c r="Q36" s="3">
        <v>45524.858132696761</v>
      </c>
    </row>
    <row r="37" spans="1:17" x14ac:dyDescent="0.2">
      <c r="A37" s="2" t="str">
        <f>HYPERLINK("https://portal.hubmapconsortium.org/browse/sample/b5516bc487d13aeeb8c2777266f22bf3", "HBM764.TPWG.624")</f>
        <v>HBM764.TPWG.624</v>
      </c>
      <c r="B37" t="s">
        <v>571</v>
      </c>
      <c r="C37" t="s">
        <v>589</v>
      </c>
      <c r="D37" s="2" t="str">
        <f t="shared" si="1"/>
        <v>HBM346.FQHN.263</v>
      </c>
      <c r="E37" t="s">
        <v>705</v>
      </c>
      <c r="F37" t="s">
        <v>706</v>
      </c>
      <c r="G37" t="s">
        <v>20</v>
      </c>
      <c r="H37" t="s">
        <v>21</v>
      </c>
      <c r="I37" t="s">
        <v>22</v>
      </c>
      <c r="J37" s="2" t="b">
        <v>0</v>
      </c>
      <c r="K37" s="2" t="s">
        <v>166</v>
      </c>
      <c r="L37" t="s">
        <v>24</v>
      </c>
      <c r="M37" t="s">
        <v>183</v>
      </c>
      <c r="N37" t="s">
        <v>184</v>
      </c>
      <c r="O37" t="s">
        <v>169</v>
      </c>
      <c r="P37" s="3">
        <v>45524.808767627314</v>
      </c>
      <c r="Q37" s="3">
        <v>45524.859479872677</v>
      </c>
    </row>
    <row r="38" spans="1:17" x14ac:dyDescent="0.2">
      <c r="A38" s="2" t="str">
        <f>HYPERLINK("https://portal.hubmapconsortium.org/browse/sample/a2fedcc6676e43cf18d0bf3176dbfade", "HBM222.FPPN.275")</f>
        <v>HBM222.FPPN.275</v>
      </c>
      <c r="B38" t="s">
        <v>571</v>
      </c>
      <c r="C38" t="s">
        <v>589</v>
      </c>
      <c r="D38" s="2" t="str">
        <f t="shared" si="1"/>
        <v>HBM346.FQHN.263</v>
      </c>
      <c r="E38" t="s">
        <v>711</v>
      </c>
      <c r="F38" t="s">
        <v>536</v>
      </c>
      <c r="G38" t="s">
        <v>20</v>
      </c>
      <c r="H38" t="s">
        <v>21</v>
      </c>
      <c r="I38" t="s">
        <v>22</v>
      </c>
      <c r="J38" s="2" t="b">
        <v>0</v>
      </c>
      <c r="K38" s="2" t="s">
        <v>166</v>
      </c>
      <c r="L38" t="s">
        <v>24</v>
      </c>
      <c r="M38" t="s">
        <v>183</v>
      </c>
      <c r="N38" t="s">
        <v>184</v>
      </c>
      <c r="O38" t="s">
        <v>169</v>
      </c>
      <c r="P38" s="3">
        <v>45524.808783078697</v>
      </c>
      <c r="Q38" s="3">
        <v>45524.860760405092</v>
      </c>
    </row>
    <row r="39" spans="1:17" x14ac:dyDescent="0.2">
      <c r="A39" s="2" t="str">
        <f>HYPERLINK("https://portal.hubmapconsortium.org/browse/sample/867144de994a0ea55085996042c171fc", "HBM939.LSZG.387")</f>
        <v>HBM939.LSZG.387</v>
      </c>
      <c r="B39" t="s">
        <v>571</v>
      </c>
      <c r="C39" t="s">
        <v>746</v>
      </c>
      <c r="D39" s="2" t="str">
        <f>HYPERLINK("https://portal.hubmapconsortium.org/browse/sample/a71ec2c3319d3c6e51febfd5f115347d", "HBM797.FCBQ.962")</f>
        <v>HBM797.FCBQ.962</v>
      </c>
      <c r="E39" t="s">
        <v>747</v>
      </c>
      <c r="F39" t="s">
        <v>748</v>
      </c>
      <c r="G39" t="s">
        <v>20</v>
      </c>
      <c r="H39" t="s">
        <v>21</v>
      </c>
      <c r="I39" t="s">
        <v>22</v>
      </c>
      <c r="J39" s="2" t="b">
        <v>0</v>
      </c>
      <c r="K39" s="2" t="s">
        <v>166</v>
      </c>
      <c r="L39" t="s">
        <v>24</v>
      </c>
      <c r="M39" t="s">
        <v>183</v>
      </c>
      <c r="N39" t="s">
        <v>184</v>
      </c>
      <c r="O39" t="s">
        <v>169</v>
      </c>
      <c r="P39" s="3">
        <v>45524.808526909721</v>
      </c>
      <c r="Q39" s="3">
        <v>45545.773341365741</v>
      </c>
    </row>
    <row r="40" spans="1:17" x14ac:dyDescent="0.2">
      <c r="A40" s="2" t="str">
        <f>HYPERLINK("https://portal.hubmapconsortium.org/browse/sample/46760b0051be67d5e510ddada587f7f7", "HBM828.WKZT.367")</f>
        <v>HBM828.WKZT.367</v>
      </c>
      <c r="B40" t="s">
        <v>571</v>
      </c>
      <c r="C40" t="s">
        <v>746</v>
      </c>
      <c r="D40" s="2" t="str">
        <f>HYPERLINK("https://portal.hubmapconsortium.org/browse/sample/a71ec2c3319d3c6e51febfd5f115347d", "HBM797.FCBQ.962")</f>
        <v>HBM797.FCBQ.962</v>
      </c>
      <c r="E40" t="s">
        <v>757</v>
      </c>
      <c r="F40" t="s">
        <v>758</v>
      </c>
      <c r="G40" t="s">
        <v>20</v>
      </c>
      <c r="H40" t="s">
        <v>21</v>
      </c>
      <c r="I40" t="s">
        <v>22</v>
      </c>
      <c r="J40" s="2" t="b">
        <v>0</v>
      </c>
      <c r="K40" s="2" t="s">
        <v>166</v>
      </c>
      <c r="L40" t="s">
        <v>24</v>
      </c>
      <c r="M40" t="s">
        <v>183</v>
      </c>
      <c r="N40" t="s">
        <v>184</v>
      </c>
      <c r="O40" t="s">
        <v>169</v>
      </c>
      <c r="P40" s="3">
        <v>45524.808543310188</v>
      </c>
      <c r="Q40" s="3">
        <v>45545.774236053243</v>
      </c>
    </row>
    <row r="41" spans="1:17" x14ac:dyDescent="0.2">
      <c r="A41" s="2" t="str">
        <f>HYPERLINK("https://portal.hubmapconsortium.org/browse/sample/cea26eb7cb1e9876a6ad1bc89035247f", "HBM559.QKPC.674")</f>
        <v>HBM559.QKPC.674</v>
      </c>
      <c r="B41" t="s">
        <v>763</v>
      </c>
      <c r="C41" t="s">
        <v>764</v>
      </c>
      <c r="D41" s="2" t="str">
        <f>HYPERLINK("https://portal.hubmapconsortium.org/browse/sample/fbc0f117563df0ca324dd2001e9b7df6", "HBM387.FLPV.658")</f>
        <v>HBM387.FLPV.658</v>
      </c>
      <c r="E41" t="s">
        <v>765</v>
      </c>
      <c r="F41" t="s">
        <v>393</v>
      </c>
      <c r="G41" t="s">
        <v>20</v>
      </c>
      <c r="H41" t="s">
        <v>21</v>
      </c>
      <c r="I41" t="s">
        <v>22</v>
      </c>
      <c r="J41" s="2" t="b">
        <v>0</v>
      </c>
      <c r="K41" s="2" t="s">
        <v>766</v>
      </c>
      <c r="L41" t="s">
        <v>24</v>
      </c>
      <c r="M41" t="s">
        <v>167</v>
      </c>
      <c r="N41" t="s">
        <v>168</v>
      </c>
      <c r="O41" t="s">
        <v>169</v>
      </c>
      <c r="P41" s="3">
        <v>45726.673257511567</v>
      </c>
      <c r="Q41" s="3">
        <v>45726.673257511567</v>
      </c>
    </row>
    <row r="42" spans="1:17" x14ac:dyDescent="0.2">
      <c r="A42" s="2" t="str">
        <f>HYPERLINK("https://portal.hubmapconsortium.org/browse/sample/c27662d4328d039ef39891811c46b0b6", "HBM398.WLHH.959")</f>
        <v>HBM398.WLHH.959</v>
      </c>
      <c r="B42" t="s">
        <v>763</v>
      </c>
      <c r="C42" t="s">
        <v>764</v>
      </c>
      <c r="D42" s="2" t="str">
        <f>HYPERLINK("https://portal.hubmapconsortium.org/browse/sample/fbc0f117563df0ca324dd2001e9b7df6", "HBM387.FLPV.658")</f>
        <v>HBM387.FLPV.658</v>
      </c>
      <c r="E42" t="s">
        <v>774</v>
      </c>
      <c r="F42" t="s">
        <v>403</v>
      </c>
      <c r="G42" t="s">
        <v>20</v>
      </c>
      <c r="H42" t="s">
        <v>21</v>
      </c>
      <c r="I42" t="s">
        <v>22</v>
      </c>
      <c r="J42" s="2" t="b">
        <v>0</v>
      </c>
      <c r="K42" s="2" t="s">
        <v>766</v>
      </c>
      <c r="L42" t="s">
        <v>24</v>
      </c>
      <c r="M42" t="s">
        <v>167</v>
      </c>
      <c r="N42" t="s">
        <v>168</v>
      </c>
      <c r="O42" t="s">
        <v>169</v>
      </c>
      <c r="P42" s="3">
        <v>45726.673278622693</v>
      </c>
      <c r="Q42" s="3">
        <v>45726.673278622693</v>
      </c>
    </row>
    <row r="43" spans="1:17" x14ac:dyDescent="0.2">
      <c r="A43" s="2" t="str">
        <f>HYPERLINK("https://portal.hubmapconsortium.org/browse/sample/75c08239e35bc97e3dbbabf8e8c112d9", "HBM644.BXBT.854")</f>
        <v>HBM644.BXBT.854</v>
      </c>
      <c r="B43" t="s">
        <v>763</v>
      </c>
      <c r="C43" t="s">
        <v>779</v>
      </c>
      <c r="D43" s="2" t="str">
        <f t="shared" ref="D43:D58" si="2">HYPERLINK("https://portal.hubmapconsortium.org/browse/sample/76b132346676d19ecc52dd0e7f6ec220", "HBM758.PXTF.453")</f>
        <v>HBM758.PXTF.453</v>
      </c>
      <c r="E43" t="s">
        <v>782</v>
      </c>
      <c r="F43" t="s">
        <v>412</v>
      </c>
      <c r="G43" t="s">
        <v>20</v>
      </c>
      <c r="H43" t="s">
        <v>21</v>
      </c>
      <c r="I43" t="s">
        <v>22</v>
      </c>
      <c r="J43" s="2" t="b">
        <v>0</v>
      </c>
      <c r="K43" s="2" t="s">
        <v>766</v>
      </c>
      <c r="L43" t="s">
        <v>24</v>
      </c>
      <c r="M43" t="s">
        <v>167</v>
      </c>
      <c r="N43" t="s">
        <v>168</v>
      </c>
      <c r="O43" t="s">
        <v>169</v>
      </c>
      <c r="P43" s="3">
        <v>45726.673469872687</v>
      </c>
      <c r="Q43" s="3">
        <v>45726.673469872687</v>
      </c>
    </row>
    <row r="44" spans="1:17" x14ac:dyDescent="0.2">
      <c r="A44" s="2" t="str">
        <f>HYPERLINK("https://portal.hubmapconsortium.org/browse/sample/96b3e9c17028ab5d032a59c14e5a6899", "HBM799.TMTM.736")</f>
        <v>HBM799.TMTM.736</v>
      </c>
      <c r="B44" t="s">
        <v>763</v>
      </c>
      <c r="C44" t="s">
        <v>779</v>
      </c>
      <c r="D44" s="2" t="str">
        <f t="shared" si="2"/>
        <v>HBM758.PXTF.453</v>
      </c>
      <c r="E44" t="s">
        <v>790</v>
      </c>
      <c r="F44" t="s">
        <v>603</v>
      </c>
      <c r="G44" t="s">
        <v>20</v>
      </c>
      <c r="H44" t="s">
        <v>21</v>
      </c>
      <c r="I44" t="s">
        <v>22</v>
      </c>
      <c r="J44" s="2" t="b">
        <v>0</v>
      </c>
      <c r="K44" s="2" t="s">
        <v>766</v>
      </c>
      <c r="L44" t="s">
        <v>24</v>
      </c>
      <c r="M44" t="s">
        <v>167</v>
      </c>
      <c r="N44" t="s">
        <v>168</v>
      </c>
      <c r="O44" t="s">
        <v>169</v>
      </c>
      <c r="P44" s="3">
        <v>45726.673490092588</v>
      </c>
      <c r="Q44" s="3">
        <v>45726.673490092588</v>
      </c>
    </row>
    <row r="45" spans="1:17" x14ac:dyDescent="0.2">
      <c r="A45" s="2" t="str">
        <f>HYPERLINK("https://portal.hubmapconsortium.org/browse/sample/4d174a3a9dc9b4f49b55dae9b1e64285", "HBM468.VNWZ.253")</f>
        <v>HBM468.VNWZ.253</v>
      </c>
      <c r="B45" t="s">
        <v>763</v>
      </c>
      <c r="C45" t="s">
        <v>779</v>
      </c>
      <c r="D45" s="2" t="str">
        <f t="shared" si="2"/>
        <v>HBM758.PXTF.453</v>
      </c>
      <c r="E45" t="s">
        <v>798</v>
      </c>
      <c r="F45" t="s">
        <v>613</v>
      </c>
      <c r="G45" t="s">
        <v>20</v>
      </c>
      <c r="H45" t="s">
        <v>21</v>
      </c>
      <c r="I45" t="s">
        <v>22</v>
      </c>
      <c r="J45" s="2" t="b">
        <v>0</v>
      </c>
      <c r="K45" s="2" t="s">
        <v>766</v>
      </c>
      <c r="L45" t="s">
        <v>24</v>
      </c>
      <c r="M45" t="s">
        <v>167</v>
      </c>
      <c r="N45" t="s">
        <v>168</v>
      </c>
      <c r="O45" t="s">
        <v>169</v>
      </c>
      <c r="P45" s="3">
        <v>45726.673510868059</v>
      </c>
      <c r="Q45" s="3">
        <v>45726.673510868059</v>
      </c>
    </row>
    <row r="46" spans="1:17" x14ac:dyDescent="0.2">
      <c r="A46" s="2" t="str">
        <f>HYPERLINK("https://portal.hubmapconsortium.org/browse/sample/3600541121630e1b581b168181ebe226", "HBM779.DPWP.654")</f>
        <v>HBM779.DPWP.654</v>
      </c>
      <c r="B46" t="s">
        <v>763</v>
      </c>
      <c r="C46" t="s">
        <v>779</v>
      </c>
      <c r="D46" s="2" t="str">
        <f t="shared" si="2"/>
        <v>HBM758.PXTF.453</v>
      </c>
      <c r="E46" t="s">
        <v>806</v>
      </c>
      <c r="F46" t="s">
        <v>442</v>
      </c>
      <c r="G46" t="s">
        <v>20</v>
      </c>
      <c r="H46" t="s">
        <v>21</v>
      </c>
      <c r="I46" t="s">
        <v>22</v>
      </c>
      <c r="J46" s="2" t="b">
        <v>0</v>
      </c>
      <c r="K46" s="2" t="s">
        <v>766</v>
      </c>
      <c r="L46" t="s">
        <v>24</v>
      </c>
      <c r="M46" t="s">
        <v>167</v>
      </c>
      <c r="N46" t="s">
        <v>168</v>
      </c>
      <c r="O46" t="s">
        <v>169</v>
      </c>
      <c r="P46" s="3">
        <v>45726.673530011583</v>
      </c>
      <c r="Q46" s="3">
        <v>45726.673530011583</v>
      </c>
    </row>
    <row r="47" spans="1:17" x14ac:dyDescent="0.2">
      <c r="A47" s="2" t="str">
        <f>HYPERLINK("https://portal.hubmapconsortium.org/browse/sample/7fb3ad0f70ef08483fdbab460506f6b3", "HBM652.SZDJ.278")</f>
        <v>HBM652.SZDJ.278</v>
      </c>
      <c r="B47" t="s">
        <v>763</v>
      </c>
      <c r="C47" t="s">
        <v>779</v>
      </c>
      <c r="D47" s="2" t="str">
        <f t="shared" si="2"/>
        <v>HBM758.PXTF.453</v>
      </c>
      <c r="E47" t="s">
        <v>814</v>
      </c>
      <c r="F47" t="s">
        <v>452</v>
      </c>
      <c r="G47" t="s">
        <v>20</v>
      </c>
      <c r="H47" t="s">
        <v>21</v>
      </c>
      <c r="I47" t="s">
        <v>22</v>
      </c>
      <c r="J47" s="2" t="b">
        <v>0</v>
      </c>
      <c r="K47" s="2" t="s">
        <v>766</v>
      </c>
      <c r="L47" t="s">
        <v>24</v>
      </c>
      <c r="M47" t="s">
        <v>167</v>
      </c>
      <c r="N47" t="s">
        <v>168</v>
      </c>
      <c r="O47" t="s">
        <v>169</v>
      </c>
      <c r="P47" s="3">
        <v>45726.673549409723</v>
      </c>
      <c r="Q47" s="3">
        <v>45726.673549409723</v>
      </c>
    </row>
    <row r="48" spans="1:17" x14ac:dyDescent="0.2">
      <c r="A48" s="2" t="str">
        <f>HYPERLINK("https://portal.hubmapconsortium.org/browse/sample/d22cb193ee59d61adb22fb3b9293721c", "HBM256.BPXQ.842")</f>
        <v>HBM256.BPXQ.842</v>
      </c>
      <c r="B48" t="s">
        <v>763</v>
      </c>
      <c r="C48" t="s">
        <v>779</v>
      </c>
      <c r="D48" s="2" t="str">
        <f t="shared" si="2"/>
        <v>HBM758.PXTF.453</v>
      </c>
      <c r="E48" t="s">
        <v>819</v>
      </c>
      <c r="F48" t="s">
        <v>638</v>
      </c>
      <c r="G48" t="s">
        <v>20</v>
      </c>
      <c r="H48" t="s">
        <v>21</v>
      </c>
      <c r="I48" t="s">
        <v>22</v>
      </c>
      <c r="J48" s="2" t="b">
        <v>0</v>
      </c>
      <c r="K48" s="2" t="s">
        <v>766</v>
      </c>
      <c r="L48" t="s">
        <v>24</v>
      </c>
      <c r="M48" t="s">
        <v>167</v>
      </c>
      <c r="N48" t="s">
        <v>168</v>
      </c>
      <c r="O48" t="s">
        <v>169</v>
      </c>
      <c r="P48" s="3">
        <v>45726.673570914347</v>
      </c>
      <c r="Q48" s="3">
        <v>45726.673570914347</v>
      </c>
    </row>
    <row r="49" spans="1:17" x14ac:dyDescent="0.2">
      <c r="A49" s="2" t="str">
        <f>HYPERLINK("https://portal.hubmapconsortium.org/browse/sample/95b523d352a0e595b54ade5cef40bf7b", "HBM988.HPTN.664")</f>
        <v>HBM988.HPTN.664</v>
      </c>
      <c r="B49" t="s">
        <v>763</v>
      </c>
      <c r="C49" t="s">
        <v>779</v>
      </c>
      <c r="D49" s="2" t="str">
        <f t="shared" si="2"/>
        <v>HBM758.PXTF.453</v>
      </c>
      <c r="E49" t="s">
        <v>824</v>
      </c>
      <c r="F49" t="s">
        <v>644</v>
      </c>
      <c r="G49" t="s">
        <v>20</v>
      </c>
      <c r="H49" t="s">
        <v>21</v>
      </c>
      <c r="I49" t="s">
        <v>22</v>
      </c>
      <c r="J49" s="2" t="b">
        <v>0</v>
      </c>
      <c r="K49" s="2" t="s">
        <v>766</v>
      </c>
      <c r="L49" t="s">
        <v>24</v>
      </c>
      <c r="M49" t="s">
        <v>167</v>
      </c>
      <c r="N49" t="s">
        <v>168</v>
      </c>
      <c r="O49" t="s">
        <v>169</v>
      </c>
      <c r="P49" s="3">
        <v>45726.673592997693</v>
      </c>
      <c r="Q49" s="3">
        <v>45726.673592997693</v>
      </c>
    </row>
    <row r="50" spans="1:17" x14ac:dyDescent="0.2">
      <c r="A50" s="2" t="str">
        <f>HYPERLINK("https://portal.hubmapconsortium.org/browse/sample/4b9534342d6e7a0b33a59af8191d9408", "HBM863.LJTZ.679")</f>
        <v>HBM863.LJTZ.679</v>
      </c>
      <c r="B50" t="s">
        <v>763</v>
      </c>
      <c r="C50" t="s">
        <v>779</v>
      </c>
      <c r="D50" s="2" t="str">
        <f t="shared" si="2"/>
        <v>HBM758.PXTF.453</v>
      </c>
      <c r="E50" t="s">
        <v>829</v>
      </c>
      <c r="F50" t="s">
        <v>470</v>
      </c>
      <c r="G50" t="s">
        <v>20</v>
      </c>
      <c r="H50" t="s">
        <v>21</v>
      </c>
      <c r="I50" t="s">
        <v>22</v>
      </c>
      <c r="J50" s="2" t="b">
        <v>0</v>
      </c>
      <c r="K50" s="2" t="s">
        <v>766</v>
      </c>
      <c r="L50" t="s">
        <v>24</v>
      </c>
      <c r="M50" t="s">
        <v>167</v>
      </c>
      <c r="N50" t="s">
        <v>168</v>
      </c>
      <c r="O50" t="s">
        <v>169</v>
      </c>
      <c r="P50" s="3">
        <v>45726.673612870371</v>
      </c>
      <c r="Q50" s="3">
        <v>45726.673612870371</v>
      </c>
    </row>
    <row r="51" spans="1:17" x14ac:dyDescent="0.2">
      <c r="A51" s="2" t="str">
        <f>HYPERLINK("https://portal.hubmapconsortium.org/browse/sample/fe52cce4196f761a1ba3daa80c616ef5", "HBM647.GCFL.324")</f>
        <v>HBM647.GCFL.324</v>
      </c>
      <c r="B51" t="s">
        <v>763</v>
      </c>
      <c r="C51" t="s">
        <v>779</v>
      </c>
      <c r="D51" s="2" t="str">
        <f t="shared" si="2"/>
        <v>HBM758.PXTF.453</v>
      </c>
      <c r="E51" t="s">
        <v>836</v>
      </c>
      <c r="F51" t="s">
        <v>478</v>
      </c>
      <c r="G51" t="s">
        <v>20</v>
      </c>
      <c r="H51" t="s">
        <v>21</v>
      </c>
      <c r="I51" t="s">
        <v>22</v>
      </c>
      <c r="J51" s="2" t="b">
        <v>0</v>
      </c>
      <c r="K51" s="2" t="s">
        <v>766</v>
      </c>
      <c r="L51" t="s">
        <v>24</v>
      </c>
      <c r="M51" t="s">
        <v>167</v>
      </c>
      <c r="N51" t="s">
        <v>168</v>
      </c>
      <c r="O51" t="s">
        <v>169</v>
      </c>
      <c r="P51" s="3">
        <v>45726.673301377312</v>
      </c>
      <c r="Q51" s="3">
        <v>45726.673301377312</v>
      </c>
    </row>
    <row r="52" spans="1:17" x14ac:dyDescent="0.2">
      <c r="A52" s="2" t="str">
        <f>HYPERLINK("https://portal.hubmapconsortium.org/browse/sample/b7ef88ad7473472b92ac8d51b484b24b", "HBM846.GMQL.896")</f>
        <v>HBM846.GMQL.896</v>
      </c>
      <c r="B52" t="s">
        <v>763</v>
      </c>
      <c r="C52" t="s">
        <v>779</v>
      </c>
      <c r="D52" s="2" t="str">
        <f t="shared" si="2"/>
        <v>HBM758.PXTF.453</v>
      </c>
      <c r="E52" t="s">
        <v>844</v>
      </c>
      <c r="F52" t="s">
        <v>666</v>
      </c>
      <c r="G52" t="s">
        <v>20</v>
      </c>
      <c r="H52" t="s">
        <v>21</v>
      </c>
      <c r="I52" t="s">
        <v>22</v>
      </c>
      <c r="J52" s="2" t="b">
        <v>0</v>
      </c>
      <c r="K52" s="2" t="s">
        <v>766</v>
      </c>
      <c r="L52" t="s">
        <v>24</v>
      </c>
      <c r="M52" t="s">
        <v>167</v>
      </c>
      <c r="N52" t="s">
        <v>168</v>
      </c>
      <c r="O52" t="s">
        <v>169</v>
      </c>
      <c r="P52" s="3">
        <v>45726.67332371528</v>
      </c>
      <c r="Q52" s="3">
        <v>45726.67332371528</v>
      </c>
    </row>
    <row r="53" spans="1:17" x14ac:dyDescent="0.2">
      <c r="A53" s="2" t="str">
        <f>HYPERLINK("https://portal.hubmapconsortium.org/browse/sample/cc8bcbf981826d200c63bf25ebcacff5", "HBM948.MFZH.759")</f>
        <v>HBM948.MFZH.759</v>
      </c>
      <c r="B53" t="s">
        <v>763</v>
      </c>
      <c r="C53" t="s">
        <v>779</v>
      </c>
      <c r="D53" s="2" t="str">
        <f t="shared" si="2"/>
        <v>HBM758.PXTF.453</v>
      </c>
      <c r="E53" t="s">
        <v>852</v>
      </c>
      <c r="F53" t="s">
        <v>676</v>
      </c>
      <c r="G53" t="s">
        <v>20</v>
      </c>
      <c r="H53" t="s">
        <v>21</v>
      </c>
      <c r="I53" t="s">
        <v>22</v>
      </c>
      <c r="J53" s="2" t="b">
        <v>0</v>
      </c>
      <c r="K53" s="2" t="s">
        <v>766</v>
      </c>
      <c r="L53" t="s">
        <v>24</v>
      </c>
      <c r="M53" t="s">
        <v>167</v>
      </c>
      <c r="N53" t="s">
        <v>168</v>
      </c>
      <c r="O53" t="s">
        <v>169</v>
      </c>
      <c r="P53" s="3">
        <v>45726.67334335648</v>
      </c>
      <c r="Q53" s="3">
        <v>45726.67334335648</v>
      </c>
    </row>
    <row r="54" spans="1:17" x14ac:dyDescent="0.2">
      <c r="A54" s="2" t="str">
        <f>HYPERLINK("https://portal.hubmapconsortium.org/browse/sample/3b3e197b0ebe7d0621f964e9535648fc", "HBM237.GWRM.927")</f>
        <v>HBM237.GWRM.927</v>
      </c>
      <c r="B54" t="s">
        <v>763</v>
      </c>
      <c r="C54" t="s">
        <v>779</v>
      </c>
      <c r="D54" s="2" t="str">
        <f t="shared" si="2"/>
        <v>HBM758.PXTF.453</v>
      </c>
      <c r="E54" t="s">
        <v>861</v>
      </c>
      <c r="F54" t="s">
        <v>508</v>
      </c>
      <c r="G54" t="s">
        <v>20</v>
      </c>
      <c r="H54" t="s">
        <v>21</v>
      </c>
      <c r="I54" t="s">
        <v>22</v>
      </c>
      <c r="J54" s="2" t="b">
        <v>0</v>
      </c>
      <c r="K54" s="2" t="s">
        <v>766</v>
      </c>
      <c r="L54" t="s">
        <v>24</v>
      </c>
      <c r="M54" t="s">
        <v>167</v>
      </c>
      <c r="N54" t="s">
        <v>168</v>
      </c>
      <c r="O54" t="s">
        <v>169</v>
      </c>
      <c r="P54" s="3">
        <v>45726.673363113427</v>
      </c>
      <c r="Q54" s="3">
        <v>45726.673363113427</v>
      </c>
    </row>
    <row r="55" spans="1:17" x14ac:dyDescent="0.2">
      <c r="A55" s="2" t="str">
        <f>HYPERLINK("https://portal.hubmapconsortium.org/browse/sample/a7527e91d351d5efdce2f8372356dbbf", "HBM826.NZKX.472")</f>
        <v>HBM826.NZKX.472</v>
      </c>
      <c r="B55" t="s">
        <v>763</v>
      </c>
      <c r="C55" t="s">
        <v>779</v>
      </c>
      <c r="D55" s="2" t="str">
        <f t="shared" si="2"/>
        <v>HBM758.PXTF.453</v>
      </c>
      <c r="E55" t="s">
        <v>869</v>
      </c>
      <c r="F55" t="s">
        <v>518</v>
      </c>
      <c r="G55" t="s">
        <v>20</v>
      </c>
      <c r="H55" t="s">
        <v>21</v>
      </c>
      <c r="I55" t="s">
        <v>22</v>
      </c>
      <c r="J55" s="2" t="b">
        <v>0</v>
      </c>
      <c r="K55" s="2" t="s">
        <v>766</v>
      </c>
      <c r="L55" t="s">
        <v>24</v>
      </c>
      <c r="M55" t="s">
        <v>167</v>
      </c>
      <c r="N55" t="s">
        <v>168</v>
      </c>
      <c r="O55" t="s">
        <v>169</v>
      </c>
      <c r="P55" s="3">
        <v>45726.673382986111</v>
      </c>
      <c r="Q55" s="3">
        <v>45726.673382986111</v>
      </c>
    </row>
    <row r="56" spans="1:17" x14ac:dyDescent="0.2">
      <c r="A56" s="2" t="str">
        <f>HYPERLINK("https://portal.hubmapconsortium.org/browse/sample/bb72bcc9730a355d2701b0381611df11", "HBM229.RTNP.957")</f>
        <v>HBM229.RTNP.957</v>
      </c>
      <c r="B56" t="s">
        <v>763</v>
      </c>
      <c r="C56" t="s">
        <v>779</v>
      </c>
      <c r="D56" s="2" t="str">
        <f t="shared" si="2"/>
        <v>HBM758.PXTF.453</v>
      </c>
      <c r="E56" t="s">
        <v>875</v>
      </c>
      <c r="F56" t="s">
        <v>700</v>
      </c>
      <c r="G56" t="s">
        <v>20</v>
      </c>
      <c r="H56" t="s">
        <v>21</v>
      </c>
      <c r="I56" t="s">
        <v>22</v>
      </c>
      <c r="J56" s="2" t="b">
        <v>0</v>
      </c>
      <c r="K56" s="2" t="s">
        <v>766</v>
      </c>
      <c r="L56" t="s">
        <v>24</v>
      </c>
      <c r="M56" t="s">
        <v>167</v>
      </c>
      <c r="N56" t="s">
        <v>168</v>
      </c>
      <c r="O56" t="s">
        <v>169</v>
      </c>
      <c r="P56" s="3">
        <v>45726.673403576387</v>
      </c>
      <c r="Q56" s="3">
        <v>45726.673403576387</v>
      </c>
    </row>
    <row r="57" spans="1:17" x14ac:dyDescent="0.2">
      <c r="A57" s="2" t="str">
        <f>HYPERLINK("https://portal.hubmapconsortium.org/browse/sample/58dfb52e5b8f89446e046170152f0efd", "HBM395.VQSP.232")</f>
        <v>HBM395.VQSP.232</v>
      </c>
      <c r="B57" t="s">
        <v>763</v>
      </c>
      <c r="C57" t="s">
        <v>779</v>
      </c>
      <c r="D57" s="2" t="str">
        <f t="shared" si="2"/>
        <v>HBM758.PXTF.453</v>
      </c>
      <c r="E57" t="s">
        <v>880</v>
      </c>
      <c r="F57" t="s">
        <v>706</v>
      </c>
      <c r="G57" t="s">
        <v>20</v>
      </c>
      <c r="H57" t="s">
        <v>21</v>
      </c>
      <c r="I57" t="s">
        <v>22</v>
      </c>
      <c r="J57" s="2" t="b">
        <v>0</v>
      </c>
      <c r="K57" s="2" t="s">
        <v>766</v>
      </c>
      <c r="L57" t="s">
        <v>24</v>
      </c>
      <c r="M57" t="s">
        <v>167</v>
      </c>
      <c r="N57" t="s">
        <v>168</v>
      </c>
      <c r="O57" t="s">
        <v>169</v>
      </c>
      <c r="P57" s="3">
        <v>45726.673425439818</v>
      </c>
      <c r="Q57" s="3">
        <v>45726.673425439818</v>
      </c>
    </row>
    <row r="58" spans="1:17" x14ac:dyDescent="0.2">
      <c r="A58" s="2" t="str">
        <f>HYPERLINK("https://portal.hubmapconsortium.org/browse/sample/dc89d5377f30c631cd8bc283a4549cd2", "HBM587.ZBTK.548")</f>
        <v>HBM587.ZBTK.548</v>
      </c>
      <c r="B58" t="s">
        <v>763</v>
      </c>
      <c r="C58" t="s">
        <v>779</v>
      </c>
      <c r="D58" s="2" t="str">
        <f t="shared" si="2"/>
        <v>HBM758.PXTF.453</v>
      </c>
      <c r="E58" t="s">
        <v>885</v>
      </c>
      <c r="F58" t="s">
        <v>536</v>
      </c>
      <c r="G58" t="s">
        <v>20</v>
      </c>
      <c r="H58" t="s">
        <v>21</v>
      </c>
      <c r="I58" t="s">
        <v>22</v>
      </c>
      <c r="J58" s="2" t="b">
        <v>0</v>
      </c>
      <c r="K58" s="2" t="s">
        <v>766</v>
      </c>
      <c r="L58" t="s">
        <v>24</v>
      </c>
      <c r="M58" t="s">
        <v>167</v>
      </c>
      <c r="N58" t="s">
        <v>168</v>
      </c>
      <c r="O58" t="s">
        <v>169</v>
      </c>
      <c r="P58" s="3">
        <v>45726.673447071757</v>
      </c>
      <c r="Q58" s="3">
        <v>45726.673447071757</v>
      </c>
    </row>
  </sheetData>
  <sortState xmlns:xlrd2="http://schemas.microsoft.com/office/spreadsheetml/2017/richdata2" ref="A2:Q62">
    <sortCondition ref="C2:C62"/>
    <sortCondition ref="E2:E62"/>
  </sortState>
  <hyperlinks>
    <hyperlink ref="K3" r:id="rId1" xr:uid="{36F45871-E738-C04B-A473-9A2476C46308}"/>
    <hyperlink ref="K4" r:id="rId2" xr:uid="{CAAF29CA-D83D-C94B-92EE-60ED13012761}"/>
    <hyperlink ref="K5" r:id="rId3" xr:uid="{F669FC2E-8C12-B94E-837F-2D6339C04786}"/>
    <hyperlink ref="K6" r:id="rId4" xr:uid="{E1B64A2B-75AD-0845-A516-E0FEA92760FC}"/>
    <hyperlink ref="K7" r:id="rId5" xr:uid="{CB6F9D17-0F34-B24F-B46A-D040BAE43D8F}"/>
    <hyperlink ref="K8" r:id="rId6" xr:uid="{A3BC7979-A0CE-3640-BE7E-1FC795C3CC87}"/>
    <hyperlink ref="K9" r:id="rId7" xr:uid="{1074B40E-7518-7E49-A92E-2350F637AFEB}"/>
    <hyperlink ref="K10" r:id="rId8" xr:uid="{82E8B2A5-1861-3141-8009-1EA83C3F1019}"/>
    <hyperlink ref="K12" r:id="rId9" xr:uid="{83425F4B-D2BD-E24F-94FD-A1F6E80CE5AB}"/>
    <hyperlink ref="K11" r:id="rId10" xr:uid="{0FAA3B22-481F-694E-B6B7-942820941730}"/>
    <hyperlink ref="K13" r:id="rId11" xr:uid="{5E3871E9-D1E6-C54F-BE0D-6F618B693DDF}"/>
    <hyperlink ref="K14" r:id="rId12" xr:uid="{B9293094-F8C9-BB44-B2C2-4734869D4EFE}"/>
    <hyperlink ref="K15" r:id="rId13" xr:uid="{9F4C5EEB-9784-A345-99B9-EC4B388CF869}"/>
    <hyperlink ref="K16" r:id="rId14" xr:uid="{C17E1368-1774-E142-AF22-99BD7DE751B9}"/>
    <hyperlink ref="K17" r:id="rId15" xr:uid="{59EF505E-7CD7-5046-8D2A-DFD6F3F331E7}"/>
    <hyperlink ref="K18" r:id="rId16" xr:uid="{0D7CFA67-1296-DB44-A246-AB3A888F6115}"/>
    <hyperlink ref="K19" r:id="rId17" xr:uid="{4618677E-5308-A147-9FD2-17B6CD3363DF}"/>
    <hyperlink ref="K20" r:id="rId18" xr:uid="{BCEA97D7-2FCE-CF47-B3C0-C94CDC5ECA97}"/>
    <hyperlink ref="K21" r:id="rId19" xr:uid="{2AF5317A-548C-4749-940B-15383C3632A1}"/>
    <hyperlink ref="K22" r:id="rId20" xr:uid="{E153A552-1DD8-5842-8138-877DFD1FA195}"/>
    <hyperlink ref="K23" r:id="rId21" xr:uid="{A4E75FF3-9332-F54A-A2C0-01EA0DFF069C}"/>
    <hyperlink ref="K24" r:id="rId22" xr:uid="{17B98ABB-B3E2-C544-880B-624A83D326F8}"/>
    <hyperlink ref="K25" r:id="rId23" xr:uid="{3DAA82CB-3A83-7A48-A279-A57D1DF7CD92}"/>
    <hyperlink ref="K26" r:id="rId24" xr:uid="{C4EFCFDB-26B5-C145-8C1F-5815034C2FBE}"/>
    <hyperlink ref="K27" r:id="rId25" xr:uid="{3B59ADF3-CDCB-7F40-9251-D946DCF15322}"/>
    <hyperlink ref="K28" r:id="rId26" xr:uid="{27ED4227-9D82-B94E-BE87-C9AFA90299A2}"/>
    <hyperlink ref="K29" r:id="rId27" xr:uid="{3EC0EBE7-1BD0-1D4C-8EA8-B0716E8448E7}"/>
    <hyperlink ref="K30" r:id="rId28" xr:uid="{E5EEE8EA-87A4-AC4E-934B-709A48D5580D}"/>
    <hyperlink ref="K31" r:id="rId29" xr:uid="{2F05D5A4-5850-E647-8195-A7368FF65CD6}"/>
    <hyperlink ref="K32" r:id="rId30" xr:uid="{E579547B-9B7C-2643-9BE8-EE2D19F4120B}"/>
    <hyperlink ref="K33" r:id="rId31" xr:uid="{DA7F5F91-C6A2-2844-933C-D0E6025AF609}"/>
    <hyperlink ref="K34" r:id="rId32" xr:uid="{563BA37B-2E7E-6B4D-95EA-FAF365277F4D}"/>
    <hyperlink ref="K35" r:id="rId33" xr:uid="{72944C05-F3C0-6844-99E2-E56D6E4F49B1}"/>
    <hyperlink ref="K36" r:id="rId34" xr:uid="{9540BB6C-C81B-324A-A0E5-87869AB6849B}"/>
    <hyperlink ref="K37" r:id="rId35" xr:uid="{4FBF6843-EB21-8A49-98DE-2654B77839D2}"/>
    <hyperlink ref="K38" r:id="rId36" xr:uid="{2AFC4161-5D34-FA45-8C08-CE840F18471F}"/>
    <hyperlink ref="K39" r:id="rId37" xr:uid="{06410192-BD11-5542-8FC5-589E91359DAC}"/>
    <hyperlink ref="K40" r:id="rId38" xr:uid="{9ED4AB6B-A73C-B842-91DD-F3BB40276B0B}"/>
    <hyperlink ref="K41" r:id="rId39" xr:uid="{FE866137-F047-D84C-B4C7-5417471F614D}"/>
    <hyperlink ref="K42" r:id="rId40" xr:uid="{22CB0C9B-0065-F648-BAA1-8D53CE0F913E}"/>
    <hyperlink ref="K43" r:id="rId41" xr:uid="{906FCFD6-B4E1-294A-BC78-8410050A6513}"/>
    <hyperlink ref="K44" r:id="rId42" xr:uid="{F9EB512A-E8A7-2E43-AF5C-335B06C78102}"/>
    <hyperlink ref="K45" r:id="rId43" xr:uid="{F3146183-A6EA-B84F-A6E0-060C788DFB44}"/>
    <hyperlink ref="K46" r:id="rId44" xr:uid="{68F0C79C-08AC-BA4A-8CFF-CFE18080B9A1}"/>
    <hyperlink ref="K47" r:id="rId45" xr:uid="{6D6EE148-A78B-A64D-8212-EEAA90C53966}"/>
    <hyperlink ref="K48" r:id="rId46" xr:uid="{0A5856CA-7F53-7342-B29C-6E1EBBCAFFC5}"/>
    <hyperlink ref="K49" r:id="rId47" xr:uid="{604BB9F3-6630-A441-8B85-3EC28F137013}"/>
    <hyperlink ref="K50" r:id="rId48" xr:uid="{6C6F0758-1219-AA4F-8FDC-3AAC13476D72}"/>
    <hyperlink ref="K51" r:id="rId49" xr:uid="{0AD0CEAE-F78D-554A-A9F6-F300423C3834}"/>
    <hyperlink ref="K52" r:id="rId50" xr:uid="{A9038506-1C63-4D4C-B0F5-C6A7C0675307}"/>
    <hyperlink ref="K53" r:id="rId51" xr:uid="{E0AE0A40-1304-7249-A5C6-70770DC1D208}"/>
    <hyperlink ref="K54" r:id="rId52" xr:uid="{6A00AB5B-357F-0447-BD34-9DD22D0828D9}"/>
    <hyperlink ref="K55" r:id="rId53" xr:uid="{85F1602B-FE91-3A4D-8503-CDC72A90FE3F}"/>
    <hyperlink ref="K56" r:id="rId54" xr:uid="{5E229A6B-3A3B-B14C-9AAC-E44E5B7796FC}"/>
    <hyperlink ref="K57" r:id="rId55" xr:uid="{AD09F0B6-2034-4049-8477-F5E87C746841}"/>
    <hyperlink ref="K58" r:id="rId56" xr:uid="{D4CCA4B9-933D-2A47-A386-50C080D4F79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A489-1CCE-1347-9001-60DDDA11CCEC}">
  <dimension ref="A1:U377"/>
  <sheetViews>
    <sheetView tabSelected="1" zoomScale="130" zoomScaleNormal="130" workbookViewId="0">
      <pane ySplit="1" topLeftCell="A281" activePane="bottomLeft" state="frozen"/>
      <selection pane="bottomLeft" activeCell="I141" sqref="I141"/>
    </sheetView>
  </sheetViews>
  <sheetFormatPr baseColWidth="10" defaultRowHeight="16" x14ac:dyDescent="0.2"/>
  <cols>
    <col min="1" max="1" width="17.83203125" bestFit="1" customWidth="1"/>
    <col min="2" max="2" width="11" bestFit="1" customWidth="1"/>
    <col min="4" max="4" width="12.1640625" bestFit="1" customWidth="1"/>
    <col min="5" max="5" width="17.1640625" bestFit="1" customWidth="1"/>
    <col min="6" max="6" width="16.83203125" customWidth="1"/>
    <col min="7" max="7" width="11.1640625" customWidth="1"/>
    <col min="8" max="8" width="11" customWidth="1"/>
    <col min="9" max="9" width="12.5" customWidth="1"/>
    <col min="10" max="10" width="55.5" customWidth="1"/>
    <col min="11" max="11" width="10" hidden="1" customWidth="1"/>
    <col min="12" max="12" width="14.1640625" hidden="1" customWidth="1"/>
    <col min="13" max="13" width="13.6640625" bestFit="1" customWidth="1"/>
    <col min="14" max="14" width="12.1640625" bestFit="1" customWidth="1"/>
    <col min="15" max="15" width="50" bestFit="1" customWidth="1"/>
    <col min="16" max="16" width="14.83203125" bestFit="1" customWidth="1"/>
    <col min="17" max="17" width="24.6640625" bestFit="1" customWidth="1"/>
    <col min="18" max="18" width="34.6640625" bestFit="1" customWidth="1"/>
    <col min="19" max="19" width="37.33203125" bestFit="1" customWidth="1"/>
    <col min="20" max="21" width="18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894</v>
      </c>
      <c r="H1" s="1" t="s">
        <v>895</v>
      </c>
      <c r="I1" s="1" t="s">
        <v>896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x14ac:dyDescent="0.2">
      <c r="A2" s="2" t="str">
        <f>HYPERLINK("https://portal.hubmapconsortium.org/browse/sample/66bd96bcb1ed56acb430f7ad0e5ae1bb", "HBM234.DFCZ.923")</f>
        <v>HBM234.DFCZ.923</v>
      </c>
      <c r="B2" t="s">
        <v>162</v>
      </c>
      <c r="C2" t="s">
        <v>163</v>
      </c>
      <c r="D2" s="2" t="b">
        <v>0</v>
      </c>
      <c r="E2" s="2" t="str">
        <f>HYPERLINK("https://portal.hubmapconsortium.org/browse/sample/95e661b6148f0eb7dc29eb519de1e934", "HBM348.BSHQ.569")</f>
        <v>HBM348.BSHQ.569</v>
      </c>
      <c r="F2" t="s">
        <v>172</v>
      </c>
      <c r="G2">
        <v>16</v>
      </c>
      <c r="H2">
        <v>4</v>
      </c>
      <c r="I2">
        <v>4</v>
      </c>
      <c r="K2" t="s">
        <v>20</v>
      </c>
      <c r="L2" t="s">
        <v>21</v>
      </c>
      <c r="M2" t="s">
        <v>22</v>
      </c>
      <c r="N2" s="2" t="b">
        <v>0</v>
      </c>
      <c r="O2" s="2" t="s">
        <v>166</v>
      </c>
      <c r="P2" t="s">
        <v>24</v>
      </c>
      <c r="Q2" t="s">
        <v>167</v>
      </c>
      <c r="R2" t="s">
        <v>168</v>
      </c>
      <c r="S2" t="s">
        <v>169</v>
      </c>
      <c r="T2" s="3">
        <v>45460.737287407414</v>
      </c>
      <c r="U2" s="3">
        <v>45460.737287407414</v>
      </c>
    </row>
    <row r="3" spans="1:21" x14ac:dyDescent="0.2">
      <c r="A3" s="2" t="str">
        <f>HYPERLINK("https://portal.hubmapconsortium.org/browse/sample/ef5e2aac8cab431cc6f5731acf78e8ce", "HBM893.HVBT.597")</f>
        <v>HBM893.HVBT.597</v>
      </c>
      <c r="B3" t="s">
        <v>173</v>
      </c>
      <c r="C3" t="s">
        <v>174</v>
      </c>
      <c r="D3" s="2" t="b">
        <v>1</v>
      </c>
      <c r="E3" s="2" t="str">
        <f>HYPERLINK("https://portal.hubmapconsortium.org/browse/sample/9d944eb8a61bf85f70762ae3f2b0e22e", "HBM297.BWFF.894")</f>
        <v>HBM297.BWFF.894</v>
      </c>
      <c r="F3" t="s">
        <v>178</v>
      </c>
      <c r="J3" t="s">
        <v>179</v>
      </c>
      <c r="K3" t="s">
        <v>20</v>
      </c>
      <c r="L3" t="s">
        <v>21</v>
      </c>
      <c r="M3" t="s">
        <v>22</v>
      </c>
      <c r="N3" s="2" t="b">
        <v>1</v>
      </c>
      <c r="O3" s="2" t="s">
        <v>177</v>
      </c>
      <c r="P3" t="s">
        <v>24</v>
      </c>
      <c r="Q3" t="s">
        <v>167</v>
      </c>
      <c r="R3" t="s">
        <v>168</v>
      </c>
      <c r="S3" t="s">
        <v>169</v>
      </c>
      <c r="T3" s="3">
        <v>45358.850311747687</v>
      </c>
      <c r="U3" s="3">
        <v>45559.777239178242</v>
      </c>
    </row>
    <row r="4" spans="1:21" x14ac:dyDescent="0.2">
      <c r="A4" s="2" t="str">
        <f>HYPERLINK("https://portal.hubmapconsortium.org/browse/sample/d6122c03657e85960ed82b3f4a2d1dc0", "HBM674.ZLGD.632")</f>
        <v>HBM674.ZLGD.632</v>
      </c>
      <c r="B4" t="s">
        <v>17</v>
      </c>
      <c r="C4" t="s">
        <v>180</v>
      </c>
      <c r="D4" s="2" t="b">
        <v>0</v>
      </c>
      <c r="E4" s="2" t="str">
        <f>HYPERLINK("https://portal.hubmapconsortium.org/browse/sample/671fe5ae8fd5aac945d1d9260a0a89d2", "HBM524.PSGH.765")</f>
        <v>HBM524.PSGH.765</v>
      </c>
      <c r="F4" t="s">
        <v>181</v>
      </c>
      <c r="G4" t="s">
        <v>897</v>
      </c>
      <c r="J4" t="s">
        <v>182</v>
      </c>
      <c r="K4" t="s">
        <v>20</v>
      </c>
      <c r="L4" t="s">
        <v>21</v>
      </c>
      <c r="M4" t="s">
        <v>22</v>
      </c>
      <c r="N4" s="2" t="b">
        <v>0</v>
      </c>
      <c r="O4" s="2" t="s">
        <v>166</v>
      </c>
      <c r="P4" t="s">
        <v>77</v>
      </c>
      <c r="Q4" t="s">
        <v>183</v>
      </c>
      <c r="R4" t="s">
        <v>184</v>
      </c>
      <c r="S4" t="s">
        <v>169</v>
      </c>
      <c r="T4" s="3">
        <v>45848.841322997687</v>
      </c>
      <c r="U4" s="3">
        <v>45848.841322997687</v>
      </c>
    </row>
    <row r="5" spans="1:21" x14ac:dyDescent="0.2">
      <c r="A5" s="2" t="str">
        <f>HYPERLINK("https://portal.hubmapconsortium.org/browse/sample/d9114a4d41165f469ee00466b62a49a2", "HBM856.BCHD.866")</f>
        <v>HBM856.BCHD.866</v>
      </c>
      <c r="B5" t="s">
        <v>17</v>
      </c>
      <c r="C5" t="s">
        <v>18</v>
      </c>
      <c r="D5" s="2" t="b">
        <v>0</v>
      </c>
      <c r="E5" s="2" t="str">
        <f t="shared" ref="E5:E18" si="0">HYPERLINK("https://portal.hubmapconsortium.org/browse/sample/8d7323f8e67fae6440c934eeb1ab3d9a", "HBM888.XXWD.357")</f>
        <v>HBM888.XXWD.357</v>
      </c>
      <c r="F5" t="s">
        <v>191</v>
      </c>
      <c r="G5">
        <v>21</v>
      </c>
      <c r="H5">
        <v>4</v>
      </c>
      <c r="I5">
        <v>4</v>
      </c>
      <c r="J5" t="s">
        <v>192</v>
      </c>
      <c r="K5" t="s">
        <v>20</v>
      </c>
      <c r="L5" t="s">
        <v>21</v>
      </c>
      <c r="M5" t="s">
        <v>22</v>
      </c>
      <c r="N5" s="2" t="b">
        <v>0</v>
      </c>
      <c r="O5" s="2" t="s">
        <v>166</v>
      </c>
      <c r="P5" t="s">
        <v>24</v>
      </c>
      <c r="Q5" t="s">
        <v>183</v>
      </c>
      <c r="R5" t="s">
        <v>184</v>
      </c>
      <c r="S5" t="s">
        <v>169</v>
      </c>
      <c r="T5" s="3">
        <v>45602.656378391213</v>
      </c>
      <c r="U5" s="3">
        <v>45602.656378391213</v>
      </c>
    </row>
    <row r="6" spans="1:21" x14ac:dyDescent="0.2">
      <c r="A6" s="2" t="str">
        <f>HYPERLINK("https://portal.hubmapconsortium.org/browse/sample/cd865a9ff8d20c17d77a8e9274ee5f4b", "HBM779.VFXJ.879")</f>
        <v>HBM779.VFXJ.879</v>
      </c>
      <c r="B6" t="s">
        <v>17</v>
      </c>
      <c r="C6" t="s">
        <v>18</v>
      </c>
      <c r="D6" s="2" t="b">
        <v>0</v>
      </c>
      <c r="E6" s="2" t="str">
        <f t="shared" si="0"/>
        <v>HBM888.XXWD.357</v>
      </c>
      <c r="F6" t="s">
        <v>195</v>
      </c>
      <c r="G6">
        <v>21</v>
      </c>
      <c r="H6">
        <v>5</v>
      </c>
      <c r="I6">
        <v>7</v>
      </c>
      <c r="J6" t="s">
        <v>196</v>
      </c>
      <c r="K6" t="s">
        <v>20</v>
      </c>
      <c r="L6" t="s">
        <v>21</v>
      </c>
      <c r="M6" t="s">
        <v>22</v>
      </c>
      <c r="N6" s="2" t="b">
        <v>0</v>
      </c>
      <c r="O6" s="2" t="s">
        <v>166</v>
      </c>
      <c r="P6" t="s">
        <v>77</v>
      </c>
      <c r="Q6" t="s">
        <v>183</v>
      </c>
      <c r="R6" t="s">
        <v>184</v>
      </c>
      <c r="S6" t="s">
        <v>169</v>
      </c>
      <c r="T6" s="3">
        <v>45848.841338634258</v>
      </c>
      <c r="U6" s="3">
        <v>45848.841338634258</v>
      </c>
    </row>
    <row r="7" spans="1:21" x14ac:dyDescent="0.2">
      <c r="A7" s="2" t="str">
        <f>HYPERLINK("https://portal.hubmapconsortium.org/browse/sample/0f0529d3cf4e24de18436cea97312e23", "HBM725.CTFN.564")</f>
        <v>HBM725.CTFN.564</v>
      </c>
      <c r="B7" t="s">
        <v>17</v>
      </c>
      <c r="C7" t="s">
        <v>18</v>
      </c>
      <c r="D7" s="2" t="b">
        <v>0</v>
      </c>
      <c r="E7" s="2" t="str">
        <f t="shared" si="0"/>
        <v>HBM888.XXWD.357</v>
      </c>
      <c r="F7" t="s">
        <v>198</v>
      </c>
      <c r="G7">
        <v>21</v>
      </c>
      <c r="H7">
        <v>5</v>
      </c>
      <c r="I7">
        <v>4</v>
      </c>
      <c r="J7" t="s">
        <v>199</v>
      </c>
      <c r="K7" t="s">
        <v>20</v>
      </c>
      <c r="L7" t="s">
        <v>21</v>
      </c>
      <c r="M7" t="s">
        <v>22</v>
      </c>
      <c r="N7" s="2" t="b">
        <v>0</v>
      </c>
      <c r="O7" s="2" t="s">
        <v>166</v>
      </c>
      <c r="P7" t="s">
        <v>24</v>
      </c>
      <c r="Q7" t="s">
        <v>183</v>
      </c>
      <c r="R7" t="s">
        <v>184</v>
      </c>
      <c r="S7" t="s">
        <v>169</v>
      </c>
      <c r="T7" s="3">
        <v>45741.622954861108</v>
      </c>
      <c r="U7" s="3">
        <v>45741.622954861108</v>
      </c>
    </row>
    <row r="8" spans="1:21" x14ac:dyDescent="0.2">
      <c r="A8" s="2" t="str">
        <f>HYPERLINK("https://portal.hubmapconsortium.org/browse/sample/4349287d8c01ea3f198bdc57738ca898", "HBM775.RNWZ.775")</f>
        <v>HBM775.RNWZ.775</v>
      </c>
      <c r="B8" t="s">
        <v>17</v>
      </c>
      <c r="C8" t="s">
        <v>18</v>
      </c>
      <c r="D8" s="2" t="b">
        <v>0</v>
      </c>
      <c r="E8" s="2" t="str">
        <f t="shared" si="0"/>
        <v>HBM888.XXWD.357</v>
      </c>
      <c r="F8" t="s">
        <v>201</v>
      </c>
      <c r="G8">
        <v>21</v>
      </c>
      <c r="H8">
        <v>5</v>
      </c>
      <c r="I8">
        <v>3</v>
      </c>
      <c r="J8" t="s">
        <v>196</v>
      </c>
      <c r="K8" t="s">
        <v>20</v>
      </c>
      <c r="L8" t="s">
        <v>21</v>
      </c>
      <c r="M8" t="s">
        <v>22</v>
      </c>
      <c r="N8" s="2" t="b">
        <v>0</v>
      </c>
      <c r="O8" s="2" t="s">
        <v>166</v>
      </c>
      <c r="P8" t="s">
        <v>77</v>
      </c>
      <c r="Q8" t="s">
        <v>183</v>
      </c>
      <c r="R8" t="s">
        <v>184</v>
      </c>
      <c r="S8" t="s">
        <v>169</v>
      </c>
      <c r="T8" s="3">
        <v>45848.841350092589</v>
      </c>
      <c r="U8" s="3">
        <v>45848.841350092589</v>
      </c>
    </row>
    <row r="9" spans="1:21" x14ac:dyDescent="0.2">
      <c r="A9" s="2" t="str">
        <f>HYPERLINK("https://portal.hubmapconsortium.org/browse/sample/3ef121706fa69a027a630e14e7286bf2", "HBM498.RMLH.678")</f>
        <v>HBM498.RMLH.678</v>
      </c>
      <c r="B9" t="s">
        <v>17</v>
      </c>
      <c r="C9" t="s">
        <v>18</v>
      </c>
      <c r="D9" s="2" t="b">
        <v>0</v>
      </c>
      <c r="E9" s="2" t="str">
        <f t="shared" si="0"/>
        <v>HBM888.XXWD.357</v>
      </c>
      <c r="F9" t="s">
        <v>203</v>
      </c>
      <c r="G9">
        <v>21</v>
      </c>
      <c r="H9">
        <v>5</v>
      </c>
      <c r="I9">
        <v>2</v>
      </c>
      <c r="J9" t="s">
        <v>196</v>
      </c>
      <c r="K9" t="s">
        <v>20</v>
      </c>
      <c r="L9" t="s">
        <v>21</v>
      </c>
      <c r="M9" t="s">
        <v>22</v>
      </c>
      <c r="N9" s="2" t="b">
        <v>0</v>
      </c>
      <c r="O9" s="2" t="s">
        <v>166</v>
      </c>
      <c r="P9" t="s">
        <v>77</v>
      </c>
      <c r="Q9" t="s">
        <v>183</v>
      </c>
      <c r="R9" t="s">
        <v>184</v>
      </c>
      <c r="S9" t="s">
        <v>169</v>
      </c>
      <c r="T9" s="3">
        <v>45848.841363900458</v>
      </c>
      <c r="U9" s="3">
        <v>45848.841363900458</v>
      </c>
    </row>
    <row r="10" spans="1:21" x14ac:dyDescent="0.2">
      <c r="A10" s="2" t="str">
        <f>HYPERLINK("https://portal.hubmapconsortium.org/browse/sample/e4408e52512c5df65ea9a484f164dd7f", "HBM732.SXSK.747")</f>
        <v>HBM732.SXSK.747</v>
      </c>
      <c r="B10" t="s">
        <v>17</v>
      </c>
      <c r="C10" t="s">
        <v>18</v>
      </c>
      <c r="D10" s="2" t="b">
        <v>0</v>
      </c>
      <c r="E10" s="2" t="str">
        <f t="shared" si="0"/>
        <v>HBM888.XXWD.357</v>
      </c>
      <c r="F10" t="s">
        <v>206</v>
      </c>
      <c r="G10">
        <v>21</v>
      </c>
      <c r="H10">
        <v>3</v>
      </c>
      <c r="I10">
        <v>6</v>
      </c>
      <c r="J10" t="s">
        <v>196</v>
      </c>
      <c r="K10" t="s">
        <v>20</v>
      </c>
      <c r="L10" t="s">
        <v>21</v>
      </c>
      <c r="M10" t="s">
        <v>22</v>
      </c>
      <c r="N10" s="2" t="b">
        <v>0</v>
      </c>
      <c r="O10" s="2" t="s">
        <v>166</v>
      </c>
      <c r="P10" t="s">
        <v>77</v>
      </c>
      <c r="Q10" t="s">
        <v>183</v>
      </c>
      <c r="R10" t="s">
        <v>184</v>
      </c>
      <c r="S10" t="s">
        <v>169</v>
      </c>
      <c r="T10" s="3">
        <v>45848.84137884259</v>
      </c>
      <c r="U10" s="3">
        <v>45848.84137884259</v>
      </c>
    </row>
    <row r="11" spans="1:21" x14ac:dyDescent="0.2">
      <c r="A11" s="2" t="str">
        <f>HYPERLINK("https://portal.hubmapconsortium.org/browse/sample/032272eb1beb981a8a57f2951bc4f623", "HBM279.KQJH.793")</f>
        <v>HBM279.KQJH.793</v>
      </c>
      <c r="B11" t="s">
        <v>17</v>
      </c>
      <c r="C11" t="s">
        <v>18</v>
      </c>
      <c r="D11" s="2" t="b">
        <v>0</v>
      </c>
      <c r="E11" s="2" t="str">
        <f t="shared" si="0"/>
        <v>HBM888.XXWD.357</v>
      </c>
      <c r="F11" t="s">
        <v>208</v>
      </c>
      <c r="G11">
        <v>21</v>
      </c>
      <c r="H11">
        <v>3</v>
      </c>
      <c r="I11">
        <v>6</v>
      </c>
      <c r="J11" t="s">
        <v>196</v>
      </c>
      <c r="K11" t="s">
        <v>20</v>
      </c>
      <c r="L11" t="s">
        <v>21</v>
      </c>
      <c r="M11" t="s">
        <v>22</v>
      </c>
      <c r="N11" s="2" t="b">
        <v>0</v>
      </c>
      <c r="O11" s="2" t="s">
        <v>166</v>
      </c>
      <c r="P11" t="s">
        <v>77</v>
      </c>
      <c r="Q11" t="s">
        <v>183</v>
      </c>
      <c r="R11" t="s">
        <v>184</v>
      </c>
      <c r="S11" t="s">
        <v>169</v>
      </c>
      <c r="T11" s="3">
        <v>45819.778089375002</v>
      </c>
      <c r="U11" s="3">
        <v>45819.778089375002</v>
      </c>
    </row>
    <row r="12" spans="1:21" x14ac:dyDescent="0.2">
      <c r="A12" s="2" t="str">
        <f>HYPERLINK("https://portal.hubmapconsortium.org/browse/sample/1bf749e7bf8bf551f636e04b952a5623", "HBM392.BJDX.593")</f>
        <v>HBM392.BJDX.593</v>
      </c>
      <c r="B12" t="s">
        <v>17</v>
      </c>
      <c r="C12" t="s">
        <v>18</v>
      </c>
      <c r="D12" s="2" t="b">
        <v>0</v>
      </c>
      <c r="E12" s="2" t="str">
        <f t="shared" si="0"/>
        <v>HBM888.XXWD.357</v>
      </c>
      <c r="F12" t="s">
        <v>212</v>
      </c>
      <c r="G12">
        <v>21</v>
      </c>
      <c r="H12">
        <v>4</v>
      </c>
      <c r="I12">
        <v>6</v>
      </c>
      <c r="J12" t="s">
        <v>196</v>
      </c>
      <c r="K12" t="s">
        <v>20</v>
      </c>
      <c r="L12" t="s">
        <v>21</v>
      </c>
      <c r="M12" t="s">
        <v>22</v>
      </c>
      <c r="N12" s="2" t="b">
        <v>0</v>
      </c>
      <c r="O12" s="2" t="s">
        <v>166</v>
      </c>
      <c r="P12" t="s">
        <v>77</v>
      </c>
      <c r="Q12" t="s">
        <v>183</v>
      </c>
      <c r="R12" t="s">
        <v>184</v>
      </c>
      <c r="S12" t="s">
        <v>169</v>
      </c>
      <c r="T12" s="3">
        <v>45848.8413969213</v>
      </c>
      <c r="U12" s="3">
        <v>45848.8413969213</v>
      </c>
    </row>
    <row r="13" spans="1:21" x14ac:dyDescent="0.2">
      <c r="A13" s="2" t="str">
        <f>HYPERLINK("https://portal.hubmapconsortium.org/browse/sample/2046680208f00b255d94d61e8dfc853d", "HBM844.RJJN.437")</f>
        <v>HBM844.RJJN.437</v>
      </c>
      <c r="B13" t="s">
        <v>17</v>
      </c>
      <c r="C13" t="s">
        <v>18</v>
      </c>
      <c r="D13" s="2" t="b">
        <v>0</v>
      </c>
      <c r="E13" s="2" t="str">
        <f t="shared" si="0"/>
        <v>HBM888.XXWD.357</v>
      </c>
      <c r="F13" t="s">
        <v>214</v>
      </c>
      <c r="G13">
        <v>21</v>
      </c>
      <c r="H13">
        <v>4</v>
      </c>
      <c r="I13">
        <v>3</v>
      </c>
      <c r="J13" t="s">
        <v>196</v>
      </c>
      <c r="K13" t="s">
        <v>20</v>
      </c>
      <c r="L13" t="s">
        <v>21</v>
      </c>
      <c r="M13" t="s">
        <v>22</v>
      </c>
      <c r="N13" s="2" t="b">
        <v>0</v>
      </c>
      <c r="O13" s="2" t="s">
        <v>166</v>
      </c>
      <c r="P13" t="s">
        <v>77</v>
      </c>
      <c r="Q13" t="s">
        <v>183</v>
      </c>
      <c r="R13" t="s">
        <v>184</v>
      </c>
      <c r="S13" t="s">
        <v>169</v>
      </c>
      <c r="T13" s="3">
        <v>45819.778101701391</v>
      </c>
      <c r="U13" s="3">
        <v>45819.778101701391</v>
      </c>
    </row>
    <row r="14" spans="1:21" x14ac:dyDescent="0.2">
      <c r="A14" s="2" t="str">
        <f>HYPERLINK("https://portal.hubmapconsortium.org/browse/sample/096733e700ef7ab31bedf6bef6d5b9b2", "HBM399.HRKG.458")</f>
        <v>HBM399.HRKG.458</v>
      </c>
      <c r="B14" t="s">
        <v>17</v>
      </c>
      <c r="C14" t="s">
        <v>18</v>
      </c>
      <c r="D14" t="b">
        <v>1</v>
      </c>
      <c r="E14" s="2" t="str">
        <f t="shared" si="0"/>
        <v>HBM888.XXWD.357</v>
      </c>
      <c r="F14" t="s">
        <v>19</v>
      </c>
      <c r="K14" t="s">
        <v>20</v>
      </c>
      <c r="L14" t="s">
        <v>21</v>
      </c>
      <c r="M14" t="s">
        <v>22</v>
      </c>
      <c r="N14" t="b">
        <v>1</v>
      </c>
      <c r="O14" s="2" t="s">
        <v>23</v>
      </c>
      <c r="P14" t="s">
        <v>24</v>
      </c>
      <c r="Q14" t="s">
        <v>25</v>
      </c>
      <c r="R14" t="s">
        <v>26</v>
      </c>
      <c r="S14" t="s">
        <v>27</v>
      </c>
      <c r="T14" s="3">
        <v>44387.782008240742</v>
      </c>
      <c r="U14" s="3">
        <v>44466.18177185185</v>
      </c>
    </row>
    <row r="15" spans="1:21" x14ac:dyDescent="0.2">
      <c r="A15" s="2" t="str">
        <f>HYPERLINK("https://portal.hubmapconsortium.org/browse/sample/5ae0128190e5c96a3dc3f46dd7675e97", "HBM539.LXKF.934")</f>
        <v>HBM539.LXKF.934</v>
      </c>
      <c r="B15" t="s">
        <v>17</v>
      </c>
      <c r="C15" t="s">
        <v>18</v>
      </c>
      <c r="D15" t="b">
        <v>1</v>
      </c>
      <c r="E15" s="2" t="str">
        <f t="shared" si="0"/>
        <v>HBM888.XXWD.357</v>
      </c>
      <c r="F15" t="s">
        <v>28</v>
      </c>
      <c r="J15" t="s">
        <v>29</v>
      </c>
      <c r="K15" t="s">
        <v>20</v>
      </c>
      <c r="L15" t="s">
        <v>21</v>
      </c>
      <c r="M15" t="s">
        <v>22</v>
      </c>
      <c r="N15" t="b">
        <v>1</v>
      </c>
      <c r="O15" s="2" t="s">
        <v>23</v>
      </c>
      <c r="P15" t="s">
        <v>24</v>
      </c>
      <c r="Q15" t="s">
        <v>25</v>
      </c>
      <c r="R15" t="s">
        <v>26</v>
      </c>
      <c r="S15" t="s">
        <v>27</v>
      </c>
      <c r="T15" s="3">
        <v>44703.745370324083</v>
      </c>
      <c r="U15" s="3">
        <v>44730.625672581024</v>
      </c>
    </row>
    <row r="16" spans="1:21" x14ac:dyDescent="0.2">
      <c r="A16" s="2" t="str">
        <f>HYPERLINK("https://portal.hubmapconsortium.org/browse/sample/ad3231b7dc48068b9b884f6ba967de85", "HBM633.CHDG.392")</f>
        <v>HBM633.CHDG.392</v>
      </c>
      <c r="B16" t="s">
        <v>17</v>
      </c>
      <c r="C16" t="s">
        <v>18</v>
      </c>
      <c r="D16" t="b">
        <v>1</v>
      </c>
      <c r="E16" s="2" t="str">
        <f t="shared" si="0"/>
        <v>HBM888.XXWD.357</v>
      </c>
      <c r="F16" t="s">
        <v>30</v>
      </c>
      <c r="K16" t="s">
        <v>20</v>
      </c>
      <c r="L16" t="s">
        <v>21</v>
      </c>
      <c r="M16" t="s">
        <v>22</v>
      </c>
      <c r="N16" t="b">
        <v>1</v>
      </c>
      <c r="O16" s="2" t="s">
        <v>23</v>
      </c>
      <c r="P16" t="s">
        <v>24</v>
      </c>
      <c r="Q16" t="s">
        <v>25</v>
      </c>
      <c r="R16" t="s">
        <v>26</v>
      </c>
      <c r="S16" t="s">
        <v>27</v>
      </c>
      <c r="T16" s="3">
        <v>44387.782008437498</v>
      </c>
      <c r="U16" s="3">
        <v>44467.108018842591</v>
      </c>
    </row>
    <row r="17" spans="1:21" x14ac:dyDescent="0.2">
      <c r="A17" s="2" t="str">
        <f>HYPERLINK("https://portal.hubmapconsortium.org/browse/sample/4237515bdd85c238189fc4c366575bf3", "HBM439.RKPP.789")</f>
        <v>HBM439.RKPP.789</v>
      </c>
      <c r="B17" t="s">
        <v>17</v>
      </c>
      <c r="C17" t="s">
        <v>18</v>
      </c>
      <c r="D17" t="b">
        <v>1</v>
      </c>
      <c r="E17" s="2" t="str">
        <f t="shared" si="0"/>
        <v>HBM888.XXWD.357</v>
      </c>
      <c r="F17" t="s">
        <v>31</v>
      </c>
      <c r="K17" t="s">
        <v>20</v>
      </c>
      <c r="L17" t="s">
        <v>21</v>
      </c>
      <c r="M17" t="s">
        <v>22</v>
      </c>
      <c r="N17" t="b">
        <v>1</v>
      </c>
      <c r="O17" s="2" t="s">
        <v>23</v>
      </c>
      <c r="P17" t="s">
        <v>24</v>
      </c>
      <c r="Q17" t="s">
        <v>25</v>
      </c>
      <c r="R17" t="s">
        <v>26</v>
      </c>
      <c r="S17" t="s">
        <v>27</v>
      </c>
      <c r="T17" s="3">
        <v>44387.78200861111</v>
      </c>
      <c r="U17" s="3">
        <v>44466.173171226852</v>
      </c>
    </row>
    <row r="18" spans="1:21" x14ac:dyDescent="0.2">
      <c r="A18" s="2" t="str">
        <f>HYPERLINK("https://portal.hubmapconsortium.org/browse/sample/86651c9d116a80ff359fe95a9455ab8b", "HBM736.NQNZ.734")</f>
        <v>HBM736.NQNZ.734</v>
      </c>
      <c r="B18" t="s">
        <v>17</v>
      </c>
      <c r="C18" t="s">
        <v>18</v>
      </c>
      <c r="D18" t="b">
        <v>1</v>
      </c>
      <c r="E18" s="2" t="str">
        <f t="shared" si="0"/>
        <v>HBM888.XXWD.357</v>
      </c>
      <c r="F18" t="s">
        <v>32</v>
      </c>
      <c r="K18" t="s">
        <v>20</v>
      </c>
      <c r="L18" t="s">
        <v>21</v>
      </c>
      <c r="M18" t="s">
        <v>22</v>
      </c>
      <c r="N18" t="b">
        <v>1</v>
      </c>
      <c r="O18" s="2" t="s">
        <v>23</v>
      </c>
      <c r="P18" t="s">
        <v>24</v>
      </c>
      <c r="Q18" t="s">
        <v>25</v>
      </c>
      <c r="R18" t="s">
        <v>26</v>
      </c>
      <c r="S18" t="s">
        <v>27</v>
      </c>
      <c r="T18" s="3">
        <v>44387.782008819442</v>
      </c>
      <c r="U18" s="3">
        <v>44466.169744039347</v>
      </c>
    </row>
    <row r="19" spans="1:21" x14ac:dyDescent="0.2">
      <c r="A19" s="2" t="str">
        <f>HYPERLINK("https://portal.hubmapconsortium.org/browse/sample/62df0069c0b1a60fbbfb7e7f55fbfe6b", "HBM665.NGTZ.359")</f>
        <v>HBM665.NGTZ.359</v>
      </c>
      <c r="B19" t="s">
        <v>33</v>
      </c>
      <c r="C19" t="s">
        <v>216</v>
      </c>
      <c r="D19" s="2" t="b">
        <v>0</v>
      </c>
      <c r="E19" s="2" t="str">
        <f>HYPERLINK("https://portal.hubmapconsortium.org/browse/sample/d84f2ca886df60fa3c88da03da0b1fe9", "HBM598.WKVR.237")</f>
        <v>HBM598.WKVR.237</v>
      </c>
      <c r="F19" s="5" t="s">
        <v>217</v>
      </c>
      <c r="G19" s="5" t="s">
        <v>897</v>
      </c>
      <c r="H19" s="5"/>
      <c r="I19" s="5"/>
      <c r="J19" t="s">
        <v>218</v>
      </c>
      <c r="K19" t="s">
        <v>20</v>
      </c>
      <c r="L19" t="s">
        <v>21</v>
      </c>
      <c r="M19" t="s">
        <v>22</v>
      </c>
      <c r="N19" s="2" t="b">
        <v>0</v>
      </c>
      <c r="O19" s="2" t="s">
        <v>166</v>
      </c>
      <c r="P19" t="s">
        <v>77</v>
      </c>
      <c r="Q19" t="s">
        <v>183</v>
      </c>
      <c r="R19" t="s">
        <v>184</v>
      </c>
      <c r="S19" t="s">
        <v>169</v>
      </c>
      <c r="T19" s="3">
        <v>45819.778111840278</v>
      </c>
      <c r="U19" s="3">
        <v>45819.778111840278</v>
      </c>
    </row>
    <row r="20" spans="1:21" x14ac:dyDescent="0.2">
      <c r="A20" s="2" t="str">
        <f>HYPERLINK("https://portal.hubmapconsortium.org/browse/sample/6bef9644dd0d600081ebce442a70eab1", "HBM466.QSPK.267")</f>
        <v>HBM466.QSPK.267</v>
      </c>
      <c r="B20" t="s">
        <v>33</v>
      </c>
      <c r="C20" t="s">
        <v>34</v>
      </c>
      <c r="D20" s="2" t="b">
        <v>0</v>
      </c>
      <c r="E20" s="2" t="str">
        <f t="shared" ref="E20:E36" si="1">HYPERLINK("https://portal.hubmapconsortium.org/browse/sample/83ab99a06a11a99e3fb971c922b50642", "HBM972.ZVMR.866")</f>
        <v>HBM972.ZVMR.866</v>
      </c>
      <c r="F20" s="5" t="s">
        <v>226</v>
      </c>
      <c r="G20" s="5">
        <v>25</v>
      </c>
      <c r="H20" s="5">
        <v>4</v>
      </c>
      <c r="I20" s="5">
        <v>4</v>
      </c>
      <c r="J20" t="s">
        <v>196</v>
      </c>
      <c r="K20" t="s">
        <v>20</v>
      </c>
      <c r="L20" t="s">
        <v>21</v>
      </c>
      <c r="M20" t="s">
        <v>22</v>
      </c>
      <c r="N20" s="2" t="b">
        <v>0</v>
      </c>
      <c r="O20" s="2" t="s">
        <v>166</v>
      </c>
      <c r="P20" t="s">
        <v>77</v>
      </c>
      <c r="Q20" t="s">
        <v>183</v>
      </c>
      <c r="R20" t="s">
        <v>184</v>
      </c>
      <c r="S20" t="s">
        <v>169</v>
      </c>
      <c r="T20" s="3">
        <v>45848.841416388888</v>
      </c>
      <c r="U20" s="3">
        <v>45848.841416388888</v>
      </c>
    </row>
    <row r="21" spans="1:21" x14ac:dyDescent="0.2">
      <c r="A21" s="2" t="str">
        <f>HYPERLINK("https://portal.hubmapconsortium.org/browse/sample/dde88293924bb3c17724e3f1692173cc", "HBM475.DHDS.342")</f>
        <v>HBM475.DHDS.342</v>
      </c>
      <c r="B21" t="s">
        <v>33</v>
      </c>
      <c r="C21" t="s">
        <v>34</v>
      </c>
      <c r="D21" s="2" t="b">
        <v>0</v>
      </c>
      <c r="E21" s="2" t="str">
        <f t="shared" si="1"/>
        <v>HBM972.ZVMR.866</v>
      </c>
      <c r="F21" s="5" t="s">
        <v>228</v>
      </c>
      <c r="G21" s="5">
        <v>25</v>
      </c>
      <c r="H21" s="5">
        <v>4</v>
      </c>
      <c r="I21" s="5">
        <v>3</v>
      </c>
      <c r="J21" t="s">
        <v>229</v>
      </c>
      <c r="K21" t="s">
        <v>20</v>
      </c>
      <c r="L21" t="s">
        <v>21</v>
      </c>
      <c r="M21" t="s">
        <v>22</v>
      </c>
      <c r="N21" s="2" t="b">
        <v>0</v>
      </c>
      <c r="O21" s="2" t="s">
        <v>166</v>
      </c>
      <c r="P21" t="s">
        <v>77</v>
      </c>
      <c r="Q21" t="s">
        <v>183</v>
      </c>
      <c r="R21" t="s">
        <v>184</v>
      </c>
      <c r="S21" t="s">
        <v>169</v>
      </c>
      <c r="T21" s="3">
        <v>45848.841434398149</v>
      </c>
      <c r="U21" s="3">
        <v>45848.841434398149</v>
      </c>
    </row>
    <row r="22" spans="1:21" x14ac:dyDescent="0.2">
      <c r="A22" s="2" t="str">
        <f>HYPERLINK("https://portal.hubmapconsortium.org/browse/sample/b82bdccb646086e051684607f8a28fb9", "HBM554.FQRX.796")</f>
        <v>HBM554.FQRX.796</v>
      </c>
      <c r="B22" t="s">
        <v>33</v>
      </c>
      <c r="C22" t="s">
        <v>34</v>
      </c>
      <c r="D22" s="2" t="b">
        <v>0</v>
      </c>
      <c r="E22" s="2" t="str">
        <f t="shared" si="1"/>
        <v>HBM972.ZVMR.866</v>
      </c>
      <c r="F22" s="5" t="s">
        <v>233</v>
      </c>
      <c r="G22" s="5">
        <v>25</v>
      </c>
      <c r="H22" s="5">
        <v>4</v>
      </c>
      <c r="I22" s="5">
        <v>5</v>
      </c>
      <c r="J22" t="s">
        <v>234</v>
      </c>
      <c r="K22" t="s">
        <v>20</v>
      </c>
      <c r="L22" t="s">
        <v>21</v>
      </c>
      <c r="M22" t="s">
        <v>22</v>
      </c>
      <c r="N22" s="2" t="b">
        <v>0</v>
      </c>
      <c r="O22" s="2" t="s">
        <v>235</v>
      </c>
      <c r="P22" t="s">
        <v>24</v>
      </c>
      <c r="Q22" t="s">
        <v>183</v>
      </c>
      <c r="R22" t="s">
        <v>184</v>
      </c>
      <c r="S22" t="s">
        <v>169</v>
      </c>
      <c r="T22" s="3">
        <v>45610.680346689813</v>
      </c>
      <c r="U22" s="3">
        <v>45610.680346689813</v>
      </c>
    </row>
    <row r="23" spans="1:21" x14ac:dyDescent="0.2">
      <c r="A23" s="2" t="str">
        <f>HYPERLINK("https://portal.hubmapconsortium.org/browse/sample/29d19a97bc5be4c45536625a894de69a", "HBM784.GXTN.798")</f>
        <v>HBM784.GXTN.798</v>
      </c>
      <c r="B23" t="s">
        <v>33</v>
      </c>
      <c r="C23" t="s">
        <v>34</v>
      </c>
      <c r="D23" s="2" t="b">
        <v>0</v>
      </c>
      <c r="E23" s="2" t="str">
        <f t="shared" si="1"/>
        <v>HBM972.ZVMR.866</v>
      </c>
      <c r="F23" s="5" t="s">
        <v>236</v>
      </c>
      <c r="G23" s="5">
        <v>25</v>
      </c>
      <c r="H23" s="5">
        <v>4</v>
      </c>
      <c r="I23" s="5">
        <v>3</v>
      </c>
      <c r="J23" t="s">
        <v>229</v>
      </c>
      <c r="K23" t="s">
        <v>20</v>
      </c>
      <c r="L23" t="s">
        <v>21</v>
      </c>
      <c r="M23" t="s">
        <v>22</v>
      </c>
      <c r="N23" s="2" t="b">
        <v>0</v>
      </c>
      <c r="O23" s="2" t="s">
        <v>166</v>
      </c>
      <c r="P23" t="s">
        <v>77</v>
      </c>
      <c r="Q23" t="s">
        <v>183</v>
      </c>
      <c r="R23" t="s">
        <v>184</v>
      </c>
      <c r="S23" t="s">
        <v>169</v>
      </c>
      <c r="T23" s="3">
        <v>45848.841455914349</v>
      </c>
      <c r="U23" s="3">
        <v>45848.841455914349</v>
      </c>
    </row>
    <row r="24" spans="1:21" x14ac:dyDescent="0.2">
      <c r="A24" s="2" t="str">
        <f>HYPERLINK("https://portal.hubmapconsortium.org/browse/sample/b4a33bd08ca07881a414984245ba1acd", "HBM564.SJNP.983")</f>
        <v>HBM564.SJNP.983</v>
      </c>
      <c r="B24" t="s">
        <v>33</v>
      </c>
      <c r="C24" t="s">
        <v>34</v>
      </c>
      <c r="D24" s="2" t="b">
        <v>0</v>
      </c>
      <c r="E24" s="2" t="str">
        <f t="shared" si="1"/>
        <v>HBM972.ZVMR.866</v>
      </c>
      <c r="F24" s="5" t="s">
        <v>239</v>
      </c>
      <c r="G24" s="5">
        <v>25</v>
      </c>
      <c r="H24" s="5">
        <v>4</v>
      </c>
      <c r="I24" s="5">
        <v>4</v>
      </c>
      <c r="J24" t="s">
        <v>229</v>
      </c>
      <c r="K24" t="s">
        <v>20</v>
      </c>
      <c r="L24" t="s">
        <v>21</v>
      </c>
      <c r="M24" t="s">
        <v>22</v>
      </c>
      <c r="N24" s="2" t="b">
        <v>0</v>
      </c>
      <c r="O24" s="2" t="s">
        <v>166</v>
      </c>
      <c r="P24" t="s">
        <v>77</v>
      </c>
      <c r="Q24" t="s">
        <v>183</v>
      </c>
      <c r="R24" t="s">
        <v>184</v>
      </c>
      <c r="S24" t="s">
        <v>169</v>
      </c>
      <c r="T24" s="3">
        <v>45848.84148560185</v>
      </c>
      <c r="U24" s="3">
        <v>45848.84148560185</v>
      </c>
    </row>
    <row r="25" spans="1:21" x14ac:dyDescent="0.2">
      <c r="A25" s="2" t="str">
        <f>HYPERLINK("https://portal.hubmapconsortium.org/browse/sample/ed6650da61d00a0c0c6f0797190f7b9f", "HBM766.JKZW.274")</f>
        <v>HBM766.JKZW.274</v>
      </c>
      <c r="B25" t="s">
        <v>33</v>
      </c>
      <c r="C25" t="s">
        <v>34</v>
      </c>
      <c r="D25" s="2" t="b">
        <v>0</v>
      </c>
      <c r="E25" s="2" t="str">
        <f t="shared" si="1"/>
        <v>HBM972.ZVMR.866</v>
      </c>
      <c r="F25" s="5" t="s">
        <v>242</v>
      </c>
      <c r="G25" s="5">
        <v>25</v>
      </c>
      <c r="H25" s="5">
        <v>4</v>
      </c>
      <c r="I25" s="5">
        <v>8</v>
      </c>
      <c r="J25" t="s">
        <v>229</v>
      </c>
      <c r="K25" t="s">
        <v>20</v>
      </c>
      <c r="L25" t="s">
        <v>21</v>
      </c>
      <c r="M25" t="s">
        <v>22</v>
      </c>
      <c r="N25" s="2" t="b">
        <v>0</v>
      </c>
      <c r="O25" s="2" t="s">
        <v>166</v>
      </c>
      <c r="P25" t="s">
        <v>77</v>
      </c>
      <c r="Q25" t="s">
        <v>183</v>
      </c>
      <c r="R25" t="s">
        <v>184</v>
      </c>
      <c r="S25" t="s">
        <v>169</v>
      </c>
      <c r="T25" s="3">
        <v>45848.841547384262</v>
      </c>
      <c r="U25" s="3">
        <v>45848.841547384262</v>
      </c>
    </row>
    <row r="26" spans="1:21" x14ac:dyDescent="0.2">
      <c r="A26" s="2" t="str">
        <f>HYPERLINK("https://portal.hubmapconsortium.org/browse/sample/f89032539ffd58c50816acb04c32c9c2", "HBM239.KHGT.597")</f>
        <v>HBM239.KHGT.597</v>
      </c>
      <c r="B26" t="s">
        <v>33</v>
      </c>
      <c r="C26" t="s">
        <v>34</v>
      </c>
      <c r="D26" s="2" t="b">
        <v>0</v>
      </c>
      <c r="E26" s="2" t="str">
        <f t="shared" si="1"/>
        <v>HBM972.ZVMR.866</v>
      </c>
      <c r="F26" s="5" t="s">
        <v>244</v>
      </c>
      <c r="G26" s="5">
        <v>25</v>
      </c>
      <c r="H26" s="5">
        <v>4</v>
      </c>
      <c r="I26" s="5">
        <v>5</v>
      </c>
      <c r="J26" t="s">
        <v>229</v>
      </c>
      <c r="K26" t="s">
        <v>20</v>
      </c>
      <c r="L26" t="s">
        <v>21</v>
      </c>
      <c r="M26" t="s">
        <v>22</v>
      </c>
      <c r="N26" s="2" t="b">
        <v>0</v>
      </c>
      <c r="O26" s="2" t="s">
        <v>166</v>
      </c>
      <c r="P26" t="s">
        <v>77</v>
      </c>
      <c r="Q26" t="s">
        <v>183</v>
      </c>
      <c r="R26" t="s">
        <v>184</v>
      </c>
      <c r="S26" t="s">
        <v>169</v>
      </c>
      <c r="T26" s="3">
        <v>45819.778123634263</v>
      </c>
      <c r="U26" s="3">
        <v>45819.778123634263</v>
      </c>
    </row>
    <row r="27" spans="1:21" x14ac:dyDescent="0.2">
      <c r="A27" s="2" t="str">
        <f>HYPERLINK("https://portal.hubmapconsortium.org/browse/sample/f61e6c06f9454a55adea67802fa2acd4", "HBM579.PFDV.745")</f>
        <v>HBM579.PFDV.745</v>
      </c>
      <c r="B27" t="s">
        <v>33</v>
      </c>
      <c r="C27" t="s">
        <v>34</v>
      </c>
      <c r="D27" s="2" t="b">
        <v>0</v>
      </c>
      <c r="E27" s="2" t="str">
        <f t="shared" si="1"/>
        <v>HBM972.ZVMR.866</v>
      </c>
      <c r="F27" s="5" t="s">
        <v>247</v>
      </c>
      <c r="G27" s="5">
        <v>25</v>
      </c>
      <c r="H27" s="5">
        <v>4</v>
      </c>
      <c r="I27" s="5">
        <v>8</v>
      </c>
      <c r="J27" t="s">
        <v>229</v>
      </c>
      <c r="K27" t="s">
        <v>20</v>
      </c>
      <c r="L27" t="s">
        <v>21</v>
      </c>
      <c r="M27" t="s">
        <v>22</v>
      </c>
      <c r="N27" s="2" t="b">
        <v>0</v>
      </c>
      <c r="O27" s="2" t="s">
        <v>166</v>
      </c>
      <c r="P27" t="s">
        <v>77</v>
      </c>
      <c r="Q27" t="s">
        <v>183</v>
      </c>
      <c r="R27" t="s">
        <v>184</v>
      </c>
      <c r="S27" t="s">
        <v>169</v>
      </c>
      <c r="T27" s="3">
        <v>45848.841607858798</v>
      </c>
      <c r="U27" s="3">
        <v>45848.841607858798</v>
      </c>
    </row>
    <row r="28" spans="1:21" x14ac:dyDescent="0.2">
      <c r="A28" s="2" t="str">
        <f>HYPERLINK("https://portal.hubmapconsortium.org/browse/sample/c75c1b22efde0638d42d20f26ee49351", "HBM562.ZLPZ.398")</f>
        <v>HBM562.ZLPZ.398</v>
      </c>
      <c r="B28" t="s">
        <v>33</v>
      </c>
      <c r="C28" t="s">
        <v>34</v>
      </c>
      <c r="D28" s="2" t="b">
        <v>0</v>
      </c>
      <c r="E28" s="2" t="str">
        <f t="shared" si="1"/>
        <v>HBM972.ZVMR.866</v>
      </c>
      <c r="F28" s="5" t="s">
        <v>249</v>
      </c>
      <c r="G28" s="5">
        <v>25</v>
      </c>
      <c r="H28" s="5">
        <v>4</v>
      </c>
      <c r="I28" s="5">
        <v>7</v>
      </c>
      <c r="J28" t="s">
        <v>229</v>
      </c>
      <c r="K28" t="s">
        <v>20</v>
      </c>
      <c r="L28" t="s">
        <v>21</v>
      </c>
      <c r="M28" t="s">
        <v>22</v>
      </c>
      <c r="N28" s="2" t="b">
        <v>0</v>
      </c>
      <c r="O28" s="2" t="s">
        <v>166</v>
      </c>
      <c r="P28" t="s">
        <v>77</v>
      </c>
      <c r="Q28" t="s">
        <v>183</v>
      </c>
      <c r="R28" t="s">
        <v>184</v>
      </c>
      <c r="S28" t="s">
        <v>169</v>
      </c>
      <c r="T28" s="3">
        <v>45819.778135763889</v>
      </c>
      <c r="U28" s="3">
        <v>45819.778135763889</v>
      </c>
    </row>
    <row r="29" spans="1:21" x14ac:dyDescent="0.2">
      <c r="A29" s="2" t="str">
        <f>HYPERLINK("https://portal.hubmapconsortium.org/browse/sample/46f5c8d7dc8d545c540748347d20a9b7", "HBM242.XXTB.333")</f>
        <v>HBM242.XXTB.333</v>
      </c>
      <c r="B29" t="s">
        <v>33</v>
      </c>
      <c r="C29" t="s">
        <v>34</v>
      </c>
      <c r="D29" t="b">
        <v>1</v>
      </c>
      <c r="E29" s="2" t="str">
        <f t="shared" si="1"/>
        <v>HBM972.ZVMR.866</v>
      </c>
      <c r="F29" t="s">
        <v>37</v>
      </c>
      <c r="K29" t="s">
        <v>20</v>
      </c>
      <c r="L29" t="s">
        <v>21</v>
      </c>
      <c r="M29" t="s">
        <v>22</v>
      </c>
      <c r="N29" t="b">
        <v>1</v>
      </c>
      <c r="O29" s="2" t="s">
        <v>23</v>
      </c>
      <c r="P29" t="s">
        <v>24</v>
      </c>
      <c r="Q29" t="s">
        <v>25</v>
      </c>
      <c r="R29" t="s">
        <v>26</v>
      </c>
      <c r="S29" t="s">
        <v>27</v>
      </c>
      <c r="T29" s="3">
        <v>44060.68714509259</v>
      </c>
      <c r="U29" s="3">
        <v>44462.592902326389</v>
      </c>
    </row>
    <row r="30" spans="1:21" x14ac:dyDescent="0.2">
      <c r="A30" s="2" t="str">
        <f>HYPERLINK("https://portal.hubmapconsortium.org/browse/sample/5d53bd5a71569c59c90d1608cd3da5c9", "HBM636.XRCL.997")</f>
        <v>HBM636.XRCL.997</v>
      </c>
      <c r="B30" t="s">
        <v>33</v>
      </c>
      <c r="C30" t="s">
        <v>34</v>
      </c>
      <c r="D30" t="b">
        <v>1</v>
      </c>
      <c r="E30" s="2" t="str">
        <f t="shared" si="1"/>
        <v>HBM972.ZVMR.866</v>
      </c>
      <c r="F30" t="s">
        <v>38</v>
      </c>
      <c r="K30" t="s">
        <v>20</v>
      </c>
      <c r="L30" t="s">
        <v>21</v>
      </c>
      <c r="M30" t="s">
        <v>22</v>
      </c>
      <c r="N30" t="b">
        <v>1</v>
      </c>
      <c r="O30" s="2" t="s">
        <v>23</v>
      </c>
      <c r="P30" t="s">
        <v>24</v>
      </c>
      <c r="Q30" t="s">
        <v>25</v>
      </c>
      <c r="R30" t="s">
        <v>26</v>
      </c>
      <c r="S30" t="s">
        <v>27</v>
      </c>
      <c r="T30" s="3">
        <v>44060.68714509259</v>
      </c>
      <c r="U30" s="3">
        <v>44462.594421273148</v>
      </c>
    </row>
    <row r="31" spans="1:21" x14ac:dyDescent="0.2">
      <c r="A31" s="2" t="str">
        <f>HYPERLINK("https://portal.hubmapconsortium.org/browse/sample/aff08197f187418318e12cd70c9a6e3d", "HBM288.MHXG.854")</f>
        <v>HBM288.MHXG.854</v>
      </c>
      <c r="B31" t="s">
        <v>33</v>
      </c>
      <c r="C31" t="s">
        <v>34</v>
      </c>
      <c r="D31" t="b">
        <v>1</v>
      </c>
      <c r="E31" s="2" t="str">
        <f t="shared" si="1"/>
        <v>HBM972.ZVMR.866</v>
      </c>
      <c r="F31" t="s">
        <v>39</v>
      </c>
      <c r="K31" t="s">
        <v>20</v>
      </c>
      <c r="L31" t="s">
        <v>21</v>
      </c>
      <c r="M31" t="s">
        <v>22</v>
      </c>
      <c r="N31" t="b">
        <v>1</v>
      </c>
      <c r="O31" s="2" t="s">
        <v>23</v>
      </c>
      <c r="P31" t="s">
        <v>24</v>
      </c>
      <c r="Q31" t="s">
        <v>25</v>
      </c>
      <c r="R31" t="s">
        <v>26</v>
      </c>
      <c r="S31" t="s">
        <v>27</v>
      </c>
      <c r="T31" s="3">
        <v>44060.68714509259</v>
      </c>
      <c r="U31" s="3">
        <v>44462.59362295139</v>
      </c>
    </row>
    <row r="32" spans="1:21" x14ac:dyDescent="0.2">
      <c r="A32" s="2" t="str">
        <f>HYPERLINK("https://portal.hubmapconsortium.org/browse/sample/fed53eab5847287de706a8dafa6faf8f", "HBM825.KBPF.658")</f>
        <v>HBM825.KBPF.658</v>
      </c>
      <c r="B32" t="s">
        <v>33</v>
      </c>
      <c r="C32" t="s">
        <v>34</v>
      </c>
      <c r="D32" t="b">
        <v>1</v>
      </c>
      <c r="E32" s="2" t="str">
        <f t="shared" si="1"/>
        <v>HBM972.ZVMR.866</v>
      </c>
      <c r="F32" t="s">
        <v>40</v>
      </c>
      <c r="K32" t="s">
        <v>20</v>
      </c>
      <c r="L32" t="s">
        <v>21</v>
      </c>
      <c r="M32" t="s">
        <v>22</v>
      </c>
      <c r="N32" t="b">
        <v>1</v>
      </c>
      <c r="O32" s="2" t="s">
        <v>23</v>
      </c>
      <c r="P32" t="s">
        <v>24</v>
      </c>
      <c r="Q32" t="s">
        <v>25</v>
      </c>
      <c r="R32" t="s">
        <v>26</v>
      </c>
      <c r="S32" t="s">
        <v>27</v>
      </c>
      <c r="T32" s="3">
        <v>44060.68714509259</v>
      </c>
      <c r="U32" s="3">
        <v>44462.594815266202</v>
      </c>
    </row>
    <row r="33" spans="1:21" x14ac:dyDescent="0.2">
      <c r="A33" s="2" t="str">
        <f>HYPERLINK("https://portal.hubmapconsortium.org/browse/sample/173fbebb10c3af766e26b1d6c9c8d563", "HBM897.MZNC.757")</f>
        <v>HBM897.MZNC.757</v>
      </c>
      <c r="B33" t="s">
        <v>33</v>
      </c>
      <c r="C33" t="s">
        <v>34</v>
      </c>
      <c r="D33" t="b">
        <v>1</v>
      </c>
      <c r="E33" s="2" t="str">
        <f t="shared" si="1"/>
        <v>HBM972.ZVMR.866</v>
      </c>
      <c r="F33" t="s">
        <v>41</v>
      </c>
      <c r="K33" t="s">
        <v>20</v>
      </c>
      <c r="L33" t="s">
        <v>21</v>
      </c>
      <c r="M33" t="s">
        <v>22</v>
      </c>
      <c r="N33" t="b">
        <v>1</v>
      </c>
      <c r="O33" s="2" t="s">
        <v>23</v>
      </c>
      <c r="P33" t="s">
        <v>24</v>
      </c>
      <c r="Q33" t="s">
        <v>25</v>
      </c>
      <c r="R33" t="s">
        <v>26</v>
      </c>
      <c r="S33" t="s">
        <v>27</v>
      </c>
      <c r="T33" s="3">
        <v>44060.68714509259</v>
      </c>
      <c r="U33" s="3">
        <v>44462.595228981481</v>
      </c>
    </row>
    <row r="34" spans="1:21" x14ac:dyDescent="0.2">
      <c r="A34" s="2" t="str">
        <f>HYPERLINK("https://portal.hubmapconsortium.org/browse/sample/6e5e5be224d88f38aa390d0c389839c7", "HBM279.ZBSM.472")</f>
        <v>HBM279.ZBSM.472</v>
      </c>
      <c r="B34" t="s">
        <v>33</v>
      </c>
      <c r="C34" t="s">
        <v>34</v>
      </c>
      <c r="D34" t="b">
        <v>1</v>
      </c>
      <c r="E34" s="2" t="str">
        <f t="shared" si="1"/>
        <v>HBM972.ZVMR.866</v>
      </c>
      <c r="F34" t="s">
        <v>42</v>
      </c>
      <c r="K34" t="s">
        <v>20</v>
      </c>
      <c r="L34" t="s">
        <v>21</v>
      </c>
      <c r="M34" t="s">
        <v>22</v>
      </c>
      <c r="N34" t="b">
        <v>1</v>
      </c>
      <c r="O34" s="2" t="s">
        <v>23</v>
      </c>
      <c r="P34" t="s">
        <v>24</v>
      </c>
      <c r="Q34" t="s">
        <v>25</v>
      </c>
      <c r="R34" t="s">
        <v>26</v>
      </c>
      <c r="S34" t="s">
        <v>27</v>
      </c>
      <c r="T34" s="3">
        <v>44060.68714509259</v>
      </c>
      <c r="U34" s="3">
        <v>44462.593240671296</v>
      </c>
    </row>
    <row r="35" spans="1:21" x14ac:dyDescent="0.2">
      <c r="A35" s="2" t="str">
        <f>HYPERLINK("https://portal.hubmapconsortium.org/browse/sample/bb2f22ab105c49476def20e47e9c1206", "HBM622.DQNP.599")</f>
        <v>HBM622.DQNP.599</v>
      </c>
      <c r="B35" t="s">
        <v>33</v>
      </c>
      <c r="C35" t="s">
        <v>34</v>
      </c>
      <c r="D35" t="b">
        <v>1</v>
      </c>
      <c r="E35" s="2" t="str">
        <f t="shared" si="1"/>
        <v>HBM972.ZVMR.866</v>
      </c>
      <c r="F35" t="s">
        <v>43</v>
      </c>
      <c r="K35" t="s">
        <v>20</v>
      </c>
      <c r="L35" t="s">
        <v>21</v>
      </c>
      <c r="M35" t="s">
        <v>22</v>
      </c>
      <c r="N35" t="b">
        <v>1</v>
      </c>
      <c r="O35" s="2" t="s">
        <v>23</v>
      </c>
      <c r="P35" t="s">
        <v>24</v>
      </c>
      <c r="Q35" t="s">
        <v>25</v>
      </c>
      <c r="R35" t="s">
        <v>26</v>
      </c>
      <c r="S35" t="s">
        <v>27</v>
      </c>
      <c r="T35" s="3">
        <v>44060.68714509259</v>
      </c>
      <c r="U35" s="3">
        <v>44462.594096886583</v>
      </c>
    </row>
    <row r="36" spans="1:21" x14ac:dyDescent="0.2">
      <c r="A36" s="2" t="str">
        <f>HYPERLINK("https://portal.hubmapconsortium.org/browse/sample/643e32742a766d63dd15d99a542d4173", "HBM466.CDSN.556")</f>
        <v>HBM466.CDSN.556</v>
      </c>
      <c r="B36" t="s">
        <v>33</v>
      </c>
      <c r="C36" t="s">
        <v>34</v>
      </c>
      <c r="D36" t="b">
        <v>1</v>
      </c>
      <c r="E36" s="2" t="str">
        <f t="shared" si="1"/>
        <v>HBM972.ZVMR.866</v>
      </c>
      <c r="F36" t="s">
        <v>44</v>
      </c>
      <c r="J36" t="s">
        <v>45</v>
      </c>
      <c r="K36" t="s">
        <v>20</v>
      </c>
      <c r="L36" t="s">
        <v>21</v>
      </c>
      <c r="M36" t="s">
        <v>22</v>
      </c>
      <c r="N36" t="b">
        <v>1</v>
      </c>
      <c r="O36" s="2" t="s">
        <v>23</v>
      </c>
      <c r="P36" t="s">
        <v>24</v>
      </c>
      <c r="Q36" t="s">
        <v>25</v>
      </c>
      <c r="R36" t="s">
        <v>26</v>
      </c>
      <c r="S36" t="s">
        <v>27</v>
      </c>
      <c r="T36" s="3">
        <v>44427.848242974527</v>
      </c>
      <c r="U36" s="3">
        <v>44467.058010486107</v>
      </c>
    </row>
    <row r="37" spans="1:21" x14ac:dyDescent="0.2">
      <c r="A37" s="2" t="str">
        <f>HYPERLINK("https://portal.hubmapconsortium.org/browse/sample/8d89ca0de235ede7ce756c9668c7596e", "HBM776.MWMG.262")</f>
        <v>HBM776.MWMG.262</v>
      </c>
      <c r="B37" t="s">
        <v>46</v>
      </c>
      <c r="C37" t="s">
        <v>47</v>
      </c>
      <c r="D37" t="b">
        <v>0</v>
      </c>
      <c r="E37" s="2" t="str">
        <f>HYPERLINK("https://portal.hubmapconsortium.org/browse/sample/124e9eccc4e80afa3cf6c6da18ea882c", "HBM867.CKFH.272")</f>
        <v>HBM867.CKFH.272</v>
      </c>
      <c r="F37" t="s">
        <v>48</v>
      </c>
      <c r="G37">
        <v>29</v>
      </c>
      <c r="H37">
        <v>4</v>
      </c>
      <c r="I37">
        <v>4</v>
      </c>
      <c r="J37" t="s">
        <v>49</v>
      </c>
      <c r="K37" t="s">
        <v>20</v>
      </c>
      <c r="L37" t="s">
        <v>21</v>
      </c>
      <c r="M37" t="s">
        <v>22</v>
      </c>
      <c r="N37" t="b">
        <v>0</v>
      </c>
      <c r="O37" s="2" t="s">
        <v>23</v>
      </c>
      <c r="P37" t="s">
        <v>24</v>
      </c>
      <c r="Q37" t="s">
        <v>25</v>
      </c>
      <c r="R37" t="s">
        <v>26</v>
      </c>
      <c r="S37" t="s">
        <v>27</v>
      </c>
      <c r="T37" s="3">
        <v>44703.762064664363</v>
      </c>
      <c r="U37" s="3">
        <v>44703.763925775464</v>
      </c>
    </row>
    <row r="38" spans="1:21" x14ac:dyDescent="0.2">
      <c r="A38" s="2" t="str">
        <f>HYPERLINK("https://portal.hubmapconsortium.org/browse/sample/638a483d2daac131b79c4d242ac7efc3", "HBM495.CCMS.672")</f>
        <v>HBM495.CCMS.672</v>
      </c>
      <c r="B38" t="s">
        <v>46</v>
      </c>
      <c r="C38" t="s">
        <v>47</v>
      </c>
      <c r="D38" t="b">
        <v>1</v>
      </c>
      <c r="E38" s="2" t="str">
        <f>HYPERLINK("https://portal.hubmapconsortium.org/browse/sample/124e9eccc4e80afa3cf6c6da18ea882c", "HBM867.CKFH.272")</f>
        <v>HBM867.CKFH.272</v>
      </c>
      <c r="F38" t="s">
        <v>50</v>
      </c>
      <c r="J38" t="s">
        <v>49</v>
      </c>
      <c r="K38" t="s">
        <v>20</v>
      </c>
      <c r="L38" t="s">
        <v>21</v>
      </c>
      <c r="M38" t="s">
        <v>22</v>
      </c>
      <c r="N38" t="b">
        <v>1</v>
      </c>
      <c r="O38" s="2" t="s">
        <v>23</v>
      </c>
      <c r="P38" t="s">
        <v>24</v>
      </c>
      <c r="Q38" t="s">
        <v>25</v>
      </c>
      <c r="R38" t="s">
        <v>26</v>
      </c>
      <c r="S38" t="s">
        <v>27</v>
      </c>
      <c r="T38" s="3">
        <v>44703.76206494213</v>
      </c>
      <c r="U38" s="3">
        <v>44730.726903692128</v>
      </c>
    </row>
    <row r="39" spans="1:21" x14ac:dyDescent="0.2">
      <c r="A39" s="2" t="str">
        <f>HYPERLINK("https://portal.hubmapconsortium.org/browse/sample/b9ae8c019f2ce4a20e2f4b6ae7cda9af", "HBM338.VMRG.486")</f>
        <v>HBM338.VMRG.486</v>
      </c>
      <c r="B39" t="s">
        <v>46</v>
      </c>
      <c r="C39" t="s">
        <v>47</v>
      </c>
      <c r="D39" t="b">
        <v>1</v>
      </c>
      <c r="E39" s="2" t="str">
        <f>HYPERLINK("https://portal.hubmapconsortium.org/browse/sample/124e9eccc4e80afa3cf6c6da18ea882c", "HBM867.CKFH.272")</f>
        <v>HBM867.CKFH.272</v>
      </c>
      <c r="F39" t="s">
        <v>51</v>
      </c>
      <c r="J39" t="s">
        <v>49</v>
      </c>
      <c r="K39" t="s">
        <v>20</v>
      </c>
      <c r="L39" t="s">
        <v>21</v>
      </c>
      <c r="M39" t="s">
        <v>22</v>
      </c>
      <c r="N39" t="b">
        <v>1</v>
      </c>
      <c r="O39" s="2" t="s">
        <v>23</v>
      </c>
      <c r="P39" t="s">
        <v>24</v>
      </c>
      <c r="Q39" t="s">
        <v>25</v>
      </c>
      <c r="R39" t="s">
        <v>26</v>
      </c>
      <c r="S39" t="s">
        <v>27</v>
      </c>
      <c r="T39" s="3">
        <v>44703.762065115741</v>
      </c>
      <c r="U39" s="3">
        <v>44730.735425659717</v>
      </c>
    </row>
    <row r="40" spans="1:21" x14ac:dyDescent="0.2">
      <c r="A40" s="2" t="str">
        <f>HYPERLINK("https://portal.hubmapconsortium.org/browse/sample/6bd10b73ec3bb100b691b9ed3f8c4e37", "HBM922.TCNK.538")</f>
        <v>HBM922.TCNK.538</v>
      </c>
      <c r="B40" t="s">
        <v>46</v>
      </c>
      <c r="C40" t="s">
        <v>47</v>
      </c>
      <c r="D40" t="b">
        <v>1</v>
      </c>
      <c r="E40" s="2" t="str">
        <f>HYPERLINK("https://portal.hubmapconsortium.org/browse/sample/124e9eccc4e80afa3cf6c6da18ea882c", "HBM867.CKFH.272")</f>
        <v>HBM867.CKFH.272</v>
      </c>
      <c r="F40" t="s">
        <v>52</v>
      </c>
      <c r="J40" t="s">
        <v>49</v>
      </c>
      <c r="K40" t="s">
        <v>20</v>
      </c>
      <c r="L40" t="s">
        <v>21</v>
      </c>
      <c r="M40" t="s">
        <v>22</v>
      </c>
      <c r="N40" t="b">
        <v>1</v>
      </c>
      <c r="O40" s="2" t="s">
        <v>23</v>
      </c>
      <c r="P40" t="s">
        <v>24</v>
      </c>
      <c r="Q40" t="s">
        <v>25</v>
      </c>
      <c r="R40" t="s">
        <v>26</v>
      </c>
      <c r="S40" t="s">
        <v>27</v>
      </c>
      <c r="T40" s="3">
        <v>44703.762065289353</v>
      </c>
      <c r="U40" s="3">
        <v>44730.747178634258</v>
      </c>
    </row>
    <row r="41" spans="1:21" x14ac:dyDescent="0.2">
      <c r="A41" s="2" t="str">
        <f>HYPERLINK("https://portal.hubmapconsortium.org/browse/sample/83997d3696d9d5e6e6a5eb2483ea8f0d", "HBM439.XSCJ.847")</f>
        <v>HBM439.XSCJ.847</v>
      </c>
      <c r="B41" t="s">
        <v>46</v>
      </c>
      <c r="C41" t="s">
        <v>251</v>
      </c>
      <c r="D41" s="2" t="b">
        <v>0</v>
      </c>
      <c r="E41" s="2" t="str">
        <f>HYPERLINK("https://portal.hubmapconsortium.org/browse/sample/97408712e754c9d9ba0a450d8617997a", "HBM633.KTTT.942")</f>
        <v>HBM633.KTTT.942</v>
      </c>
      <c r="F41" t="s">
        <v>254</v>
      </c>
      <c r="G41">
        <v>21</v>
      </c>
      <c r="H41">
        <v>4</v>
      </c>
      <c r="I41">
        <v>7</v>
      </c>
      <c r="J41" t="s">
        <v>255</v>
      </c>
      <c r="K41" t="s">
        <v>20</v>
      </c>
      <c r="L41" t="s">
        <v>21</v>
      </c>
      <c r="M41" t="s">
        <v>22</v>
      </c>
      <c r="N41" s="2" t="b">
        <v>0</v>
      </c>
      <c r="O41" s="2" t="s">
        <v>166</v>
      </c>
      <c r="P41" t="s">
        <v>24</v>
      </c>
      <c r="Q41" t="s">
        <v>183</v>
      </c>
      <c r="R41" t="s">
        <v>184</v>
      </c>
      <c r="S41" t="s">
        <v>169</v>
      </c>
      <c r="T41" s="3">
        <v>45722.890963124999</v>
      </c>
      <c r="U41" s="3">
        <v>45722.903006273147</v>
      </c>
    </row>
    <row r="42" spans="1:21" x14ac:dyDescent="0.2">
      <c r="A42" s="2" t="str">
        <f>HYPERLINK("https://portal.hubmapconsortium.org/browse/sample/70a9b2f3ce9bb9ad015bff0ee05ffbca", "HBM548.KWTN.354")</f>
        <v>HBM548.KWTN.354</v>
      </c>
      <c r="B42" t="s">
        <v>53</v>
      </c>
      <c r="C42" t="s">
        <v>54</v>
      </c>
      <c r="D42" s="2" t="b">
        <v>0</v>
      </c>
      <c r="E42" s="2" t="str">
        <f t="shared" ref="E42:E47" si="2">HYPERLINK("https://portal.hubmapconsortium.org/browse/sample/75e0685fda23bf05bf3f75afd36f597c", "HBM757.DWNN.437")</f>
        <v>HBM757.DWNN.437</v>
      </c>
      <c r="F42" t="s">
        <v>258</v>
      </c>
      <c r="G42">
        <v>20</v>
      </c>
      <c r="H42">
        <v>3</v>
      </c>
      <c r="I42">
        <v>6</v>
      </c>
      <c r="J42" t="s">
        <v>259</v>
      </c>
      <c r="K42" t="s">
        <v>20</v>
      </c>
      <c r="L42" t="s">
        <v>21</v>
      </c>
      <c r="M42" t="s">
        <v>22</v>
      </c>
      <c r="N42" s="2" t="b">
        <v>0</v>
      </c>
      <c r="O42" s="2" t="s">
        <v>166</v>
      </c>
      <c r="P42" t="s">
        <v>24</v>
      </c>
      <c r="Q42" t="s">
        <v>183</v>
      </c>
      <c r="R42" t="s">
        <v>184</v>
      </c>
      <c r="S42" t="s">
        <v>169</v>
      </c>
      <c r="T42" s="3">
        <v>45722.890986458333</v>
      </c>
      <c r="U42" s="3">
        <v>45722.903206157411</v>
      </c>
    </row>
    <row r="43" spans="1:21" x14ac:dyDescent="0.2">
      <c r="A43" s="2" t="str">
        <f>HYPERLINK("https://portal.hubmapconsortium.org/browse/sample/678a20084899d8fae3733967a8c7bbb8", "HBM828.FDRM.746")</f>
        <v>HBM828.FDRM.746</v>
      </c>
      <c r="B43" t="s">
        <v>53</v>
      </c>
      <c r="C43" t="s">
        <v>54</v>
      </c>
      <c r="D43" t="b">
        <v>1</v>
      </c>
      <c r="E43" s="2" t="str">
        <f t="shared" si="2"/>
        <v>HBM757.DWNN.437</v>
      </c>
      <c r="F43" t="s">
        <v>55</v>
      </c>
      <c r="J43" t="s">
        <v>56</v>
      </c>
      <c r="K43" t="s">
        <v>20</v>
      </c>
      <c r="L43" t="s">
        <v>21</v>
      </c>
      <c r="M43" t="s">
        <v>22</v>
      </c>
      <c r="N43" t="b">
        <v>1</v>
      </c>
      <c r="O43" s="2" t="s">
        <v>57</v>
      </c>
      <c r="P43" t="s">
        <v>24</v>
      </c>
      <c r="Q43" t="s">
        <v>25</v>
      </c>
      <c r="R43" t="s">
        <v>26</v>
      </c>
      <c r="S43" t="s">
        <v>27</v>
      </c>
      <c r="T43" s="3">
        <v>44703.79954015046</v>
      </c>
      <c r="U43" s="3">
        <v>44730.76611866898</v>
      </c>
    </row>
    <row r="44" spans="1:21" x14ac:dyDescent="0.2">
      <c r="A44" s="2" t="str">
        <f>HYPERLINK("https://portal.hubmapconsortium.org/browse/sample/814bd0449a4b88dd432b4ad7e1ebe4f8", "HBM664.CMGH.349")</f>
        <v>HBM664.CMGH.349</v>
      </c>
      <c r="B44" t="s">
        <v>53</v>
      </c>
      <c r="C44" t="s">
        <v>54</v>
      </c>
      <c r="D44" t="b">
        <v>1</v>
      </c>
      <c r="E44" s="2" t="str">
        <f t="shared" si="2"/>
        <v>HBM757.DWNN.437</v>
      </c>
      <c r="F44" t="s">
        <v>58</v>
      </c>
      <c r="K44" t="s">
        <v>20</v>
      </c>
      <c r="L44" t="s">
        <v>21</v>
      </c>
      <c r="M44" t="s">
        <v>22</v>
      </c>
      <c r="N44" t="b">
        <v>1</v>
      </c>
      <c r="O44" s="2" t="s">
        <v>23</v>
      </c>
      <c r="P44" t="s">
        <v>24</v>
      </c>
      <c r="Q44" t="s">
        <v>25</v>
      </c>
      <c r="R44" t="s">
        <v>26</v>
      </c>
      <c r="S44" t="s">
        <v>27</v>
      </c>
      <c r="T44" s="3">
        <v>44387.99647568287</v>
      </c>
      <c r="U44" s="3">
        <v>44467.098370011583</v>
      </c>
    </row>
    <row r="45" spans="1:21" x14ac:dyDescent="0.2">
      <c r="A45" s="2" t="str">
        <f>HYPERLINK("https://portal.hubmapconsortium.org/browse/sample/9727d9bc9b938a988c88ae21738e00b5", "HBM328.HNFB.949")</f>
        <v>HBM328.HNFB.949</v>
      </c>
      <c r="B45" t="s">
        <v>53</v>
      </c>
      <c r="C45" t="s">
        <v>54</v>
      </c>
      <c r="D45" t="b">
        <v>1</v>
      </c>
      <c r="E45" s="2" t="str">
        <f t="shared" si="2"/>
        <v>HBM757.DWNN.437</v>
      </c>
      <c r="F45" t="s">
        <v>59</v>
      </c>
      <c r="J45" t="s">
        <v>56</v>
      </c>
      <c r="K45" t="s">
        <v>20</v>
      </c>
      <c r="L45" t="s">
        <v>21</v>
      </c>
      <c r="M45" t="s">
        <v>22</v>
      </c>
      <c r="N45" t="b">
        <v>1</v>
      </c>
      <c r="O45" s="2" t="s">
        <v>57</v>
      </c>
      <c r="P45" t="s">
        <v>24</v>
      </c>
      <c r="Q45" t="s">
        <v>25</v>
      </c>
      <c r="R45" t="s">
        <v>26</v>
      </c>
      <c r="S45" t="s">
        <v>27</v>
      </c>
      <c r="T45" s="3">
        <v>44703.799540416658</v>
      </c>
      <c r="U45" s="3">
        <v>44730.784701898148</v>
      </c>
    </row>
    <row r="46" spans="1:21" x14ac:dyDescent="0.2">
      <c r="A46" s="2" t="str">
        <f>HYPERLINK("https://portal.hubmapconsortium.org/browse/sample/7c911d2636459124eabc69883afe4cbc", "HBM267.HTHQ.426")</f>
        <v>HBM267.HTHQ.426</v>
      </c>
      <c r="B46" t="s">
        <v>53</v>
      </c>
      <c r="C46" t="s">
        <v>54</v>
      </c>
      <c r="D46" t="b">
        <v>1</v>
      </c>
      <c r="E46" s="2" t="str">
        <f t="shared" si="2"/>
        <v>HBM757.DWNN.437</v>
      </c>
      <c r="F46" t="s">
        <v>60</v>
      </c>
      <c r="J46" t="s">
        <v>56</v>
      </c>
      <c r="K46" t="s">
        <v>20</v>
      </c>
      <c r="L46" t="s">
        <v>21</v>
      </c>
      <c r="M46" t="s">
        <v>22</v>
      </c>
      <c r="N46" t="b">
        <v>1</v>
      </c>
      <c r="O46" s="2" t="s">
        <v>57</v>
      </c>
      <c r="P46" t="s">
        <v>24</v>
      </c>
      <c r="Q46" t="s">
        <v>25</v>
      </c>
      <c r="R46" t="s">
        <v>26</v>
      </c>
      <c r="S46" t="s">
        <v>27</v>
      </c>
      <c r="T46" s="3">
        <v>44703.799540590277</v>
      </c>
      <c r="U46" s="3">
        <v>44730.794086956019</v>
      </c>
    </row>
    <row r="47" spans="1:21" x14ac:dyDescent="0.2">
      <c r="A47" s="2" t="str">
        <f>HYPERLINK("https://portal.hubmapconsortium.org/browse/sample/fbb9843273bf419bfff9634878a42fef", "HBM399.SZKR.526")</f>
        <v>HBM399.SZKR.526</v>
      </c>
      <c r="B47" t="s">
        <v>53</v>
      </c>
      <c r="C47" t="s">
        <v>54</v>
      </c>
      <c r="D47" t="b">
        <v>1</v>
      </c>
      <c r="E47" s="2" t="str">
        <f t="shared" si="2"/>
        <v>HBM757.DWNN.437</v>
      </c>
      <c r="F47" t="s">
        <v>61</v>
      </c>
      <c r="J47" t="s">
        <v>56</v>
      </c>
      <c r="K47" t="s">
        <v>20</v>
      </c>
      <c r="L47" t="s">
        <v>21</v>
      </c>
      <c r="M47" t="s">
        <v>22</v>
      </c>
      <c r="N47" t="b">
        <v>1</v>
      </c>
      <c r="O47" s="2" t="s">
        <v>57</v>
      </c>
      <c r="P47" t="s">
        <v>24</v>
      </c>
      <c r="Q47" t="s">
        <v>25</v>
      </c>
      <c r="R47" t="s">
        <v>26</v>
      </c>
      <c r="S47" t="s">
        <v>27</v>
      </c>
      <c r="T47" s="3">
        <v>44703.799540752312</v>
      </c>
      <c r="U47" s="3">
        <v>44730.8151634838</v>
      </c>
    </row>
    <row r="48" spans="1:21" x14ac:dyDescent="0.2">
      <c r="A48" s="2" t="str">
        <f>HYPERLINK("https://portal.hubmapconsortium.org/browse/sample/ed9f69c18378e00e9b59a51489689fb3", "HBM745.XSZJ.387")</f>
        <v>HBM745.XSZJ.387</v>
      </c>
      <c r="B48" t="s">
        <v>62</v>
      </c>
      <c r="C48" t="s">
        <v>63</v>
      </c>
      <c r="D48" s="2" t="b">
        <v>0</v>
      </c>
      <c r="E48" s="2" t="str">
        <f t="shared" ref="E48:E58" si="3">HYPERLINK("https://portal.hubmapconsortium.org/browse/sample/5b24ccb2caa0fadbb19325591b4c2236", "HBM247.SHRT.724")</f>
        <v>HBM247.SHRT.724</v>
      </c>
      <c r="F48" t="s">
        <v>265</v>
      </c>
      <c r="G48">
        <v>20</v>
      </c>
      <c r="H48">
        <v>4</v>
      </c>
      <c r="I48">
        <v>8</v>
      </c>
      <c r="J48" t="s">
        <v>266</v>
      </c>
      <c r="K48" t="s">
        <v>20</v>
      </c>
      <c r="L48" t="s">
        <v>21</v>
      </c>
      <c r="M48" t="s">
        <v>22</v>
      </c>
      <c r="N48" s="2" t="b">
        <v>0</v>
      </c>
      <c r="O48" s="2" t="s">
        <v>166</v>
      </c>
      <c r="P48" t="s">
        <v>24</v>
      </c>
      <c r="Q48" t="s">
        <v>183</v>
      </c>
      <c r="R48" t="s">
        <v>184</v>
      </c>
      <c r="S48" t="s">
        <v>169</v>
      </c>
      <c r="T48" s="3">
        <v>45741.622969537028</v>
      </c>
      <c r="U48" s="3">
        <v>45741.622969537028</v>
      </c>
    </row>
    <row r="49" spans="1:21" x14ac:dyDescent="0.2">
      <c r="A49" s="2" t="str">
        <f>HYPERLINK("https://portal.hubmapconsortium.org/browse/sample/19e75ac18b4279ee82d81d370495c56a", "HBM696.NSWW.345")</f>
        <v>HBM696.NSWW.345</v>
      </c>
      <c r="B49" t="s">
        <v>62</v>
      </c>
      <c r="C49" t="s">
        <v>63</v>
      </c>
      <c r="D49" s="2" t="b">
        <v>0</v>
      </c>
      <c r="E49" s="2" t="str">
        <f t="shared" si="3"/>
        <v>HBM247.SHRT.724</v>
      </c>
      <c r="F49" t="s">
        <v>267</v>
      </c>
      <c r="G49">
        <v>20</v>
      </c>
      <c r="H49">
        <v>4</v>
      </c>
      <c r="I49">
        <v>7</v>
      </c>
      <c r="J49" t="s">
        <v>268</v>
      </c>
      <c r="K49" t="s">
        <v>20</v>
      </c>
      <c r="L49" t="s">
        <v>21</v>
      </c>
      <c r="M49" t="s">
        <v>22</v>
      </c>
      <c r="N49" s="2" t="b">
        <v>0</v>
      </c>
      <c r="O49" s="2" t="s">
        <v>166</v>
      </c>
      <c r="P49" t="s">
        <v>77</v>
      </c>
      <c r="Q49" t="s">
        <v>167</v>
      </c>
      <c r="R49" t="s">
        <v>168</v>
      </c>
      <c r="S49" t="s">
        <v>169</v>
      </c>
      <c r="T49" s="3">
        <v>45789.82286482639</v>
      </c>
      <c r="U49" s="3">
        <v>45789.82286482639</v>
      </c>
    </row>
    <row r="50" spans="1:21" x14ac:dyDescent="0.2">
      <c r="A50" s="2" t="str">
        <f>HYPERLINK("https://portal.hubmapconsortium.org/browse/sample/90ccaa377259bc049f8644f8c2003e36", "HBM727.WZMV.684")</f>
        <v>HBM727.WZMV.684</v>
      </c>
      <c r="B50" t="s">
        <v>62</v>
      </c>
      <c r="C50" t="s">
        <v>63</v>
      </c>
      <c r="D50" s="2" t="b">
        <v>0</v>
      </c>
      <c r="E50" s="2" t="str">
        <f t="shared" si="3"/>
        <v>HBM247.SHRT.724</v>
      </c>
      <c r="F50" t="s">
        <v>269</v>
      </c>
      <c r="G50">
        <v>20</v>
      </c>
      <c r="H50">
        <v>4</v>
      </c>
      <c r="I50">
        <v>5</v>
      </c>
      <c r="J50" t="s">
        <v>270</v>
      </c>
      <c r="K50" t="s">
        <v>20</v>
      </c>
      <c r="L50" t="s">
        <v>21</v>
      </c>
      <c r="M50" t="s">
        <v>22</v>
      </c>
      <c r="N50" s="2" t="b">
        <v>0</v>
      </c>
      <c r="O50" s="2" t="s">
        <v>262</v>
      </c>
      <c r="P50" t="s">
        <v>24</v>
      </c>
      <c r="Q50" t="s">
        <v>167</v>
      </c>
      <c r="R50" t="s">
        <v>168</v>
      </c>
      <c r="S50" t="s">
        <v>169</v>
      </c>
      <c r="T50" s="3">
        <v>45316.646657245372</v>
      </c>
      <c r="U50" s="3">
        <v>45316.646657245372</v>
      </c>
    </row>
    <row r="51" spans="1:21" x14ac:dyDescent="0.2">
      <c r="A51" s="2" t="str">
        <f>HYPERLINK("https://portal.hubmapconsortium.org/browse/sample/bb125996355ca8646ec74a8bedb7639d", "HBM879.PRLJ.697")</f>
        <v>HBM879.PRLJ.697</v>
      </c>
      <c r="B51" t="s">
        <v>62</v>
      </c>
      <c r="C51" t="s">
        <v>63</v>
      </c>
      <c r="D51" s="2" t="b">
        <v>0</v>
      </c>
      <c r="E51" s="2" t="str">
        <f t="shared" si="3"/>
        <v>HBM247.SHRT.724</v>
      </c>
      <c r="F51" t="s">
        <v>271</v>
      </c>
      <c r="G51">
        <v>20</v>
      </c>
      <c r="H51">
        <v>4</v>
      </c>
      <c r="I51">
        <v>8</v>
      </c>
      <c r="J51" t="s">
        <v>270</v>
      </c>
      <c r="K51" t="s">
        <v>20</v>
      </c>
      <c r="L51" t="s">
        <v>21</v>
      </c>
      <c r="M51" t="s">
        <v>22</v>
      </c>
      <c r="N51" s="2" t="b">
        <v>0</v>
      </c>
      <c r="O51" s="2" t="s">
        <v>262</v>
      </c>
      <c r="P51" t="s">
        <v>24</v>
      </c>
      <c r="Q51" t="s">
        <v>167</v>
      </c>
      <c r="R51" t="s">
        <v>168</v>
      </c>
      <c r="S51" t="s">
        <v>169</v>
      </c>
      <c r="T51" s="3">
        <v>45316.645787060188</v>
      </c>
      <c r="U51" s="3">
        <v>45362.145679953697</v>
      </c>
    </row>
    <row r="52" spans="1:21" x14ac:dyDescent="0.2">
      <c r="A52" s="2" t="str">
        <f>HYPERLINK("https://portal.hubmapconsortium.org/browse/sample/06fd15efbba53f1bd8d1ba4ed9f55421", "HBM325.FMTV.343")</f>
        <v>HBM325.FMTV.343</v>
      </c>
      <c r="B52" t="s">
        <v>62</v>
      </c>
      <c r="C52" t="s">
        <v>63</v>
      </c>
      <c r="D52" t="b">
        <v>1</v>
      </c>
      <c r="E52" s="2" t="str">
        <f t="shared" si="3"/>
        <v>HBM247.SHRT.724</v>
      </c>
      <c r="F52" t="s">
        <v>64</v>
      </c>
      <c r="J52" t="s">
        <v>65</v>
      </c>
      <c r="K52" t="s">
        <v>20</v>
      </c>
      <c r="L52" t="s">
        <v>21</v>
      </c>
      <c r="M52" t="s">
        <v>22</v>
      </c>
      <c r="N52" t="b">
        <v>1</v>
      </c>
      <c r="O52" s="2" t="s">
        <v>57</v>
      </c>
      <c r="P52" t="s">
        <v>24</v>
      </c>
      <c r="Q52" t="s">
        <v>25</v>
      </c>
      <c r="R52" t="s">
        <v>26</v>
      </c>
      <c r="S52" t="s">
        <v>27</v>
      </c>
      <c r="T52" s="3">
        <v>44704.032754548607</v>
      </c>
      <c r="U52" s="3">
        <v>44730.830147361114</v>
      </c>
    </row>
    <row r="53" spans="1:21" x14ac:dyDescent="0.2">
      <c r="A53" s="2" t="str">
        <f>HYPERLINK("https://portal.hubmapconsortium.org/browse/sample/825e4d48c77f4b0444f1dcc3834e1a2d", "HBM744.DVKT.694")</f>
        <v>HBM744.DVKT.694</v>
      </c>
      <c r="B53" t="s">
        <v>62</v>
      </c>
      <c r="C53" t="s">
        <v>63</v>
      </c>
      <c r="D53" t="b">
        <v>1</v>
      </c>
      <c r="E53" s="2" t="str">
        <f t="shared" si="3"/>
        <v>HBM247.SHRT.724</v>
      </c>
      <c r="F53" t="s">
        <v>66</v>
      </c>
      <c r="K53" t="s">
        <v>20</v>
      </c>
      <c r="L53" t="s">
        <v>21</v>
      </c>
      <c r="M53" t="s">
        <v>22</v>
      </c>
      <c r="N53" t="b">
        <v>1</v>
      </c>
      <c r="O53" s="2" t="s">
        <v>23</v>
      </c>
      <c r="P53" t="s">
        <v>24</v>
      </c>
      <c r="Q53" t="s">
        <v>25</v>
      </c>
      <c r="R53" t="s">
        <v>26</v>
      </c>
      <c r="S53" t="s">
        <v>27</v>
      </c>
      <c r="T53" s="3">
        <v>44387.978834467591</v>
      </c>
      <c r="U53" s="3">
        <v>44466.127498506947</v>
      </c>
    </row>
    <row r="54" spans="1:21" x14ac:dyDescent="0.2">
      <c r="A54" s="2" t="str">
        <f>HYPERLINK("https://portal.hubmapconsortium.org/browse/sample/c4ce62fa093c5cd82cb2e8b41f4800d9", "HBM248.WJMR.773")</f>
        <v>HBM248.WJMR.773</v>
      </c>
      <c r="B54" t="s">
        <v>62</v>
      </c>
      <c r="C54" t="s">
        <v>63</v>
      </c>
      <c r="D54" s="2" t="b">
        <v>0</v>
      </c>
      <c r="E54" s="2" t="str">
        <f t="shared" si="3"/>
        <v>HBM247.SHRT.724</v>
      </c>
      <c r="F54" t="s">
        <v>275</v>
      </c>
      <c r="G54">
        <v>22</v>
      </c>
      <c r="H54">
        <v>1</v>
      </c>
      <c r="I54">
        <v>3</v>
      </c>
      <c r="K54" t="s">
        <v>20</v>
      </c>
      <c r="L54" t="s">
        <v>21</v>
      </c>
      <c r="M54" t="s">
        <v>22</v>
      </c>
      <c r="N54" s="2" t="b">
        <v>0</v>
      </c>
      <c r="O54" s="2" t="s">
        <v>274</v>
      </c>
      <c r="P54" t="s">
        <v>77</v>
      </c>
      <c r="Q54" t="s">
        <v>167</v>
      </c>
      <c r="R54" t="s">
        <v>168</v>
      </c>
      <c r="S54" t="s">
        <v>169</v>
      </c>
      <c r="T54" s="3">
        <v>45736.640518541673</v>
      </c>
      <c r="U54" s="3">
        <v>45736.645063599542</v>
      </c>
    </row>
    <row r="55" spans="1:21" x14ac:dyDescent="0.2">
      <c r="A55" s="2" t="str">
        <f>HYPERLINK("https://portal.hubmapconsortium.org/browse/sample/7e68adff1c4ad41005fe77eb71641fa4", "HBM624.HGGF.297")</f>
        <v>HBM624.HGGF.297</v>
      </c>
      <c r="B55" t="s">
        <v>62</v>
      </c>
      <c r="C55" t="s">
        <v>63</v>
      </c>
      <c r="D55" t="b">
        <v>1</v>
      </c>
      <c r="E55" s="2" t="str">
        <f t="shared" si="3"/>
        <v>HBM247.SHRT.724</v>
      </c>
      <c r="F55" t="s">
        <v>67</v>
      </c>
      <c r="K55" t="s">
        <v>20</v>
      </c>
      <c r="L55" t="s">
        <v>21</v>
      </c>
      <c r="M55" t="s">
        <v>22</v>
      </c>
      <c r="N55" t="b">
        <v>1</v>
      </c>
      <c r="O55" s="2" t="s">
        <v>23</v>
      </c>
      <c r="P55" t="s">
        <v>24</v>
      </c>
      <c r="Q55" t="s">
        <v>25</v>
      </c>
      <c r="R55" t="s">
        <v>26</v>
      </c>
      <c r="S55" t="s">
        <v>27</v>
      </c>
      <c r="T55" s="3">
        <v>44387.987638668979</v>
      </c>
      <c r="U55" s="3">
        <v>44467.073063993063</v>
      </c>
    </row>
    <row r="56" spans="1:21" x14ac:dyDescent="0.2">
      <c r="A56" s="2" t="str">
        <f>HYPERLINK("https://portal.hubmapconsortium.org/browse/sample/17b3afd0a7b2aca21ab51e72596f769b", "HBM824.SLZK.599")</f>
        <v>HBM824.SLZK.599</v>
      </c>
      <c r="B56" t="s">
        <v>62</v>
      </c>
      <c r="C56" t="s">
        <v>63</v>
      </c>
      <c r="D56" t="b">
        <v>1</v>
      </c>
      <c r="E56" s="2" t="str">
        <f t="shared" si="3"/>
        <v>HBM247.SHRT.724</v>
      </c>
      <c r="F56" t="s">
        <v>68</v>
      </c>
      <c r="J56" t="s">
        <v>69</v>
      </c>
      <c r="K56" t="s">
        <v>20</v>
      </c>
      <c r="L56" t="s">
        <v>21</v>
      </c>
      <c r="M56" t="s">
        <v>22</v>
      </c>
      <c r="N56" t="b">
        <v>1</v>
      </c>
      <c r="O56" s="2" t="s">
        <v>57</v>
      </c>
      <c r="P56" t="s">
        <v>24</v>
      </c>
      <c r="Q56" t="s">
        <v>25</v>
      </c>
      <c r="R56" t="s">
        <v>26</v>
      </c>
      <c r="S56" t="s">
        <v>27</v>
      </c>
      <c r="T56" s="3">
        <v>44704.032754872693</v>
      </c>
      <c r="U56" s="3">
        <v>44730.837286076392</v>
      </c>
    </row>
    <row r="57" spans="1:21" x14ac:dyDescent="0.2">
      <c r="A57" s="2" t="str">
        <f>HYPERLINK("https://portal.hubmapconsortium.org/browse/sample/878fba1e9cb02481bda8e38dc243c7de", "HBM437.CVGQ.787")</f>
        <v>HBM437.CVGQ.787</v>
      </c>
      <c r="B57" t="s">
        <v>62</v>
      </c>
      <c r="C57" t="s">
        <v>63</v>
      </c>
      <c r="D57" t="b">
        <v>1</v>
      </c>
      <c r="E57" s="2" t="str">
        <f t="shared" si="3"/>
        <v>HBM247.SHRT.724</v>
      </c>
      <c r="F57" t="s">
        <v>70</v>
      </c>
      <c r="K57" t="s">
        <v>20</v>
      </c>
      <c r="L57" t="s">
        <v>21</v>
      </c>
      <c r="M57" t="s">
        <v>22</v>
      </c>
      <c r="N57" t="b">
        <v>1</v>
      </c>
      <c r="O57" s="2" t="s">
        <v>23</v>
      </c>
      <c r="P57" t="s">
        <v>24</v>
      </c>
      <c r="Q57" t="s">
        <v>25</v>
      </c>
      <c r="R57" t="s">
        <v>26</v>
      </c>
      <c r="S57" t="s">
        <v>27</v>
      </c>
      <c r="T57" s="3">
        <v>44387.978834189817</v>
      </c>
      <c r="U57" s="3">
        <v>44466.150454803239</v>
      </c>
    </row>
    <row r="58" spans="1:21" x14ac:dyDescent="0.2">
      <c r="A58" s="2" t="str">
        <f>HYPERLINK("https://portal.hubmapconsortium.org/browse/sample/1a4319c0159c674a014d94b6ad493bb7", "HBM497.VGSN.945")</f>
        <v>HBM497.VGSN.945</v>
      </c>
      <c r="B58" t="s">
        <v>62</v>
      </c>
      <c r="C58" t="s">
        <v>63</v>
      </c>
      <c r="D58" t="b">
        <v>1</v>
      </c>
      <c r="E58" s="2" t="str">
        <f t="shared" si="3"/>
        <v>HBM247.SHRT.724</v>
      </c>
      <c r="F58" t="s">
        <v>71</v>
      </c>
      <c r="K58" t="s">
        <v>20</v>
      </c>
      <c r="L58" t="s">
        <v>21</v>
      </c>
      <c r="M58" t="s">
        <v>22</v>
      </c>
      <c r="N58" t="b">
        <v>1</v>
      </c>
      <c r="O58" s="2" t="s">
        <v>23</v>
      </c>
      <c r="P58" t="s">
        <v>24</v>
      </c>
      <c r="Q58" t="s">
        <v>25</v>
      </c>
      <c r="R58" t="s">
        <v>26</v>
      </c>
      <c r="S58" t="s">
        <v>27</v>
      </c>
      <c r="T58" s="3">
        <v>44387.987638460647</v>
      </c>
      <c r="U58" s="3">
        <v>44467.081841180552</v>
      </c>
    </row>
    <row r="59" spans="1:21" x14ac:dyDescent="0.2">
      <c r="A59" s="2" t="str">
        <f>HYPERLINK("https://portal.hubmapconsortium.org/browse/sample/46c312ed8a0d794e8d83b52bdb3ec3e8", "HBM588.VWJV.826")</f>
        <v>HBM588.VWJV.826</v>
      </c>
      <c r="B59" t="s">
        <v>72</v>
      </c>
      <c r="C59" t="s">
        <v>73</v>
      </c>
      <c r="D59" t="b">
        <v>1</v>
      </c>
      <c r="E59" s="2" t="str">
        <f t="shared" ref="E59:E64" si="4">HYPERLINK("https://portal.hubmapconsortium.org/browse/sample/914451adcbf7503357c542841367b6fb", "HBM693.VJCB.242")</f>
        <v>HBM693.VJCB.242</v>
      </c>
      <c r="F59" t="s">
        <v>74</v>
      </c>
      <c r="J59" t="s">
        <v>75</v>
      </c>
      <c r="K59" t="s">
        <v>20</v>
      </c>
      <c r="L59" t="s">
        <v>21</v>
      </c>
      <c r="M59" t="s">
        <v>22</v>
      </c>
      <c r="N59" t="b">
        <v>1</v>
      </c>
      <c r="O59" s="2" t="s">
        <v>76</v>
      </c>
      <c r="P59" t="s">
        <v>77</v>
      </c>
      <c r="Q59" t="s">
        <v>25</v>
      </c>
      <c r="R59" t="s">
        <v>26</v>
      </c>
      <c r="S59" t="s">
        <v>27</v>
      </c>
      <c r="T59" s="3">
        <v>44606.275445335647</v>
      </c>
      <c r="U59" s="3">
        <v>44606.283704097223</v>
      </c>
    </row>
    <row r="60" spans="1:21" x14ac:dyDescent="0.2">
      <c r="A60" s="2" t="str">
        <f>HYPERLINK("https://portal.hubmapconsortium.org/browse/sample/a1674a8ba8caf5515bdfbaf76ad7420c", "HBM395.JPSZ.677")</f>
        <v>HBM395.JPSZ.677</v>
      </c>
      <c r="B60" t="s">
        <v>72</v>
      </c>
      <c r="C60" t="s">
        <v>73</v>
      </c>
      <c r="D60" s="2" t="b">
        <v>0</v>
      </c>
      <c r="E60" s="2" t="str">
        <f t="shared" si="4"/>
        <v>HBM693.VJCB.242</v>
      </c>
      <c r="F60" t="s">
        <v>278</v>
      </c>
      <c r="G60">
        <v>20</v>
      </c>
      <c r="H60">
        <v>5</v>
      </c>
      <c r="I60">
        <v>9</v>
      </c>
      <c r="J60" t="s">
        <v>279</v>
      </c>
      <c r="K60" t="s">
        <v>20</v>
      </c>
      <c r="L60" t="s">
        <v>21</v>
      </c>
      <c r="M60" t="s">
        <v>22</v>
      </c>
      <c r="N60" s="2" t="b">
        <v>0</v>
      </c>
      <c r="O60" s="2" t="s">
        <v>166</v>
      </c>
      <c r="P60" t="s">
        <v>24</v>
      </c>
      <c r="Q60" t="s">
        <v>183</v>
      </c>
      <c r="R60" t="s">
        <v>184</v>
      </c>
      <c r="S60" t="s">
        <v>169</v>
      </c>
      <c r="T60" s="3">
        <v>45722.891007604157</v>
      </c>
      <c r="U60" s="3">
        <v>45722.903385879632</v>
      </c>
    </row>
    <row r="61" spans="1:21" x14ac:dyDescent="0.2">
      <c r="A61" s="2" t="str">
        <f>HYPERLINK("https://portal.hubmapconsortium.org/browse/sample/c901fc37457edd564e02518de7889225", "HBM435.QGHP.936")</f>
        <v>HBM435.QGHP.936</v>
      </c>
      <c r="B61" t="s">
        <v>72</v>
      </c>
      <c r="C61" t="s">
        <v>73</v>
      </c>
      <c r="D61" t="b">
        <v>1</v>
      </c>
      <c r="E61" s="2" t="str">
        <f t="shared" si="4"/>
        <v>HBM693.VJCB.242</v>
      </c>
      <c r="F61" t="s">
        <v>78</v>
      </c>
      <c r="K61" t="s">
        <v>20</v>
      </c>
      <c r="L61" t="s">
        <v>21</v>
      </c>
      <c r="M61" t="s">
        <v>22</v>
      </c>
      <c r="N61" t="b">
        <v>1</v>
      </c>
      <c r="O61" s="2" t="s">
        <v>76</v>
      </c>
      <c r="P61" t="s">
        <v>77</v>
      </c>
      <c r="Q61" t="s">
        <v>25</v>
      </c>
      <c r="R61" t="s">
        <v>26</v>
      </c>
      <c r="S61" t="s">
        <v>27</v>
      </c>
      <c r="T61" s="3">
        <v>44606.275445567131</v>
      </c>
      <c r="U61" s="3">
        <v>44606.290066145833</v>
      </c>
    </row>
    <row r="62" spans="1:21" x14ac:dyDescent="0.2">
      <c r="A62" s="2" t="str">
        <f>HYPERLINK("https://portal.hubmapconsortium.org/browse/sample/9f7b7b28fae00c8539bc0243df8fb207", "HBM946.WFMM.788")</f>
        <v>HBM946.WFMM.788</v>
      </c>
      <c r="B62" t="s">
        <v>72</v>
      </c>
      <c r="C62" t="s">
        <v>73</v>
      </c>
      <c r="D62" t="b">
        <v>1</v>
      </c>
      <c r="E62" s="2" t="str">
        <f t="shared" si="4"/>
        <v>HBM693.VJCB.242</v>
      </c>
      <c r="F62" t="s">
        <v>79</v>
      </c>
      <c r="J62" t="s">
        <v>80</v>
      </c>
      <c r="K62" t="s">
        <v>20</v>
      </c>
      <c r="L62" t="s">
        <v>21</v>
      </c>
      <c r="M62" t="s">
        <v>22</v>
      </c>
      <c r="N62" t="b">
        <v>1</v>
      </c>
      <c r="O62" s="2" t="s">
        <v>23</v>
      </c>
      <c r="P62" t="s">
        <v>24</v>
      </c>
      <c r="Q62" t="s">
        <v>25</v>
      </c>
      <c r="R62" t="s">
        <v>26</v>
      </c>
      <c r="S62" t="s">
        <v>27</v>
      </c>
      <c r="T62" s="3">
        <v>44487.085558078703</v>
      </c>
      <c r="U62" s="3">
        <v>44487.120664131937</v>
      </c>
    </row>
    <row r="63" spans="1:21" x14ac:dyDescent="0.2">
      <c r="A63" s="2" t="str">
        <f>HYPERLINK("https://portal.hubmapconsortium.org/browse/sample/24bdccf12d2200cebf572bb04b43eca2", "HBM385.MVFS.563")</f>
        <v>HBM385.MVFS.563</v>
      </c>
      <c r="B63" t="s">
        <v>72</v>
      </c>
      <c r="C63" t="s">
        <v>73</v>
      </c>
      <c r="D63" t="b">
        <v>1</v>
      </c>
      <c r="E63" s="2" t="str">
        <f t="shared" si="4"/>
        <v>HBM693.VJCB.242</v>
      </c>
      <c r="F63" t="s">
        <v>81</v>
      </c>
      <c r="J63" t="s">
        <v>82</v>
      </c>
      <c r="K63" t="s">
        <v>20</v>
      </c>
      <c r="L63" t="s">
        <v>21</v>
      </c>
      <c r="M63" t="s">
        <v>22</v>
      </c>
      <c r="N63" t="b">
        <v>1</v>
      </c>
      <c r="O63" s="2" t="s">
        <v>76</v>
      </c>
      <c r="P63" t="s">
        <v>77</v>
      </c>
      <c r="Q63" t="s">
        <v>25</v>
      </c>
      <c r="R63" t="s">
        <v>26</v>
      </c>
      <c r="S63" t="s">
        <v>27</v>
      </c>
      <c r="T63" s="3">
        <v>44606.275445798608</v>
      </c>
      <c r="U63" s="3">
        <v>44606.29598584491</v>
      </c>
    </row>
    <row r="64" spans="1:21" x14ac:dyDescent="0.2">
      <c r="A64" s="2" t="str">
        <f>HYPERLINK("https://portal.hubmapconsortium.org/browse/sample/ab2b437444d182648bbad8aa499d0f80", "HBM935.BPZZ.984")</f>
        <v>HBM935.BPZZ.984</v>
      </c>
      <c r="B64" t="s">
        <v>72</v>
      </c>
      <c r="C64" t="s">
        <v>73</v>
      </c>
      <c r="D64" t="b">
        <v>1</v>
      </c>
      <c r="E64" s="2" t="str">
        <f t="shared" si="4"/>
        <v>HBM693.VJCB.242</v>
      </c>
      <c r="F64" t="s">
        <v>83</v>
      </c>
      <c r="J64" t="s">
        <v>80</v>
      </c>
      <c r="K64" t="s">
        <v>20</v>
      </c>
      <c r="L64" t="s">
        <v>21</v>
      </c>
      <c r="M64" t="s">
        <v>22</v>
      </c>
      <c r="N64" t="b">
        <v>1</v>
      </c>
      <c r="O64" s="2" t="s">
        <v>23</v>
      </c>
      <c r="P64" t="s">
        <v>24</v>
      </c>
      <c r="Q64" t="s">
        <v>25</v>
      </c>
      <c r="R64" t="s">
        <v>26</v>
      </c>
      <c r="S64" t="s">
        <v>27</v>
      </c>
      <c r="T64" s="3">
        <v>44487.08555783565</v>
      </c>
      <c r="U64" s="3">
        <v>44487.111497673613</v>
      </c>
    </row>
    <row r="65" spans="1:21" x14ac:dyDescent="0.2">
      <c r="A65" s="2" t="str">
        <f>HYPERLINK("https://portal.hubmapconsortium.org/browse/sample/6e2d6e2c9623bb4ac30f307bdb56bea6", "HBM795.MJCN.964")</f>
        <v>HBM795.MJCN.964</v>
      </c>
      <c r="B65" t="s">
        <v>84</v>
      </c>
      <c r="C65" t="s">
        <v>85</v>
      </c>
      <c r="D65" s="2" t="b">
        <v>0</v>
      </c>
      <c r="E65" s="2" t="str">
        <f>HYPERLINK("https://portal.hubmapconsortium.org/browse/sample/30036c780684b91f47ea886887051bec", "HBM957.PBHP.655")</f>
        <v>HBM957.PBHP.655</v>
      </c>
      <c r="F65" t="s">
        <v>284</v>
      </c>
      <c r="G65">
        <v>20</v>
      </c>
      <c r="H65">
        <v>4</v>
      </c>
      <c r="I65">
        <v>7</v>
      </c>
      <c r="J65" t="s">
        <v>285</v>
      </c>
      <c r="K65" t="s">
        <v>20</v>
      </c>
      <c r="L65" t="s">
        <v>21</v>
      </c>
      <c r="M65" t="s">
        <v>22</v>
      </c>
      <c r="N65" s="2" t="b">
        <v>0</v>
      </c>
      <c r="O65" s="2" t="s">
        <v>166</v>
      </c>
      <c r="P65" t="s">
        <v>24</v>
      </c>
      <c r="Q65" t="s">
        <v>183</v>
      </c>
      <c r="R65" t="s">
        <v>184</v>
      </c>
      <c r="S65" t="s">
        <v>169</v>
      </c>
      <c r="T65" s="3">
        <v>45722.891029074082</v>
      </c>
      <c r="U65" s="3">
        <v>45722.903583333333</v>
      </c>
    </row>
    <row r="66" spans="1:21" x14ac:dyDescent="0.2">
      <c r="A66" s="2" t="str">
        <f>HYPERLINK("https://portal.hubmapconsortium.org/browse/sample/6bd977affa23b9c72775f5da7bb008b3", "HBM326.SRTD.984")</f>
        <v>HBM326.SRTD.984</v>
      </c>
      <c r="B66" t="s">
        <v>84</v>
      </c>
      <c r="C66" t="s">
        <v>85</v>
      </c>
      <c r="D66" t="b">
        <v>1</v>
      </c>
      <c r="E66" s="2" t="str">
        <f>HYPERLINK("https://portal.hubmapconsortium.org/browse/sample/30036c780684b91f47ea886887051bec", "HBM957.PBHP.655")</f>
        <v>HBM957.PBHP.655</v>
      </c>
      <c r="F66" t="s">
        <v>86</v>
      </c>
      <c r="K66" t="s">
        <v>20</v>
      </c>
      <c r="L66" t="s">
        <v>21</v>
      </c>
      <c r="M66" t="s">
        <v>22</v>
      </c>
      <c r="N66" t="b">
        <v>1</v>
      </c>
      <c r="O66" s="2" t="s">
        <v>23</v>
      </c>
      <c r="P66" t="s">
        <v>24</v>
      </c>
      <c r="Q66" t="s">
        <v>25</v>
      </c>
      <c r="R66" t="s">
        <v>26</v>
      </c>
      <c r="S66" t="s">
        <v>27</v>
      </c>
      <c r="T66" s="3">
        <v>44387.971948182872</v>
      </c>
      <c r="U66" s="3">
        <v>44466.157894166667</v>
      </c>
    </row>
    <row r="67" spans="1:21" x14ac:dyDescent="0.2">
      <c r="A67" s="2" t="str">
        <f>HYPERLINK("https://portal.hubmapconsortium.org/browse/sample/1faf0a1c75723bec60a496920bfc5219", "HBM444.WLVB.222")</f>
        <v>HBM444.WLVB.222</v>
      </c>
      <c r="B67" t="s">
        <v>87</v>
      </c>
      <c r="C67" t="s">
        <v>88</v>
      </c>
      <c r="D67" t="b">
        <v>1</v>
      </c>
      <c r="E67" s="2" t="str">
        <f>HYPERLINK("https://portal.hubmapconsortium.org/browse/sample/073a3361795080ea15a6e7049aacc94c", "HBM457.LKWK.628")</f>
        <v>HBM457.LKWK.628</v>
      </c>
      <c r="F67" t="s">
        <v>89</v>
      </c>
      <c r="J67" t="s">
        <v>90</v>
      </c>
      <c r="K67" t="s">
        <v>20</v>
      </c>
      <c r="L67" t="s">
        <v>21</v>
      </c>
      <c r="M67" t="s">
        <v>22</v>
      </c>
      <c r="N67" t="b">
        <v>1</v>
      </c>
      <c r="O67" s="2" t="s">
        <v>76</v>
      </c>
      <c r="P67" t="s">
        <v>77</v>
      </c>
      <c r="Q67" t="s">
        <v>25</v>
      </c>
      <c r="R67" t="s">
        <v>26</v>
      </c>
      <c r="S67" t="s">
        <v>27</v>
      </c>
      <c r="T67" s="3">
        <v>44605.842451354169</v>
      </c>
      <c r="U67" s="3">
        <v>44605.933248981477</v>
      </c>
    </row>
    <row r="68" spans="1:21" x14ac:dyDescent="0.2">
      <c r="A68" s="2" t="str">
        <f>HYPERLINK("https://portal.hubmapconsortium.org/browse/sample/0bd03ece486a441bd8dac8df764ae79e", "HBM889.LVLV.827")</f>
        <v>HBM889.LVLV.827</v>
      </c>
      <c r="B68" t="s">
        <v>87</v>
      </c>
      <c r="C68" t="s">
        <v>88</v>
      </c>
      <c r="D68" t="b">
        <v>1</v>
      </c>
      <c r="E68" s="2" t="str">
        <f>HYPERLINK("https://portal.hubmapconsortium.org/browse/sample/073a3361795080ea15a6e7049aacc94c", "HBM457.LKWK.628")</f>
        <v>HBM457.LKWK.628</v>
      </c>
      <c r="F68" t="s">
        <v>91</v>
      </c>
      <c r="J68" t="s">
        <v>90</v>
      </c>
      <c r="K68" t="s">
        <v>20</v>
      </c>
      <c r="L68" t="s">
        <v>21</v>
      </c>
      <c r="M68" t="s">
        <v>22</v>
      </c>
      <c r="N68" t="b">
        <v>1</v>
      </c>
      <c r="O68" s="2" t="s">
        <v>76</v>
      </c>
      <c r="P68" t="s">
        <v>77</v>
      </c>
      <c r="Q68" t="s">
        <v>25</v>
      </c>
      <c r="R68" t="s">
        <v>26</v>
      </c>
      <c r="S68" t="s">
        <v>27</v>
      </c>
      <c r="T68" s="3">
        <v>44605.842451701392</v>
      </c>
      <c r="U68" s="3">
        <v>44605.929695810177</v>
      </c>
    </row>
    <row r="69" spans="1:21" x14ac:dyDescent="0.2">
      <c r="A69" s="2" t="str">
        <f>HYPERLINK("https://portal.hubmapconsortium.org/browse/sample/18ef0bce0983ba9620179416d2d6d178", "HBM944.PSMP.747")</f>
        <v>HBM944.PSMP.747</v>
      </c>
      <c r="B69" t="s">
        <v>87</v>
      </c>
      <c r="C69" t="s">
        <v>88</v>
      </c>
      <c r="D69" t="b">
        <v>1</v>
      </c>
      <c r="E69" s="2" t="str">
        <f>HYPERLINK("https://portal.hubmapconsortium.org/browse/sample/073a3361795080ea15a6e7049aacc94c", "HBM457.LKWK.628")</f>
        <v>HBM457.LKWK.628</v>
      </c>
      <c r="F69" t="s">
        <v>92</v>
      </c>
      <c r="J69" t="s">
        <v>90</v>
      </c>
      <c r="K69" t="s">
        <v>20</v>
      </c>
      <c r="L69" t="s">
        <v>21</v>
      </c>
      <c r="M69" t="s">
        <v>22</v>
      </c>
      <c r="N69" t="b">
        <v>1</v>
      </c>
      <c r="O69" s="2" t="s">
        <v>76</v>
      </c>
      <c r="P69" t="s">
        <v>77</v>
      </c>
      <c r="Q69" t="s">
        <v>25</v>
      </c>
      <c r="R69" t="s">
        <v>26</v>
      </c>
      <c r="S69" t="s">
        <v>27</v>
      </c>
      <c r="T69" s="3">
        <v>44605.842451886572</v>
      </c>
      <c r="U69" s="3">
        <v>44605.933987847216</v>
      </c>
    </row>
    <row r="70" spans="1:21" x14ac:dyDescent="0.2">
      <c r="A70" s="2" t="str">
        <f>HYPERLINK("https://portal.hubmapconsortium.org/browse/sample/ba3df384c84f06657e64c10589a0f5ae", "HBM642.MHDG.573")</f>
        <v>HBM642.MHDG.573</v>
      </c>
      <c r="B70" t="s">
        <v>87</v>
      </c>
      <c r="C70" t="s">
        <v>88</v>
      </c>
      <c r="D70" t="b">
        <v>1</v>
      </c>
      <c r="E70" s="2" t="str">
        <f>HYPERLINK("https://portal.hubmapconsortium.org/browse/sample/073a3361795080ea15a6e7049aacc94c", "HBM457.LKWK.628")</f>
        <v>HBM457.LKWK.628</v>
      </c>
      <c r="F70" t="s">
        <v>93</v>
      </c>
      <c r="J70" t="s">
        <v>90</v>
      </c>
      <c r="K70" t="s">
        <v>20</v>
      </c>
      <c r="L70" t="s">
        <v>21</v>
      </c>
      <c r="M70" t="s">
        <v>22</v>
      </c>
      <c r="N70" t="b">
        <v>1</v>
      </c>
      <c r="O70" s="2" t="s">
        <v>76</v>
      </c>
      <c r="P70" t="s">
        <v>77</v>
      </c>
      <c r="Q70" t="s">
        <v>25</v>
      </c>
      <c r="R70" t="s">
        <v>26</v>
      </c>
      <c r="S70" t="s">
        <v>27</v>
      </c>
      <c r="T70" s="3">
        <v>44605.842452083343</v>
      </c>
      <c r="U70" s="3">
        <v>44605.934522210649</v>
      </c>
    </row>
    <row r="71" spans="1:21" x14ac:dyDescent="0.2">
      <c r="A71" s="2" t="str">
        <f>HYPERLINK("https://portal.hubmapconsortium.org/browse/sample/a6267125810102481da9f269eeb3f47a", "HBM536.PJNF.357")</f>
        <v>HBM536.PJNF.357</v>
      </c>
      <c r="B71" t="s">
        <v>94</v>
      </c>
      <c r="C71" t="s">
        <v>95</v>
      </c>
      <c r="D71" s="2" t="b">
        <v>0</v>
      </c>
      <c r="E71" s="2" t="str">
        <f t="shared" ref="E71:E77" si="5">HYPERLINK("https://portal.hubmapconsortium.org/browse/sample/b4d5c999634afcdb45473176dfdf14ab", "HBM224.PXCC.749")</f>
        <v>HBM224.PXCC.749</v>
      </c>
      <c r="F71" t="s">
        <v>288</v>
      </c>
      <c r="G71">
        <v>24</v>
      </c>
      <c r="H71">
        <v>4</v>
      </c>
      <c r="I71">
        <v>5</v>
      </c>
      <c r="J71" t="s">
        <v>289</v>
      </c>
      <c r="K71" t="s">
        <v>20</v>
      </c>
      <c r="L71" t="s">
        <v>21</v>
      </c>
      <c r="M71" t="s">
        <v>22</v>
      </c>
      <c r="N71" s="2" t="b">
        <v>0</v>
      </c>
      <c r="O71" s="2" t="s">
        <v>166</v>
      </c>
      <c r="P71" t="s">
        <v>24</v>
      </c>
      <c r="Q71" t="s">
        <v>183</v>
      </c>
      <c r="R71" t="s">
        <v>184</v>
      </c>
      <c r="S71" t="s">
        <v>169</v>
      </c>
      <c r="T71" s="3">
        <v>45741.622983530091</v>
      </c>
      <c r="U71" s="3">
        <v>45741.622983530091</v>
      </c>
    </row>
    <row r="72" spans="1:21" x14ac:dyDescent="0.2">
      <c r="A72" s="2" t="str">
        <f>HYPERLINK("https://portal.hubmapconsortium.org/browse/sample/05b441fb72cf92c9afc77b982a9052ae", "HBM927.GWCS.636")</f>
        <v>HBM927.GWCS.636</v>
      </c>
      <c r="B72" t="s">
        <v>94</v>
      </c>
      <c r="C72" t="s">
        <v>95</v>
      </c>
      <c r="D72" s="2" t="b">
        <v>0</v>
      </c>
      <c r="E72" s="2" t="str">
        <f t="shared" si="5"/>
        <v>HBM224.PXCC.749</v>
      </c>
      <c r="F72" t="s">
        <v>290</v>
      </c>
      <c r="G72">
        <v>24</v>
      </c>
      <c r="H72">
        <v>4</v>
      </c>
      <c r="I72">
        <v>5</v>
      </c>
      <c r="J72" t="s">
        <v>291</v>
      </c>
      <c r="K72" t="s">
        <v>20</v>
      </c>
      <c r="L72" t="s">
        <v>21</v>
      </c>
      <c r="M72" t="s">
        <v>22</v>
      </c>
      <c r="N72" s="2" t="b">
        <v>0</v>
      </c>
      <c r="O72" s="2" t="s">
        <v>166</v>
      </c>
      <c r="P72" t="s">
        <v>24</v>
      </c>
      <c r="Q72" t="s">
        <v>183</v>
      </c>
      <c r="R72" t="s">
        <v>184</v>
      </c>
      <c r="S72" t="s">
        <v>169</v>
      </c>
      <c r="T72" s="3">
        <v>45722.891052060193</v>
      </c>
      <c r="U72" s="3">
        <v>45722.903757395827</v>
      </c>
    </row>
    <row r="73" spans="1:21" x14ac:dyDescent="0.2">
      <c r="A73" s="2" t="str">
        <f>HYPERLINK("https://portal.hubmapconsortium.org/browse/sample/92292494fe566fcd19a54d27edca52f0", "HBM723.WVZJ.827")</f>
        <v>HBM723.WVZJ.827</v>
      </c>
      <c r="B73" t="s">
        <v>94</v>
      </c>
      <c r="C73" t="s">
        <v>95</v>
      </c>
      <c r="D73" t="b">
        <v>1</v>
      </c>
      <c r="E73" s="2" t="str">
        <f t="shared" si="5"/>
        <v>HBM224.PXCC.749</v>
      </c>
      <c r="F73" t="s">
        <v>96</v>
      </c>
      <c r="K73" t="s">
        <v>20</v>
      </c>
      <c r="L73" t="s">
        <v>21</v>
      </c>
      <c r="M73" t="s">
        <v>22</v>
      </c>
      <c r="N73" t="b">
        <v>1</v>
      </c>
      <c r="O73" s="2" t="s">
        <v>23</v>
      </c>
      <c r="P73" t="s">
        <v>24</v>
      </c>
      <c r="Q73" t="s">
        <v>25</v>
      </c>
      <c r="R73" t="s">
        <v>26</v>
      </c>
      <c r="S73" t="s">
        <v>27</v>
      </c>
      <c r="T73" s="3">
        <v>44386.133366469912</v>
      </c>
      <c r="U73" s="3">
        <v>44467.026623414349</v>
      </c>
    </row>
    <row r="74" spans="1:21" x14ac:dyDescent="0.2">
      <c r="A74" s="2" t="str">
        <f>HYPERLINK("https://portal.hubmapconsortium.org/browse/sample/e03ab23235245440a8d68e2d17d39c02", "HBM638.GGCQ.252")</f>
        <v>HBM638.GGCQ.252</v>
      </c>
      <c r="B74" t="s">
        <v>94</v>
      </c>
      <c r="C74" t="s">
        <v>95</v>
      </c>
      <c r="D74" t="b">
        <v>1</v>
      </c>
      <c r="E74" s="2" t="str">
        <f t="shared" si="5"/>
        <v>HBM224.PXCC.749</v>
      </c>
      <c r="F74" t="s">
        <v>97</v>
      </c>
      <c r="K74" t="s">
        <v>20</v>
      </c>
      <c r="L74" t="s">
        <v>21</v>
      </c>
      <c r="M74" t="s">
        <v>22</v>
      </c>
      <c r="N74" t="b">
        <v>1</v>
      </c>
      <c r="O74" s="2" t="s">
        <v>23</v>
      </c>
      <c r="P74" t="s">
        <v>24</v>
      </c>
      <c r="Q74" t="s">
        <v>25</v>
      </c>
      <c r="R74" t="s">
        <v>26</v>
      </c>
      <c r="S74" t="s">
        <v>27</v>
      </c>
      <c r="T74" s="3">
        <v>44386.133366307869</v>
      </c>
      <c r="U74" s="3">
        <v>44467.042042928239</v>
      </c>
    </row>
    <row r="75" spans="1:21" x14ac:dyDescent="0.2">
      <c r="A75" s="2" t="str">
        <f>HYPERLINK("https://portal.hubmapconsortium.org/browse/sample/b98686d9df0b06f26fa5c4cd417331a0", "HBM733.MDFT.436")</f>
        <v>HBM733.MDFT.436</v>
      </c>
      <c r="B75" t="s">
        <v>94</v>
      </c>
      <c r="C75" t="s">
        <v>95</v>
      </c>
      <c r="D75" t="b">
        <v>1</v>
      </c>
      <c r="E75" s="2" t="str">
        <f t="shared" si="5"/>
        <v>HBM224.PXCC.749</v>
      </c>
      <c r="F75" t="s">
        <v>98</v>
      </c>
      <c r="K75" t="s">
        <v>20</v>
      </c>
      <c r="L75" t="s">
        <v>21</v>
      </c>
      <c r="M75" t="s">
        <v>22</v>
      </c>
      <c r="N75" t="b">
        <v>1</v>
      </c>
      <c r="O75" s="2" t="s">
        <v>23</v>
      </c>
      <c r="P75" t="s">
        <v>24</v>
      </c>
      <c r="Q75" t="s">
        <v>25</v>
      </c>
      <c r="R75" t="s">
        <v>26</v>
      </c>
      <c r="S75" t="s">
        <v>27</v>
      </c>
      <c r="T75" s="3">
        <v>44386.133366041657</v>
      </c>
      <c r="U75" s="3">
        <v>44467.048430798612</v>
      </c>
    </row>
    <row r="76" spans="1:21" x14ac:dyDescent="0.2">
      <c r="A76" s="2" t="str">
        <f>HYPERLINK("https://portal.hubmapconsortium.org/browse/sample/6c7f7b91ee218f5bad7d8c498f7fe428", "HBM337.KBLS.364")</f>
        <v>HBM337.KBLS.364</v>
      </c>
      <c r="B76" t="s">
        <v>94</v>
      </c>
      <c r="C76" t="s">
        <v>95</v>
      </c>
      <c r="D76" t="b">
        <v>1</v>
      </c>
      <c r="E76" s="2" t="str">
        <f t="shared" si="5"/>
        <v>HBM224.PXCC.749</v>
      </c>
      <c r="F76" t="s">
        <v>99</v>
      </c>
      <c r="J76" t="s">
        <v>100</v>
      </c>
      <c r="K76" t="s">
        <v>20</v>
      </c>
      <c r="L76" t="s">
        <v>21</v>
      </c>
      <c r="M76" t="s">
        <v>22</v>
      </c>
      <c r="N76" t="b">
        <v>1</v>
      </c>
      <c r="O76" s="2" t="s">
        <v>57</v>
      </c>
      <c r="P76" t="s">
        <v>24</v>
      </c>
      <c r="Q76" t="s">
        <v>25</v>
      </c>
      <c r="R76" t="s">
        <v>26</v>
      </c>
      <c r="S76" t="s">
        <v>27</v>
      </c>
      <c r="T76" s="3">
        <v>44704.06830846065</v>
      </c>
      <c r="U76" s="3">
        <v>44733.080613321763</v>
      </c>
    </row>
    <row r="77" spans="1:21" x14ac:dyDescent="0.2">
      <c r="A77" s="2" t="str">
        <f>HYPERLINK("https://portal.hubmapconsortium.org/browse/sample/ac36bf37661605311f87c821f90d04f8", "HBM973.CRMG.832")</f>
        <v>HBM973.CRMG.832</v>
      </c>
      <c r="B77" t="s">
        <v>94</v>
      </c>
      <c r="C77" t="s">
        <v>95</v>
      </c>
      <c r="D77" t="b">
        <v>1</v>
      </c>
      <c r="E77" s="2" t="str">
        <f t="shared" si="5"/>
        <v>HBM224.PXCC.749</v>
      </c>
      <c r="F77" t="s">
        <v>101</v>
      </c>
      <c r="K77" t="s">
        <v>20</v>
      </c>
      <c r="L77" t="s">
        <v>21</v>
      </c>
      <c r="M77" t="s">
        <v>22</v>
      </c>
      <c r="N77" t="b">
        <v>1</v>
      </c>
      <c r="O77" s="2" t="s">
        <v>23</v>
      </c>
      <c r="P77" t="s">
        <v>24</v>
      </c>
      <c r="Q77" t="s">
        <v>25</v>
      </c>
      <c r="R77" t="s">
        <v>26</v>
      </c>
      <c r="S77" t="s">
        <v>27</v>
      </c>
      <c r="T77" s="3">
        <v>44386.133366631948</v>
      </c>
      <c r="U77" s="3">
        <v>44466.762729351853</v>
      </c>
    </row>
    <row r="78" spans="1:21" x14ac:dyDescent="0.2">
      <c r="A78" s="2" t="str">
        <f>HYPERLINK("https://portal.hubmapconsortium.org/browse/sample/434d183db0e9d7167b15538d380e968c", "HBM984.SBZT.693")</f>
        <v>HBM984.SBZT.693</v>
      </c>
      <c r="B78" t="s">
        <v>102</v>
      </c>
      <c r="C78" t="s">
        <v>103</v>
      </c>
      <c r="D78" t="b">
        <v>1</v>
      </c>
      <c r="E78" s="2" t="str">
        <f>HYPERLINK("https://portal.hubmapconsortium.org/browse/sample/7721014175fd163100b8807c7b628455", "HBM624.SPBH.585")</f>
        <v>HBM624.SPBH.585</v>
      </c>
      <c r="F78" t="s">
        <v>104</v>
      </c>
      <c r="J78" t="s">
        <v>105</v>
      </c>
      <c r="K78" t="s">
        <v>20</v>
      </c>
      <c r="L78" t="s">
        <v>21</v>
      </c>
      <c r="M78" t="s">
        <v>22</v>
      </c>
      <c r="N78" t="b">
        <v>1</v>
      </c>
      <c r="O78" s="2" t="s">
        <v>76</v>
      </c>
      <c r="P78" t="s">
        <v>77</v>
      </c>
      <c r="Q78" t="s">
        <v>25</v>
      </c>
      <c r="R78" t="s">
        <v>26</v>
      </c>
      <c r="S78" t="s">
        <v>27</v>
      </c>
      <c r="T78" s="3">
        <v>44606.012357349537</v>
      </c>
      <c r="U78" s="3">
        <v>44606.04575578704</v>
      </c>
    </row>
    <row r="79" spans="1:21" x14ac:dyDescent="0.2">
      <c r="A79" s="2" t="str">
        <f>HYPERLINK("https://portal.hubmapconsortium.org/browse/sample/21094972f6340966ed0688fe4cda3d73", "HBM548.JSMM.398")</f>
        <v>HBM548.JSMM.398</v>
      </c>
      <c r="B79" t="s">
        <v>102</v>
      </c>
      <c r="C79" t="s">
        <v>103</v>
      </c>
      <c r="D79" t="b">
        <v>1</v>
      </c>
      <c r="E79" s="2" t="str">
        <f>HYPERLINK("https://portal.hubmapconsortium.org/browse/sample/7721014175fd163100b8807c7b628455", "HBM624.SPBH.585")</f>
        <v>HBM624.SPBH.585</v>
      </c>
      <c r="F79" t="s">
        <v>106</v>
      </c>
      <c r="J79" t="s">
        <v>105</v>
      </c>
      <c r="K79" t="s">
        <v>20</v>
      </c>
      <c r="L79" t="s">
        <v>21</v>
      </c>
      <c r="M79" t="s">
        <v>22</v>
      </c>
      <c r="N79" t="b">
        <v>1</v>
      </c>
      <c r="O79" s="2" t="s">
        <v>76</v>
      </c>
      <c r="P79" t="s">
        <v>77</v>
      </c>
      <c r="Q79" t="s">
        <v>25</v>
      </c>
      <c r="R79" t="s">
        <v>26</v>
      </c>
      <c r="S79" t="s">
        <v>27</v>
      </c>
      <c r="T79" s="3">
        <v>44606.012357581021</v>
      </c>
      <c r="U79" s="3">
        <v>44606.056854131937</v>
      </c>
    </row>
    <row r="80" spans="1:21" x14ac:dyDescent="0.2">
      <c r="A80" s="2" t="str">
        <f>HYPERLINK("https://portal.hubmapconsortium.org/browse/sample/67e6b730ca7411bac6218e8470609a56", "HBM357.FCQK.842")</f>
        <v>HBM357.FCQK.842</v>
      </c>
      <c r="B80" t="s">
        <v>102</v>
      </c>
      <c r="C80" t="s">
        <v>103</v>
      </c>
      <c r="D80" t="b">
        <v>1</v>
      </c>
      <c r="E80" s="2" t="str">
        <f>HYPERLINK("https://portal.hubmapconsortium.org/browse/sample/7721014175fd163100b8807c7b628455", "HBM624.SPBH.585")</f>
        <v>HBM624.SPBH.585</v>
      </c>
      <c r="F80" t="s">
        <v>107</v>
      </c>
      <c r="J80" t="s">
        <v>105</v>
      </c>
      <c r="K80" t="s">
        <v>20</v>
      </c>
      <c r="L80" t="s">
        <v>21</v>
      </c>
      <c r="M80" t="s">
        <v>22</v>
      </c>
      <c r="N80" t="b">
        <v>1</v>
      </c>
      <c r="O80" s="2" t="s">
        <v>76</v>
      </c>
      <c r="P80" t="s">
        <v>77</v>
      </c>
      <c r="Q80" t="s">
        <v>25</v>
      </c>
      <c r="R80" t="s">
        <v>26</v>
      </c>
      <c r="S80" t="s">
        <v>27</v>
      </c>
      <c r="T80" s="3">
        <v>44606.012357847219</v>
      </c>
      <c r="U80" s="3">
        <v>44606.062793645833</v>
      </c>
    </row>
    <row r="81" spans="1:21" x14ac:dyDescent="0.2">
      <c r="A81" s="2" t="str">
        <f>HYPERLINK("https://portal.hubmapconsortium.org/browse/sample/c4b1788942e4e885f7cc32231455fc5d", "HBM427.XKJM.693")</f>
        <v>HBM427.XKJM.693</v>
      </c>
      <c r="B81" t="s">
        <v>108</v>
      </c>
      <c r="C81" t="s">
        <v>109</v>
      </c>
      <c r="D81" t="b">
        <v>1</v>
      </c>
      <c r="E81" s="2" t="str">
        <f>HYPERLINK("https://portal.hubmapconsortium.org/browse/sample/3ffec9546bd99b52e9a5fae7141fd600", "HBM588.MFZJ.862")</f>
        <v>HBM588.MFZJ.862</v>
      </c>
      <c r="F81" t="s">
        <v>110</v>
      </c>
      <c r="J81" t="s">
        <v>111</v>
      </c>
      <c r="K81" t="s">
        <v>20</v>
      </c>
      <c r="L81" t="s">
        <v>21</v>
      </c>
      <c r="M81" t="s">
        <v>22</v>
      </c>
      <c r="N81" t="b">
        <v>1</v>
      </c>
      <c r="O81" s="2" t="s">
        <v>76</v>
      </c>
      <c r="P81" t="s">
        <v>77</v>
      </c>
      <c r="Q81" t="s">
        <v>25</v>
      </c>
      <c r="R81" t="s">
        <v>26</v>
      </c>
      <c r="S81" t="s">
        <v>27</v>
      </c>
      <c r="T81" s="3">
        <v>44606.070257581021</v>
      </c>
      <c r="U81" s="3">
        <v>44606.090877615738</v>
      </c>
    </row>
    <row r="82" spans="1:21" x14ac:dyDescent="0.2">
      <c r="A82" s="2" t="str">
        <f>HYPERLINK("https://portal.hubmapconsortium.org/browse/sample/e470fdd9163d03c9427a8bfa8eee371c", "HBM353.XLCT.988")</f>
        <v>HBM353.XLCT.988</v>
      </c>
      <c r="B82" t="s">
        <v>108</v>
      </c>
      <c r="C82" t="s">
        <v>109</v>
      </c>
      <c r="D82" t="b">
        <v>1</v>
      </c>
      <c r="E82" s="2" t="str">
        <f>HYPERLINK("https://portal.hubmapconsortium.org/browse/sample/3ffec9546bd99b52e9a5fae7141fd600", "HBM588.MFZJ.862")</f>
        <v>HBM588.MFZJ.862</v>
      </c>
      <c r="F82" t="s">
        <v>112</v>
      </c>
      <c r="J82" t="s">
        <v>111</v>
      </c>
      <c r="K82" t="s">
        <v>20</v>
      </c>
      <c r="L82" t="s">
        <v>21</v>
      </c>
      <c r="M82" t="s">
        <v>22</v>
      </c>
      <c r="N82" t="b">
        <v>1</v>
      </c>
      <c r="O82" s="2" t="s">
        <v>76</v>
      </c>
      <c r="P82" t="s">
        <v>77</v>
      </c>
      <c r="Q82" t="s">
        <v>25</v>
      </c>
      <c r="R82" t="s">
        <v>26</v>
      </c>
      <c r="S82" t="s">
        <v>27</v>
      </c>
      <c r="T82" s="3">
        <v>44606.070257870371</v>
      </c>
      <c r="U82" s="3">
        <v>44606.097594282408</v>
      </c>
    </row>
    <row r="83" spans="1:21" x14ac:dyDescent="0.2">
      <c r="A83" s="2" t="str">
        <f>HYPERLINK("https://portal.hubmapconsortium.org/browse/sample/ca14bbfcfb4e69bcbbfa5f1eb0f033ae", "HBM599.XHXF.485")</f>
        <v>HBM599.XHXF.485</v>
      </c>
      <c r="B83" t="s">
        <v>108</v>
      </c>
      <c r="C83" t="s">
        <v>109</v>
      </c>
      <c r="D83" t="b">
        <v>1</v>
      </c>
      <c r="E83" s="2" t="str">
        <f>HYPERLINK("https://portal.hubmapconsortium.org/browse/sample/3ffec9546bd99b52e9a5fae7141fd600", "HBM588.MFZJ.862")</f>
        <v>HBM588.MFZJ.862</v>
      </c>
      <c r="F83" t="s">
        <v>113</v>
      </c>
      <c r="J83" t="s">
        <v>111</v>
      </c>
      <c r="K83" t="s">
        <v>20</v>
      </c>
      <c r="L83" t="s">
        <v>21</v>
      </c>
      <c r="M83" t="s">
        <v>22</v>
      </c>
      <c r="N83" t="b">
        <v>1</v>
      </c>
      <c r="O83" s="2" t="s">
        <v>76</v>
      </c>
      <c r="P83" t="s">
        <v>77</v>
      </c>
      <c r="Q83" t="s">
        <v>25</v>
      </c>
      <c r="R83" t="s">
        <v>26</v>
      </c>
      <c r="S83" t="s">
        <v>27</v>
      </c>
      <c r="T83" s="3">
        <v>44606.070258043983</v>
      </c>
      <c r="U83" s="3">
        <v>44606.099721365739</v>
      </c>
    </row>
    <row r="84" spans="1:21" x14ac:dyDescent="0.2">
      <c r="A84" s="2" t="str">
        <f>HYPERLINK("https://portal.hubmapconsortium.org/browse/sample/a094dc398408648860ef75d448f53ae7", "HBM686.ZQDH.394")</f>
        <v>HBM686.ZQDH.394</v>
      </c>
      <c r="B84" t="s">
        <v>108</v>
      </c>
      <c r="C84" t="s">
        <v>109</v>
      </c>
      <c r="D84" t="b">
        <v>1</v>
      </c>
      <c r="E84" s="2" t="str">
        <f>HYPERLINK("https://portal.hubmapconsortium.org/browse/sample/3ffec9546bd99b52e9a5fae7141fd600", "HBM588.MFZJ.862")</f>
        <v>HBM588.MFZJ.862</v>
      </c>
      <c r="F84" t="s">
        <v>114</v>
      </c>
      <c r="J84" t="s">
        <v>111</v>
      </c>
      <c r="K84" t="s">
        <v>20</v>
      </c>
      <c r="L84" t="s">
        <v>21</v>
      </c>
      <c r="M84" t="s">
        <v>22</v>
      </c>
      <c r="N84" t="b">
        <v>1</v>
      </c>
      <c r="O84" s="2" t="s">
        <v>76</v>
      </c>
      <c r="P84" t="s">
        <v>77</v>
      </c>
      <c r="Q84" t="s">
        <v>25</v>
      </c>
      <c r="R84" t="s">
        <v>26</v>
      </c>
      <c r="S84" t="s">
        <v>27</v>
      </c>
      <c r="T84" s="3">
        <v>44606.070258229163</v>
      </c>
      <c r="U84" s="3">
        <v>44606.111124502313</v>
      </c>
    </row>
    <row r="85" spans="1:21" x14ac:dyDescent="0.2">
      <c r="A85" s="2" t="str">
        <f>HYPERLINK("https://portal.hubmapconsortium.org/browse/sample/eca46875ed7e83512df5ad9e1ec6b17f", "HBM629.PHZC.662")</f>
        <v>HBM629.PHZC.662</v>
      </c>
      <c r="B85" t="s">
        <v>115</v>
      </c>
      <c r="C85" t="s">
        <v>116</v>
      </c>
      <c r="D85" t="b">
        <v>1</v>
      </c>
      <c r="E85" s="2" t="str">
        <f>HYPERLINK("https://portal.hubmapconsortium.org/browse/sample/59d87575c38411233ce2800e909dcc3b", "HBM356.ZSSC.754")</f>
        <v>HBM356.ZSSC.754</v>
      </c>
      <c r="F85" t="s">
        <v>117</v>
      </c>
      <c r="K85" t="s">
        <v>20</v>
      </c>
      <c r="L85" t="s">
        <v>21</v>
      </c>
      <c r="M85" t="s">
        <v>22</v>
      </c>
      <c r="N85" t="b">
        <v>1</v>
      </c>
      <c r="O85" s="2" t="s">
        <v>76</v>
      </c>
      <c r="P85" t="s">
        <v>77</v>
      </c>
      <c r="Q85" t="s">
        <v>25</v>
      </c>
      <c r="R85" t="s">
        <v>26</v>
      </c>
      <c r="S85" t="s">
        <v>27</v>
      </c>
      <c r="T85" s="3">
        <v>44606.115638206022</v>
      </c>
      <c r="U85" s="3">
        <v>44606.149420300928</v>
      </c>
    </row>
    <row r="86" spans="1:21" x14ac:dyDescent="0.2">
      <c r="A86" s="2" t="str">
        <f>HYPERLINK("https://portal.hubmapconsortium.org/browse/sample/879896724b51833b988d0c45b57bede7", "HBM352.FNTN.356")</f>
        <v>HBM352.FNTN.356</v>
      </c>
      <c r="B86" t="s">
        <v>115</v>
      </c>
      <c r="C86" t="s">
        <v>116</v>
      </c>
      <c r="D86" t="b">
        <v>1</v>
      </c>
      <c r="E86" s="2" t="str">
        <f>HYPERLINK("https://portal.hubmapconsortium.org/browse/sample/59d87575c38411233ce2800e909dcc3b", "HBM356.ZSSC.754")</f>
        <v>HBM356.ZSSC.754</v>
      </c>
      <c r="F86" t="s">
        <v>118</v>
      </c>
      <c r="K86" t="s">
        <v>20</v>
      </c>
      <c r="L86" t="s">
        <v>21</v>
      </c>
      <c r="M86" t="s">
        <v>22</v>
      </c>
      <c r="N86" t="b">
        <v>1</v>
      </c>
      <c r="O86" s="2" t="s">
        <v>76</v>
      </c>
      <c r="P86" t="s">
        <v>77</v>
      </c>
      <c r="Q86" t="s">
        <v>25</v>
      </c>
      <c r="R86" t="s">
        <v>26</v>
      </c>
      <c r="S86" t="s">
        <v>27</v>
      </c>
      <c r="T86" s="3">
        <v>44606.115638784722</v>
      </c>
      <c r="U86" s="3">
        <v>44606.14339002315</v>
      </c>
    </row>
    <row r="87" spans="1:21" x14ac:dyDescent="0.2">
      <c r="A87" s="2" t="str">
        <f>HYPERLINK("https://portal.hubmapconsortium.org/browse/sample/1a96fa39cc74f8623ab9f3dc230fab05", "HBM284.BLPX.997")</f>
        <v>HBM284.BLPX.997</v>
      </c>
      <c r="B87" t="s">
        <v>115</v>
      </c>
      <c r="C87" t="s">
        <v>116</v>
      </c>
      <c r="D87" t="b">
        <v>1</v>
      </c>
      <c r="E87" s="2" t="str">
        <f>HYPERLINK("https://portal.hubmapconsortium.org/browse/sample/59d87575c38411233ce2800e909dcc3b", "HBM356.ZSSC.754")</f>
        <v>HBM356.ZSSC.754</v>
      </c>
      <c r="F87" t="s">
        <v>119</v>
      </c>
      <c r="K87" t="s">
        <v>20</v>
      </c>
      <c r="L87" t="s">
        <v>21</v>
      </c>
      <c r="M87" t="s">
        <v>22</v>
      </c>
      <c r="N87" t="b">
        <v>1</v>
      </c>
      <c r="O87" s="2" t="s">
        <v>76</v>
      </c>
      <c r="P87" t="s">
        <v>77</v>
      </c>
      <c r="Q87" t="s">
        <v>25</v>
      </c>
      <c r="R87" t="s">
        <v>26</v>
      </c>
      <c r="S87" t="s">
        <v>27</v>
      </c>
      <c r="T87" s="3">
        <v>44606.115639201387</v>
      </c>
      <c r="U87" s="3">
        <v>44606.14967240741</v>
      </c>
    </row>
    <row r="88" spans="1:21" x14ac:dyDescent="0.2">
      <c r="A88" s="2" t="str">
        <f>HYPERLINK("https://portal.hubmapconsortium.org/browse/sample/dee667601318e7eef79c82cbb68dc329", "HBM299.QJBZ.969")</f>
        <v>HBM299.QJBZ.969</v>
      </c>
      <c r="B88" t="s">
        <v>120</v>
      </c>
      <c r="C88" t="s">
        <v>121</v>
      </c>
      <c r="D88" t="b">
        <v>1</v>
      </c>
      <c r="E88" s="2" t="str">
        <f>HYPERLINK("https://portal.hubmapconsortium.org/browse/sample/3c857f6a307acbf513b553a024c6f62e", "HBM878.PGRH.747")</f>
        <v>HBM878.PGRH.747</v>
      </c>
      <c r="F88" t="s">
        <v>122</v>
      </c>
      <c r="J88" t="s">
        <v>123</v>
      </c>
      <c r="K88" t="s">
        <v>20</v>
      </c>
      <c r="L88" t="s">
        <v>21</v>
      </c>
      <c r="M88" t="s">
        <v>22</v>
      </c>
      <c r="N88" t="b">
        <v>1</v>
      </c>
      <c r="O88" s="2" t="s">
        <v>76</v>
      </c>
      <c r="P88" t="s">
        <v>77</v>
      </c>
      <c r="Q88" t="s">
        <v>25</v>
      </c>
      <c r="R88" t="s">
        <v>26</v>
      </c>
      <c r="S88" t="s">
        <v>27</v>
      </c>
      <c r="T88" s="3">
        <v>44606.171094189813</v>
      </c>
      <c r="U88" s="3">
        <v>44606.177411180557</v>
      </c>
    </row>
    <row r="89" spans="1:21" x14ac:dyDescent="0.2">
      <c r="A89" s="2" t="str">
        <f>HYPERLINK("https://portal.hubmapconsortium.org/browse/sample/f08e4eb9d5a854beb47f72178488bf3a", "HBM672.BXWP.375")</f>
        <v>HBM672.BXWP.375</v>
      </c>
      <c r="B89" t="s">
        <v>120</v>
      </c>
      <c r="C89" t="s">
        <v>121</v>
      </c>
      <c r="D89" t="b">
        <v>1</v>
      </c>
      <c r="E89" s="2" t="str">
        <f>HYPERLINK("https://portal.hubmapconsortium.org/browse/sample/3c857f6a307acbf513b553a024c6f62e", "HBM878.PGRH.747")</f>
        <v>HBM878.PGRH.747</v>
      </c>
      <c r="F89" t="s">
        <v>124</v>
      </c>
      <c r="J89" t="s">
        <v>123</v>
      </c>
      <c r="K89" t="s">
        <v>20</v>
      </c>
      <c r="L89" t="s">
        <v>21</v>
      </c>
      <c r="M89" t="s">
        <v>22</v>
      </c>
      <c r="N89" t="b">
        <v>1</v>
      </c>
      <c r="O89" s="2" t="s">
        <v>76</v>
      </c>
      <c r="P89" t="s">
        <v>77</v>
      </c>
      <c r="Q89" t="s">
        <v>25</v>
      </c>
      <c r="R89" t="s">
        <v>26</v>
      </c>
      <c r="S89" t="s">
        <v>27</v>
      </c>
      <c r="T89" s="3">
        <v>44606.171094375</v>
      </c>
      <c r="U89" s="3">
        <v>44606.185871747693</v>
      </c>
    </row>
    <row r="90" spans="1:21" x14ac:dyDescent="0.2">
      <c r="A90" s="2" t="str">
        <f>HYPERLINK("https://portal.hubmapconsortium.org/browse/sample/f6ad10f51fa64e3ad77bcf8b60b24658", "HBM734.VNNV.644")</f>
        <v>HBM734.VNNV.644</v>
      </c>
      <c r="B90" t="s">
        <v>120</v>
      </c>
      <c r="C90" t="s">
        <v>121</v>
      </c>
      <c r="D90" t="b">
        <v>1</v>
      </c>
      <c r="E90" s="2" t="str">
        <f>HYPERLINK("https://portal.hubmapconsortium.org/browse/sample/3c857f6a307acbf513b553a024c6f62e", "HBM878.PGRH.747")</f>
        <v>HBM878.PGRH.747</v>
      </c>
      <c r="F90" t="s">
        <v>125</v>
      </c>
      <c r="J90" t="s">
        <v>123</v>
      </c>
      <c r="K90" t="s">
        <v>20</v>
      </c>
      <c r="L90" t="s">
        <v>21</v>
      </c>
      <c r="M90" t="s">
        <v>22</v>
      </c>
      <c r="N90" t="b">
        <v>1</v>
      </c>
      <c r="O90" s="2" t="s">
        <v>76</v>
      </c>
      <c r="P90" t="s">
        <v>77</v>
      </c>
      <c r="Q90" t="s">
        <v>25</v>
      </c>
      <c r="R90" t="s">
        <v>26</v>
      </c>
      <c r="S90" t="s">
        <v>27</v>
      </c>
      <c r="T90" s="3">
        <v>44606.171094571757</v>
      </c>
      <c r="U90" s="3">
        <v>44606.192545555547</v>
      </c>
    </row>
    <row r="91" spans="1:21" x14ac:dyDescent="0.2">
      <c r="A91" s="2" t="str">
        <f>HYPERLINK("https://portal.hubmapconsortium.org/browse/sample/996c3ce64703c05416256f59e05ae960", "HBM383.FVQN.393")</f>
        <v>HBM383.FVQN.393</v>
      </c>
      <c r="B91" t="s">
        <v>126</v>
      </c>
      <c r="C91" t="s">
        <v>127</v>
      </c>
      <c r="D91" t="b">
        <v>1</v>
      </c>
      <c r="E91" s="2" t="str">
        <f>HYPERLINK("https://portal.hubmapconsortium.org/browse/sample/937073987c3b49313685f40991c5259a", "HBM598.WNXQ.998")</f>
        <v>HBM598.WNXQ.998</v>
      </c>
      <c r="F91" t="s">
        <v>128</v>
      </c>
      <c r="J91" t="s">
        <v>129</v>
      </c>
      <c r="K91" t="s">
        <v>20</v>
      </c>
      <c r="L91" t="s">
        <v>21</v>
      </c>
      <c r="M91" t="s">
        <v>22</v>
      </c>
      <c r="N91" t="b">
        <v>1</v>
      </c>
      <c r="O91" s="2" t="s">
        <v>76</v>
      </c>
      <c r="P91" t="s">
        <v>77</v>
      </c>
      <c r="Q91" t="s">
        <v>25</v>
      </c>
      <c r="R91" t="s">
        <v>26</v>
      </c>
      <c r="S91" t="s">
        <v>27</v>
      </c>
      <c r="T91" s="3">
        <v>44606.204141585651</v>
      </c>
      <c r="U91" s="3">
        <v>44606.219657060188</v>
      </c>
    </row>
    <row r="92" spans="1:21" x14ac:dyDescent="0.2">
      <c r="A92" s="2" t="str">
        <f>HYPERLINK("https://portal.hubmapconsortium.org/browse/sample/939e91e879f33cc48c65ea9fc0140c57", "HBM299.BHKJ.645")</f>
        <v>HBM299.BHKJ.645</v>
      </c>
      <c r="B92" t="s">
        <v>126</v>
      </c>
      <c r="C92" t="s">
        <v>127</v>
      </c>
      <c r="D92" t="b">
        <v>1</v>
      </c>
      <c r="E92" s="2" t="str">
        <f>HYPERLINK("https://portal.hubmapconsortium.org/browse/sample/937073987c3b49313685f40991c5259a", "HBM598.WNXQ.998")</f>
        <v>HBM598.WNXQ.998</v>
      </c>
      <c r="F92" t="s">
        <v>130</v>
      </c>
      <c r="K92" t="s">
        <v>20</v>
      </c>
      <c r="L92" t="s">
        <v>21</v>
      </c>
      <c r="M92" t="s">
        <v>22</v>
      </c>
      <c r="N92" t="b">
        <v>1</v>
      </c>
      <c r="O92" s="2" t="s">
        <v>76</v>
      </c>
      <c r="P92" t="s">
        <v>77</v>
      </c>
      <c r="Q92" t="s">
        <v>25</v>
      </c>
      <c r="R92" t="s">
        <v>26</v>
      </c>
      <c r="S92" t="s">
        <v>27</v>
      </c>
      <c r="T92" s="3">
        <v>44606.204141782408</v>
      </c>
      <c r="U92" s="3">
        <v>44606.232951076388</v>
      </c>
    </row>
    <row r="93" spans="1:21" x14ac:dyDescent="0.2">
      <c r="A93" s="2" t="str">
        <f>HYPERLINK("https://portal.hubmapconsortium.org/browse/sample/5ec0906f45caefc20b1d129654abfc25", "HBM836.DCDH.644")</f>
        <v>HBM836.DCDH.644</v>
      </c>
      <c r="B93" t="s">
        <v>126</v>
      </c>
      <c r="C93" t="s">
        <v>127</v>
      </c>
      <c r="D93" t="b">
        <v>1</v>
      </c>
      <c r="E93" s="2" t="str">
        <f>HYPERLINK("https://portal.hubmapconsortium.org/browse/sample/937073987c3b49313685f40991c5259a", "HBM598.WNXQ.998")</f>
        <v>HBM598.WNXQ.998</v>
      </c>
      <c r="F93" t="s">
        <v>131</v>
      </c>
      <c r="K93" t="s">
        <v>20</v>
      </c>
      <c r="L93" t="s">
        <v>21</v>
      </c>
      <c r="M93" t="s">
        <v>22</v>
      </c>
      <c r="N93" t="b">
        <v>1</v>
      </c>
      <c r="O93" s="2" t="s">
        <v>76</v>
      </c>
      <c r="P93" t="s">
        <v>77</v>
      </c>
      <c r="Q93" t="s">
        <v>25</v>
      </c>
      <c r="R93" t="s">
        <v>26</v>
      </c>
      <c r="S93" t="s">
        <v>27</v>
      </c>
      <c r="T93" s="3">
        <v>44606.204141979157</v>
      </c>
      <c r="U93" s="3">
        <v>44606.233306678238</v>
      </c>
    </row>
    <row r="94" spans="1:21" x14ac:dyDescent="0.2">
      <c r="A94" s="2" t="str">
        <f>HYPERLINK("https://portal.hubmapconsortium.org/browse/sample/bc48ba9a3be9215229c0bec37913f700", "HBM968.QBGD.956")</f>
        <v>HBM968.QBGD.956</v>
      </c>
      <c r="B94" t="s">
        <v>132</v>
      </c>
      <c r="C94" t="s">
        <v>133</v>
      </c>
      <c r="D94" t="b">
        <v>1</v>
      </c>
      <c r="E94" s="2" t="str">
        <f>HYPERLINK("https://portal.hubmapconsortium.org/browse/sample/a20e2873d6c388393833fbc36bace964", "HBM823.KHCT.524")</f>
        <v>HBM823.KHCT.524</v>
      </c>
      <c r="F94" t="s">
        <v>134</v>
      </c>
      <c r="J94" t="s">
        <v>135</v>
      </c>
      <c r="K94" t="s">
        <v>20</v>
      </c>
      <c r="L94" t="s">
        <v>21</v>
      </c>
      <c r="M94" t="s">
        <v>22</v>
      </c>
      <c r="N94" t="b">
        <v>1</v>
      </c>
      <c r="O94" s="2" t="s">
        <v>76</v>
      </c>
      <c r="P94" t="s">
        <v>77</v>
      </c>
      <c r="Q94" t="s">
        <v>25</v>
      </c>
      <c r="R94" t="s">
        <v>26</v>
      </c>
      <c r="S94" t="s">
        <v>27</v>
      </c>
      <c r="T94" s="3">
        <v>44606.242641527781</v>
      </c>
      <c r="U94" s="3">
        <v>44606.254387604167</v>
      </c>
    </row>
    <row r="95" spans="1:21" x14ac:dyDescent="0.2">
      <c r="A95" s="2" t="str">
        <f>HYPERLINK("https://portal.hubmapconsortium.org/browse/sample/e8a49e0148923fc059e289639c330c97", "HBM393.KPNS.368")</f>
        <v>HBM393.KPNS.368</v>
      </c>
      <c r="B95" t="s">
        <v>132</v>
      </c>
      <c r="C95" t="s">
        <v>133</v>
      </c>
      <c r="D95" t="b">
        <v>1</v>
      </c>
      <c r="E95" s="2" t="str">
        <f>HYPERLINK("https://portal.hubmapconsortium.org/browse/sample/a20e2873d6c388393833fbc36bace964", "HBM823.KHCT.524")</f>
        <v>HBM823.KHCT.524</v>
      </c>
      <c r="F95" t="s">
        <v>136</v>
      </c>
      <c r="J95" t="s">
        <v>135</v>
      </c>
      <c r="K95" t="s">
        <v>20</v>
      </c>
      <c r="L95" t="s">
        <v>21</v>
      </c>
      <c r="M95" t="s">
        <v>22</v>
      </c>
      <c r="N95" t="b">
        <v>1</v>
      </c>
      <c r="O95" s="2" t="s">
        <v>76</v>
      </c>
      <c r="P95" t="s">
        <v>77</v>
      </c>
      <c r="Q95" t="s">
        <v>25</v>
      </c>
      <c r="R95" t="s">
        <v>26</v>
      </c>
      <c r="S95" t="s">
        <v>27</v>
      </c>
      <c r="T95" s="3">
        <v>44606.242641805547</v>
      </c>
      <c r="U95" s="3">
        <v>44606.255851944443</v>
      </c>
    </row>
    <row r="96" spans="1:21" x14ac:dyDescent="0.2">
      <c r="A96" s="2" t="str">
        <f>HYPERLINK("https://portal.hubmapconsortium.org/browse/sample/5afd1a10618185e894abb9b4170bcc38", "HBM543.TSLR.886")</f>
        <v>HBM543.TSLR.886</v>
      </c>
      <c r="B96" t="s">
        <v>132</v>
      </c>
      <c r="C96" t="s">
        <v>133</v>
      </c>
      <c r="D96" t="b">
        <v>1</v>
      </c>
      <c r="E96" s="2" t="str">
        <f>HYPERLINK("https://portal.hubmapconsortium.org/browse/sample/a20e2873d6c388393833fbc36bace964", "HBM823.KHCT.524")</f>
        <v>HBM823.KHCT.524</v>
      </c>
      <c r="F96" t="s">
        <v>137</v>
      </c>
      <c r="J96" t="s">
        <v>135</v>
      </c>
      <c r="K96" t="s">
        <v>20</v>
      </c>
      <c r="L96" t="s">
        <v>21</v>
      </c>
      <c r="M96" t="s">
        <v>22</v>
      </c>
      <c r="N96" t="b">
        <v>1</v>
      </c>
      <c r="O96" s="2" t="s">
        <v>76</v>
      </c>
      <c r="P96" t="s">
        <v>77</v>
      </c>
      <c r="Q96" t="s">
        <v>25</v>
      </c>
      <c r="R96" t="s">
        <v>26</v>
      </c>
      <c r="S96" t="s">
        <v>27</v>
      </c>
      <c r="T96" s="3">
        <v>44606.242641979166</v>
      </c>
      <c r="U96" s="3">
        <v>44606.262403101849</v>
      </c>
    </row>
    <row r="97" spans="1:21" x14ac:dyDescent="0.2">
      <c r="A97" s="2" t="str">
        <f>HYPERLINK("https://portal.hubmapconsortium.org/browse/sample/6345845af038c4125a2cdfb5f63c2f03", "HBM326.WXZF.763")</f>
        <v>HBM326.WXZF.763</v>
      </c>
      <c r="B97" t="s">
        <v>132</v>
      </c>
      <c r="C97" t="s">
        <v>133</v>
      </c>
      <c r="D97" t="b">
        <v>1</v>
      </c>
      <c r="E97" s="2" t="str">
        <f>HYPERLINK("https://portal.hubmapconsortium.org/browse/sample/a20e2873d6c388393833fbc36bace964", "HBM823.KHCT.524")</f>
        <v>HBM823.KHCT.524</v>
      </c>
      <c r="F97" t="s">
        <v>138</v>
      </c>
      <c r="J97" t="s">
        <v>135</v>
      </c>
      <c r="K97" t="s">
        <v>20</v>
      </c>
      <c r="L97" t="s">
        <v>21</v>
      </c>
      <c r="M97" t="s">
        <v>22</v>
      </c>
      <c r="N97" t="b">
        <v>1</v>
      </c>
      <c r="O97" s="2" t="s">
        <v>76</v>
      </c>
      <c r="P97" t="s">
        <v>77</v>
      </c>
      <c r="Q97" t="s">
        <v>25</v>
      </c>
      <c r="R97" t="s">
        <v>26</v>
      </c>
      <c r="S97" t="s">
        <v>27</v>
      </c>
      <c r="T97" s="3">
        <v>44606.242642152778</v>
      </c>
      <c r="U97" s="3">
        <v>44606.266515740739</v>
      </c>
    </row>
    <row r="98" spans="1:21" x14ac:dyDescent="0.2">
      <c r="A98" s="2" t="str">
        <f>HYPERLINK("https://portal.hubmapconsortium.org/browse/sample/9cc7c2c7351c720d69098c0380a27068", "HBM384.GKQW.539")</f>
        <v>HBM384.GKQW.539</v>
      </c>
      <c r="B98" t="s">
        <v>139</v>
      </c>
      <c r="C98" t="s">
        <v>292</v>
      </c>
      <c r="D98" s="2" t="b">
        <v>0</v>
      </c>
      <c r="E98" s="2" t="str">
        <f>HYPERLINK("https://portal.hubmapconsortium.org/browse/sample/c02b6ebeab4d35ab4834f7b2cbb1bd06", "HBM546.SGVC.249")</f>
        <v>HBM546.SGVC.249</v>
      </c>
      <c r="F98" t="s">
        <v>293</v>
      </c>
      <c r="G98" t="s">
        <v>897</v>
      </c>
      <c r="J98" t="s">
        <v>294</v>
      </c>
      <c r="K98" t="s">
        <v>20</v>
      </c>
      <c r="L98" t="s">
        <v>21</v>
      </c>
      <c r="M98" t="s">
        <v>22</v>
      </c>
      <c r="N98" s="2" t="b">
        <v>0</v>
      </c>
      <c r="O98" s="2" t="s">
        <v>166</v>
      </c>
      <c r="P98" t="s">
        <v>77</v>
      </c>
      <c r="Q98" t="s">
        <v>183</v>
      </c>
      <c r="R98" t="s">
        <v>184</v>
      </c>
      <c r="S98" t="s">
        <v>169</v>
      </c>
      <c r="T98" s="3">
        <v>45848.841684363433</v>
      </c>
      <c r="U98" s="3">
        <v>45848.841684363433</v>
      </c>
    </row>
    <row r="99" spans="1:21" x14ac:dyDescent="0.2">
      <c r="A99" s="2" t="str">
        <f>HYPERLINK("https://portal.hubmapconsortium.org/browse/sample/dbed05568a60c996abf0411f163f5419", "HBM454.WCXN.634")</f>
        <v>HBM454.WCXN.634</v>
      </c>
      <c r="B99" t="s">
        <v>139</v>
      </c>
      <c r="C99" t="s">
        <v>140</v>
      </c>
      <c r="D99" s="2" t="b">
        <v>0</v>
      </c>
      <c r="E99" s="2" t="str">
        <f t="shared" ref="E99:E112" si="6">HYPERLINK("https://portal.hubmapconsortium.org/browse/sample/bf6797891187c90525e7e2a4778f58a8", "HBM559.ZVDB.249")</f>
        <v>HBM559.ZVDB.249</v>
      </c>
      <c r="F99" t="s">
        <v>301</v>
      </c>
      <c r="G99">
        <v>22</v>
      </c>
      <c r="H99">
        <v>5</v>
      </c>
      <c r="I99">
        <v>4</v>
      </c>
      <c r="J99" t="s">
        <v>302</v>
      </c>
      <c r="K99" t="s">
        <v>20</v>
      </c>
      <c r="L99" t="s">
        <v>21</v>
      </c>
      <c r="M99" t="s">
        <v>22</v>
      </c>
      <c r="N99" s="2" t="b">
        <v>0</v>
      </c>
      <c r="O99" s="2" t="s">
        <v>166</v>
      </c>
      <c r="P99" t="s">
        <v>77</v>
      </c>
      <c r="Q99" t="s">
        <v>183</v>
      </c>
      <c r="R99" t="s">
        <v>184</v>
      </c>
      <c r="S99" t="s">
        <v>169</v>
      </c>
      <c r="T99" s="3">
        <v>45848.841698923607</v>
      </c>
      <c r="U99" s="3">
        <v>45848.841698923607</v>
      </c>
    </row>
    <row r="100" spans="1:21" x14ac:dyDescent="0.2">
      <c r="A100" s="2" t="str">
        <f>HYPERLINK("https://portal.hubmapconsortium.org/browse/sample/1ae0ba156ba62d8933a6865ea7c30562", "HBM453.KCLH.673")</f>
        <v>HBM453.KCLH.673</v>
      </c>
      <c r="B100" t="s">
        <v>139</v>
      </c>
      <c r="C100" t="s">
        <v>140</v>
      </c>
      <c r="D100" s="2" t="b">
        <v>0</v>
      </c>
      <c r="E100" s="2" t="str">
        <f t="shared" si="6"/>
        <v>HBM559.ZVDB.249</v>
      </c>
      <c r="F100" t="s">
        <v>306</v>
      </c>
      <c r="G100">
        <v>22</v>
      </c>
      <c r="H100">
        <v>5</v>
      </c>
      <c r="I100">
        <v>6</v>
      </c>
      <c r="J100" t="s">
        <v>307</v>
      </c>
      <c r="K100" t="s">
        <v>20</v>
      </c>
      <c r="L100" t="s">
        <v>21</v>
      </c>
      <c r="M100" t="s">
        <v>22</v>
      </c>
      <c r="N100" s="2" t="b">
        <v>0</v>
      </c>
      <c r="O100" s="2" t="s">
        <v>166</v>
      </c>
      <c r="P100" t="s">
        <v>77</v>
      </c>
      <c r="Q100" t="s">
        <v>183</v>
      </c>
      <c r="R100" t="s">
        <v>184</v>
      </c>
      <c r="S100" t="s">
        <v>169</v>
      </c>
      <c r="T100" s="3">
        <v>45819.778165416668</v>
      </c>
      <c r="U100" s="3">
        <v>45819.778165416668</v>
      </c>
    </row>
    <row r="101" spans="1:21" x14ac:dyDescent="0.2">
      <c r="A101" s="2" t="str">
        <f>HYPERLINK("https://portal.hubmapconsortium.org/browse/sample/16125b9c405aa81e4d819912b32c82b3", "HBM877.SJLN.558")</f>
        <v>HBM877.SJLN.558</v>
      </c>
      <c r="B101" t="s">
        <v>139</v>
      </c>
      <c r="C101" t="s">
        <v>140</v>
      </c>
      <c r="D101" s="2" t="b">
        <v>0</v>
      </c>
      <c r="E101" s="2" t="str">
        <f t="shared" si="6"/>
        <v>HBM559.ZVDB.249</v>
      </c>
      <c r="F101" t="s">
        <v>309</v>
      </c>
      <c r="G101">
        <v>22</v>
      </c>
      <c r="H101">
        <v>5</v>
      </c>
      <c r="I101">
        <v>5</v>
      </c>
      <c r="J101" t="s">
        <v>302</v>
      </c>
      <c r="K101" t="s">
        <v>20</v>
      </c>
      <c r="L101" t="s">
        <v>21</v>
      </c>
      <c r="M101" t="s">
        <v>22</v>
      </c>
      <c r="N101" s="2" t="b">
        <v>0</v>
      </c>
      <c r="O101" s="2" t="s">
        <v>166</v>
      </c>
      <c r="P101" t="s">
        <v>77</v>
      </c>
      <c r="Q101" t="s">
        <v>183</v>
      </c>
      <c r="R101" t="s">
        <v>184</v>
      </c>
      <c r="S101" t="s">
        <v>169</v>
      </c>
      <c r="T101" s="3">
        <v>45848.841719814824</v>
      </c>
      <c r="U101" s="3">
        <v>45848.841719814824</v>
      </c>
    </row>
    <row r="102" spans="1:21" x14ac:dyDescent="0.2">
      <c r="A102" s="2" t="str">
        <f>HYPERLINK("https://portal.hubmapconsortium.org/browse/sample/8c7c3a8aeb68719f9a94fe6a7a29d874", "HBM467.FSJS.995")</f>
        <v>HBM467.FSJS.995</v>
      </c>
      <c r="B102" t="s">
        <v>139</v>
      </c>
      <c r="C102" t="s">
        <v>140</v>
      </c>
      <c r="D102" s="2" t="b">
        <v>0</v>
      </c>
      <c r="E102" s="2" t="str">
        <f t="shared" si="6"/>
        <v>HBM559.ZVDB.249</v>
      </c>
      <c r="F102" t="s">
        <v>312</v>
      </c>
      <c r="G102">
        <v>22</v>
      </c>
      <c r="H102">
        <v>5</v>
      </c>
      <c r="I102">
        <v>4</v>
      </c>
      <c r="J102" t="s">
        <v>302</v>
      </c>
      <c r="K102" t="s">
        <v>20</v>
      </c>
      <c r="L102" t="s">
        <v>21</v>
      </c>
      <c r="M102" t="s">
        <v>22</v>
      </c>
      <c r="N102" s="2" t="b">
        <v>0</v>
      </c>
      <c r="O102" s="2" t="s">
        <v>166</v>
      </c>
      <c r="P102" t="s">
        <v>77</v>
      </c>
      <c r="Q102" t="s">
        <v>183</v>
      </c>
      <c r="R102" t="s">
        <v>184</v>
      </c>
      <c r="S102" t="s">
        <v>169</v>
      </c>
      <c r="T102" s="3">
        <v>45848.841759699077</v>
      </c>
      <c r="U102" s="3">
        <v>45848.841759699077</v>
      </c>
    </row>
    <row r="103" spans="1:21" x14ac:dyDescent="0.2">
      <c r="A103" s="2" t="str">
        <f>HYPERLINK("https://portal.hubmapconsortium.org/browse/sample/a31266ee927f6f01001cf36416e0a323", "HBM967.CLZG.977")</f>
        <v>HBM967.CLZG.977</v>
      </c>
      <c r="B103" t="s">
        <v>139</v>
      </c>
      <c r="C103" t="s">
        <v>140</v>
      </c>
      <c r="D103" s="2" t="b">
        <v>0</v>
      </c>
      <c r="E103" s="2" t="str">
        <f t="shared" si="6"/>
        <v>HBM559.ZVDB.249</v>
      </c>
      <c r="F103" t="s">
        <v>314</v>
      </c>
      <c r="G103">
        <v>22</v>
      </c>
      <c r="H103">
        <v>5</v>
      </c>
      <c r="I103">
        <v>8</v>
      </c>
      <c r="J103" t="s">
        <v>315</v>
      </c>
      <c r="K103" t="s">
        <v>20</v>
      </c>
      <c r="L103" t="s">
        <v>21</v>
      </c>
      <c r="M103" t="s">
        <v>22</v>
      </c>
      <c r="N103" s="2" t="b">
        <v>0</v>
      </c>
      <c r="O103" s="2" t="s">
        <v>166</v>
      </c>
      <c r="P103" t="s">
        <v>24</v>
      </c>
      <c r="Q103" t="s">
        <v>183</v>
      </c>
      <c r="R103" t="s">
        <v>184</v>
      </c>
      <c r="S103" t="s">
        <v>169</v>
      </c>
      <c r="T103" s="3">
        <v>45722.891078680557</v>
      </c>
      <c r="U103" s="3">
        <v>45722.903937291667</v>
      </c>
    </row>
    <row r="104" spans="1:21" x14ac:dyDescent="0.2">
      <c r="A104" s="2" t="str">
        <f>HYPERLINK("https://portal.hubmapconsortium.org/browse/sample/61057e570ac5cf33f8592a6bd7ccbba6", "HBM784.SPZB.799")</f>
        <v>HBM784.SPZB.799</v>
      </c>
      <c r="B104" t="s">
        <v>139</v>
      </c>
      <c r="C104" t="s">
        <v>140</v>
      </c>
      <c r="D104" t="b">
        <v>1</v>
      </c>
      <c r="E104" s="2" t="str">
        <f t="shared" si="6"/>
        <v>HBM559.ZVDB.249</v>
      </c>
      <c r="F104" t="s">
        <v>141</v>
      </c>
      <c r="J104" t="s">
        <v>142</v>
      </c>
      <c r="K104" t="s">
        <v>20</v>
      </c>
      <c r="L104" t="s">
        <v>21</v>
      </c>
      <c r="M104" t="s">
        <v>22</v>
      </c>
      <c r="N104" t="b">
        <v>1</v>
      </c>
      <c r="O104" s="2" t="s">
        <v>57</v>
      </c>
      <c r="P104" t="s">
        <v>24</v>
      </c>
      <c r="Q104" t="s">
        <v>25</v>
      </c>
      <c r="R104" t="s">
        <v>26</v>
      </c>
      <c r="S104" t="s">
        <v>27</v>
      </c>
      <c r="T104" s="3">
        <v>44704.107767141213</v>
      </c>
      <c r="U104" s="3">
        <v>44733.089092824077</v>
      </c>
    </row>
    <row r="105" spans="1:21" x14ac:dyDescent="0.2">
      <c r="A105" s="2" t="str">
        <f>HYPERLINK("https://portal.hubmapconsortium.org/browse/sample/73811cc6ff2e339ce5f210b2e4e0b4d5", "HBM245.TZHD.382")</f>
        <v>HBM245.TZHD.382</v>
      </c>
      <c r="B105" t="s">
        <v>139</v>
      </c>
      <c r="C105" t="s">
        <v>140</v>
      </c>
      <c r="D105" t="b">
        <v>1</v>
      </c>
      <c r="E105" s="2" t="str">
        <f t="shared" si="6"/>
        <v>HBM559.ZVDB.249</v>
      </c>
      <c r="F105" t="s">
        <v>143</v>
      </c>
      <c r="J105" t="s">
        <v>142</v>
      </c>
      <c r="K105" t="s">
        <v>20</v>
      </c>
      <c r="L105" t="s">
        <v>21</v>
      </c>
      <c r="M105" t="s">
        <v>22</v>
      </c>
      <c r="N105" t="b">
        <v>1</v>
      </c>
      <c r="O105" s="2" t="s">
        <v>57</v>
      </c>
      <c r="P105" t="s">
        <v>24</v>
      </c>
      <c r="Q105" t="s">
        <v>25</v>
      </c>
      <c r="R105" t="s">
        <v>26</v>
      </c>
      <c r="S105" t="s">
        <v>27</v>
      </c>
      <c r="T105" s="3">
        <v>44704.107767314817</v>
      </c>
      <c r="U105" s="3">
        <v>44733.1133165625</v>
      </c>
    </row>
    <row r="106" spans="1:21" x14ac:dyDescent="0.2">
      <c r="A106" s="2" t="str">
        <f>HYPERLINK("https://portal.hubmapconsortium.org/browse/sample/f2deaab37fb026044244f2cbfa87d152", "HBM942.QQWW.939")</f>
        <v>HBM942.QQWW.939</v>
      </c>
      <c r="B106" t="s">
        <v>139</v>
      </c>
      <c r="C106" t="s">
        <v>140</v>
      </c>
      <c r="D106" t="b">
        <v>1</v>
      </c>
      <c r="E106" s="2" t="str">
        <f t="shared" si="6"/>
        <v>HBM559.ZVDB.249</v>
      </c>
      <c r="F106" t="s">
        <v>144</v>
      </c>
      <c r="J106" t="s">
        <v>142</v>
      </c>
      <c r="K106" t="s">
        <v>20</v>
      </c>
      <c r="L106" t="s">
        <v>21</v>
      </c>
      <c r="M106" t="s">
        <v>22</v>
      </c>
      <c r="N106" t="b">
        <v>1</v>
      </c>
      <c r="O106" s="2" t="s">
        <v>57</v>
      </c>
      <c r="P106" t="s">
        <v>24</v>
      </c>
      <c r="Q106" t="s">
        <v>25</v>
      </c>
      <c r="R106" t="s">
        <v>26</v>
      </c>
      <c r="S106" t="s">
        <v>27</v>
      </c>
      <c r="T106" s="3">
        <v>44704.107767488429</v>
      </c>
      <c r="U106" s="3">
        <v>44733.106388611108</v>
      </c>
    </row>
    <row r="107" spans="1:21" x14ac:dyDescent="0.2">
      <c r="A107" s="2" t="str">
        <f>HYPERLINK("https://portal.hubmapconsortium.org/browse/sample/a8f077a9814f91366ed0e1d6c533c60f", "HBM586.NMCP.494")</f>
        <v>HBM586.NMCP.494</v>
      </c>
      <c r="B107" t="s">
        <v>139</v>
      </c>
      <c r="C107" t="s">
        <v>140</v>
      </c>
      <c r="D107" s="2" t="b">
        <v>0</v>
      </c>
      <c r="E107" s="2" t="str">
        <f t="shared" si="6"/>
        <v>HBM559.ZVDB.249</v>
      </c>
      <c r="F107" t="s">
        <v>320</v>
      </c>
      <c r="G107">
        <v>16</v>
      </c>
      <c r="H107">
        <v>3</v>
      </c>
      <c r="I107">
        <v>6</v>
      </c>
      <c r="J107" t="s">
        <v>321</v>
      </c>
      <c r="K107" t="s">
        <v>20</v>
      </c>
      <c r="L107" t="s">
        <v>21</v>
      </c>
      <c r="M107" t="s">
        <v>22</v>
      </c>
      <c r="N107" s="2" t="b">
        <v>0</v>
      </c>
      <c r="O107" s="2" t="s">
        <v>166</v>
      </c>
      <c r="P107" t="s">
        <v>77</v>
      </c>
      <c r="Q107" t="s">
        <v>183</v>
      </c>
      <c r="R107" t="s">
        <v>184</v>
      </c>
      <c r="S107" t="s">
        <v>169</v>
      </c>
      <c r="T107" s="3">
        <v>45819.778205034723</v>
      </c>
      <c r="U107" s="3">
        <v>45819.778205034723</v>
      </c>
    </row>
    <row r="108" spans="1:21" x14ac:dyDescent="0.2">
      <c r="A108" s="2" t="str">
        <f>HYPERLINK("https://portal.hubmapconsortium.org/browse/sample/6cb2bc119ca865b8aa05f0e34ed8cc25", "HBM426.MRPF.254")</f>
        <v>HBM426.MRPF.254</v>
      </c>
      <c r="B108" t="s">
        <v>139</v>
      </c>
      <c r="C108" t="s">
        <v>140</v>
      </c>
      <c r="D108" s="2" t="b">
        <v>0</v>
      </c>
      <c r="E108" s="2" t="str">
        <f t="shared" si="6"/>
        <v>HBM559.ZVDB.249</v>
      </c>
      <c r="F108" t="s">
        <v>323</v>
      </c>
      <c r="G108">
        <v>16</v>
      </c>
      <c r="H108">
        <v>3</v>
      </c>
      <c r="I108">
        <v>5</v>
      </c>
      <c r="J108" t="s">
        <v>324</v>
      </c>
      <c r="K108" t="s">
        <v>20</v>
      </c>
      <c r="L108" t="s">
        <v>21</v>
      </c>
      <c r="M108" t="s">
        <v>22</v>
      </c>
      <c r="N108" s="2" t="b">
        <v>0</v>
      </c>
      <c r="O108" s="2" t="s">
        <v>166</v>
      </c>
      <c r="P108" t="s">
        <v>77</v>
      </c>
      <c r="Q108" t="s">
        <v>183</v>
      </c>
      <c r="R108" t="s">
        <v>184</v>
      </c>
      <c r="S108" t="s">
        <v>169</v>
      </c>
      <c r="T108" s="3">
        <v>45848.841829120371</v>
      </c>
      <c r="U108" s="3">
        <v>45848.841829120371</v>
      </c>
    </row>
    <row r="109" spans="1:21" x14ac:dyDescent="0.2">
      <c r="A109" s="2" t="str">
        <f>HYPERLINK("https://portal.hubmapconsortium.org/browse/sample/2fb1ec9f76583b47e9b38c5b0e2c1817", "HBM676.KFCH.765")</f>
        <v>HBM676.KFCH.765</v>
      </c>
      <c r="B109" t="s">
        <v>139</v>
      </c>
      <c r="C109" t="s">
        <v>140</v>
      </c>
      <c r="D109" s="2" t="b">
        <v>0</v>
      </c>
      <c r="E109" s="2" t="str">
        <f t="shared" si="6"/>
        <v>HBM559.ZVDB.249</v>
      </c>
      <c r="F109" t="s">
        <v>326</v>
      </c>
      <c r="G109">
        <v>16</v>
      </c>
      <c r="H109">
        <v>3</v>
      </c>
      <c r="I109">
        <v>4</v>
      </c>
      <c r="J109" t="s">
        <v>324</v>
      </c>
      <c r="K109" t="s">
        <v>20</v>
      </c>
      <c r="L109" t="s">
        <v>21</v>
      </c>
      <c r="M109" t="s">
        <v>22</v>
      </c>
      <c r="N109" s="2" t="b">
        <v>0</v>
      </c>
      <c r="O109" s="2" t="s">
        <v>166</v>
      </c>
      <c r="P109" t="s">
        <v>77</v>
      </c>
      <c r="Q109" t="s">
        <v>183</v>
      </c>
      <c r="R109" t="s">
        <v>184</v>
      </c>
      <c r="S109" t="s">
        <v>169</v>
      </c>
      <c r="T109" s="3">
        <v>45848.841866145827</v>
      </c>
      <c r="U109" s="3">
        <v>45848.841866145827</v>
      </c>
    </row>
    <row r="110" spans="1:21" x14ac:dyDescent="0.2">
      <c r="A110" s="2" t="str">
        <f>HYPERLINK("https://portal.hubmapconsortium.org/browse/sample/248b0fd5d87bdd9368ef0a398a5ebb70", "HBM998.VHPF.947")</f>
        <v>HBM998.VHPF.947</v>
      </c>
      <c r="B110" t="s">
        <v>139</v>
      </c>
      <c r="C110" t="s">
        <v>140</v>
      </c>
      <c r="D110" t="b">
        <v>1</v>
      </c>
      <c r="E110" s="2" t="str">
        <f t="shared" si="6"/>
        <v>HBM559.ZVDB.249</v>
      </c>
      <c r="F110" t="s">
        <v>145</v>
      </c>
      <c r="J110" t="s">
        <v>142</v>
      </c>
      <c r="K110" t="s">
        <v>20</v>
      </c>
      <c r="L110" t="s">
        <v>21</v>
      </c>
      <c r="M110" t="s">
        <v>22</v>
      </c>
      <c r="N110" t="b">
        <v>1</v>
      </c>
      <c r="O110" s="2" t="s">
        <v>57</v>
      </c>
      <c r="P110" t="s">
        <v>24</v>
      </c>
      <c r="Q110" t="s">
        <v>25</v>
      </c>
      <c r="R110" t="s">
        <v>26</v>
      </c>
      <c r="S110" t="s">
        <v>27</v>
      </c>
      <c r="T110" s="3">
        <v>44704.107767673609</v>
      </c>
      <c r="U110" s="3">
        <v>44733.119431747677</v>
      </c>
    </row>
    <row r="111" spans="1:21" x14ac:dyDescent="0.2">
      <c r="A111" s="2" t="str">
        <f>HYPERLINK("https://portal.hubmapconsortium.org/browse/sample/712112593e7dc4f80389c38c6ec0a4a3", "HBM892.JLHP.899")</f>
        <v>HBM892.JLHP.899</v>
      </c>
      <c r="B111" t="s">
        <v>139</v>
      </c>
      <c r="C111" t="s">
        <v>140</v>
      </c>
      <c r="D111" t="b">
        <v>1</v>
      </c>
      <c r="E111" s="2" t="str">
        <f t="shared" si="6"/>
        <v>HBM559.ZVDB.249</v>
      </c>
      <c r="F111" t="s">
        <v>146</v>
      </c>
      <c r="J111" t="s">
        <v>142</v>
      </c>
      <c r="K111" t="s">
        <v>20</v>
      </c>
      <c r="L111" t="s">
        <v>21</v>
      </c>
      <c r="M111" t="s">
        <v>22</v>
      </c>
      <c r="N111" t="b">
        <v>1</v>
      </c>
      <c r="O111" s="2" t="s">
        <v>57</v>
      </c>
      <c r="P111" t="s">
        <v>24</v>
      </c>
      <c r="Q111" t="s">
        <v>25</v>
      </c>
      <c r="R111" t="s">
        <v>26</v>
      </c>
      <c r="S111" t="s">
        <v>27</v>
      </c>
      <c r="T111" s="3">
        <v>44704.107767847221</v>
      </c>
      <c r="U111" s="3">
        <v>44733.131359490741</v>
      </c>
    </row>
    <row r="112" spans="1:21" x14ac:dyDescent="0.2">
      <c r="A112" s="2" t="str">
        <f>HYPERLINK("https://portal.hubmapconsortium.org/browse/sample/fca90c1aae343dab921575f3f40d9792", "HBM485.MFVF.256")</f>
        <v>HBM485.MFVF.256</v>
      </c>
      <c r="B112" t="s">
        <v>139</v>
      </c>
      <c r="C112" t="s">
        <v>140</v>
      </c>
      <c r="D112" t="b">
        <v>1</v>
      </c>
      <c r="E112" s="2" t="str">
        <f t="shared" si="6"/>
        <v>HBM559.ZVDB.249</v>
      </c>
      <c r="F112" t="s">
        <v>147</v>
      </c>
      <c r="J112" t="s">
        <v>142</v>
      </c>
      <c r="K112" t="s">
        <v>20</v>
      </c>
      <c r="L112" t="s">
        <v>21</v>
      </c>
      <c r="M112" t="s">
        <v>22</v>
      </c>
      <c r="N112" t="b">
        <v>1</v>
      </c>
      <c r="O112" s="2" t="s">
        <v>57</v>
      </c>
      <c r="P112" t="s">
        <v>24</v>
      </c>
      <c r="Q112" t="s">
        <v>25</v>
      </c>
      <c r="R112" t="s">
        <v>26</v>
      </c>
      <c r="S112" t="s">
        <v>27</v>
      </c>
      <c r="T112" s="3">
        <v>44704.107768020833</v>
      </c>
      <c r="U112" s="3">
        <v>44733.139160462961</v>
      </c>
    </row>
    <row r="113" spans="1:21" x14ac:dyDescent="0.2">
      <c r="A113" s="2" t="str">
        <f>HYPERLINK("https://portal.hubmapconsortium.org/browse/sample/baf46ce2b786c8e0bcd223db27d3bd09", "HBM694.DRBP.844")</f>
        <v>HBM694.DRBP.844</v>
      </c>
      <c r="B113" t="s">
        <v>329</v>
      </c>
      <c r="C113" t="s">
        <v>330</v>
      </c>
      <c r="D113" s="2" t="b">
        <v>0</v>
      </c>
      <c r="E113" s="2" t="str">
        <f>HYPERLINK("https://portal.hubmapconsortium.org/browse/sample/9ea8bdc2c660a0da9d944e0b2da6b237", "HBM749.ZWMQ.359")</f>
        <v>HBM749.ZWMQ.359</v>
      </c>
      <c r="F113" t="s">
        <v>333</v>
      </c>
      <c r="G113">
        <v>28</v>
      </c>
      <c r="H113">
        <v>6</v>
      </c>
      <c r="I113">
        <v>8</v>
      </c>
      <c r="J113" t="s">
        <v>334</v>
      </c>
      <c r="K113" t="s">
        <v>20</v>
      </c>
      <c r="L113" t="s">
        <v>21</v>
      </c>
      <c r="M113" t="s">
        <v>22</v>
      </c>
      <c r="N113" s="2" t="b">
        <v>0</v>
      </c>
      <c r="O113" s="2" t="s">
        <v>166</v>
      </c>
      <c r="P113" t="s">
        <v>24</v>
      </c>
      <c r="Q113" t="s">
        <v>183</v>
      </c>
      <c r="R113" t="s">
        <v>184</v>
      </c>
      <c r="S113" t="s">
        <v>169</v>
      </c>
      <c r="T113" s="3">
        <v>45602.6608978125</v>
      </c>
      <c r="U113" s="3">
        <v>45602.6608978125</v>
      </c>
    </row>
    <row r="114" spans="1:21" x14ac:dyDescent="0.2">
      <c r="A114" s="2" t="str">
        <f>HYPERLINK("https://portal.hubmapconsortium.org/browse/sample/c33eb59c346f2263bee337cb1551e678", "HBM876.STLF.442")</f>
        <v>HBM876.STLF.442</v>
      </c>
      <c r="B114" t="s">
        <v>148</v>
      </c>
      <c r="C114" t="s">
        <v>335</v>
      </c>
      <c r="D114" s="2" t="b">
        <v>0</v>
      </c>
      <c r="E114" s="2" t="str">
        <f>HYPERLINK("https://portal.hubmapconsortium.org/browse/sample/3c3158470b8f6dedc828cbcf1d0c20df", "HBM665.TTZV.976")</f>
        <v>HBM665.TTZV.976</v>
      </c>
      <c r="F114" t="s">
        <v>336</v>
      </c>
      <c r="G114" t="s">
        <v>897</v>
      </c>
      <c r="J114" t="s">
        <v>337</v>
      </c>
      <c r="K114" t="s">
        <v>20</v>
      </c>
      <c r="L114" t="s">
        <v>21</v>
      </c>
      <c r="M114" t="s">
        <v>22</v>
      </c>
      <c r="N114" s="2" t="b">
        <v>0</v>
      </c>
      <c r="O114" s="2" t="s">
        <v>166</v>
      </c>
      <c r="P114" t="s">
        <v>77</v>
      </c>
      <c r="Q114" t="s">
        <v>183</v>
      </c>
      <c r="R114" t="s">
        <v>184</v>
      </c>
      <c r="S114" t="s">
        <v>169</v>
      </c>
      <c r="T114" s="3">
        <v>45819.778245671303</v>
      </c>
      <c r="U114" s="3">
        <v>45819.778245671303</v>
      </c>
    </row>
    <row r="115" spans="1:21" x14ac:dyDescent="0.2">
      <c r="A115" s="2" t="str">
        <f>HYPERLINK("https://portal.hubmapconsortium.org/browse/sample/df429f48328d5757f91ceba15d0d6174", "HBM665.HXJB.578")</f>
        <v>HBM665.HXJB.578</v>
      </c>
      <c r="B115" t="s">
        <v>148</v>
      </c>
      <c r="C115" t="s">
        <v>149</v>
      </c>
      <c r="D115" s="2" t="b">
        <v>0</v>
      </c>
      <c r="E115" s="2" t="str">
        <f t="shared" ref="E115:E130" si="7">HYPERLINK("https://portal.hubmapconsortium.org/browse/sample/647bb669b1302c49cada4274553543e1", "HBM436.JQXP.677")</f>
        <v>HBM436.JQXP.677</v>
      </c>
      <c r="F115" s="4" t="s">
        <v>344</v>
      </c>
      <c r="G115">
        <v>24</v>
      </c>
      <c r="H115">
        <v>4</v>
      </c>
      <c r="I115">
        <v>5</v>
      </c>
      <c r="J115" t="s">
        <v>345</v>
      </c>
      <c r="K115" t="s">
        <v>20</v>
      </c>
      <c r="L115" t="s">
        <v>21</v>
      </c>
      <c r="M115" t="s">
        <v>22</v>
      </c>
      <c r="N115" s="2" t="b">
        <v>0</v>
      </c>
      <c r="O115" s="2" t="s">
        <v>262</v>
      </c>
      <c r="P115" t="s">
        <v>77</v>
      </c>
      <c r="Q115" t="s">
        <v>183</v>
      </c>
      <c r="R115" t="s">
        <v>184</v>
      </c>
      <c r="S115" t="s">
        <v>169</v>
      </c>
      <c r="T115" s="3">
        <v>45714.923713946759</v>
      </c>
      <c r="U115" s="3">
        <v>45714.923713946759</v>
      </c>
    </row>
    <row r="116" spans="1:21" x14ac:dyDescent="0.2">
      <c r="A116" s="2" t="str">
        <f>HYPERLINK("https://portal.hubmapconsortium.org/browse/sample/80442e949d5df4cbc0e5b320e215859a", "HBM652.HRCV.999")</f>
        <v>HBM652.HRCV.999</v>
      </c>
      <c r="B116" t="s">
        <v>148</v>
      </c>
      <c r="C116" t="s">
        <v>149</v>
      </c>
      <c r="D116" s="2" t="b">
        <v>0</v>
      </c>
      <c r="E116" s="2" t="str">
        <f t="shared" si="7"/>
        <v>HBM436.JQXP.677</v>
      </c>
      <c r="F116" t="s">
        <v>346</v>
      </c>
      <c r="G116">
        <v>24</v>
      </c>
      <c r="H116">
        <v>4</v>
      </c>
      <c r="I116">
        <v>3</v>
      </c>
      <c r="J116" t="s">
        <v>347</v>
      </c>
      <c r="K116" t="s">
        <v>20</v>
      </c>
      <c r="L116" t="s">
        <v>21</v>
      </c>
      <c r="M116" t="s">
        <v>22</v>
      </c>
      <c r="N116" s="2" t="b">
        <v>0</v>
      </c>
      <c r="O116" s="2" t="s">
        <v>166</v>
      </c>
      <c r="P116" t="s">
        <v>77</v>
      </c>
      <c r="Q116" t="s">
        <v>167</v>
      </c>
      <c r="R116" t="s">
        <v>168</v>
      </c>
      <c r="S116" t="s">
        <v>169</v>
      </c>
      <c r="T116" s="3">
        <v>45852.783345625001</v>
      </c>
      <c r="U116" s="3">
        <v>45852.783345625001</v>
      </c>
    </row>
    <row r="117" spans="1:21" x14ac:dyDescent="0.2">
      <c r="A117" s="2" t="str">
        <f>HYPERLINK("https://portal.hubmapconsortium.org/browse/sample/fc7cf76a2ff6bbfbb765ce2da6feaa66", "HBM299.QWHQ.472")</f>
        <v>HBM299.QWHQ.472</v>
      </c>
      <c r="B117" t="s">
        <v>148</v>
      </c>
      <c r="C117" t="s">
        <v>149</v>
      </c>
      <c r="D117" s="2" t="b">
        <v>0</v>
      </c>
      <c r="E117" s="2" t="str">
        <f t="shared" si="7"/>
        <v>HBM436.JQXP.677</v>
      </c>
      <c r="F117" t="s">
        <v>349</v>
      </c>
      <c r="G117">
        <v>24</v>
      </c>
      <c r="H117">
        <v>4</v>
      </c>
      <c r="I117">
        <v>4</v>
      </c>
      <c r="J117" t="s">
        <v>350</v>
      </c>
      <c r="K117" t="s">
        <v>20</v>
      </c>
      <c r="L117" t="s">
        <v>21</v>
      </c>
      <c r="M117" t="s">
        <v>22</v>
      </c>
      <c r="N117" s="2" t="b">
        <v>0</v>
      </c>
      <c r="O117" s="2" t="s">
        <v>166</v>
      </c>
      <c r="P117" t="s">
        <v>77</v>
      </c>
      <c r="Q117" t="s">
        <v>183</v>
      </c>
      <c r="R117" t="s">
        <v>184</v>
      </c>
      <c r="S117" t="s">
        <v>169</v>
      </c>
      <c r="T117" s="3">
        <v>45848.841902048611</v>
      </c>
      <c r="U117" s="3">
        <v>45848.841902048611</v>
      </c>
    </row>
    <row r="118" spans="1:21" x14ac:dyDescent="0.2">
      <c r="A118" s="2" t="str">
        <f>HYPERLINK("https://portal.hubmapconsortium.org/browse/sample/c48fe2fa73216fe1056fd8c78e3c7990", "HBM897.KTHH.426")</f>
        <v>HBM897.KTHH.426</v>
      </c>
      <c r="B118" t="s">
        <v>148</v>
      </c>
      <c r="C118" t="s">
        <v>149</v>
      </c>
      <c r="D118" s="2" t="b">
        <v>0</v>
      </c>
      <c r="E118" s="2" t="str">
        <f t="shared" si="7"/>
        <v>HBM436.JQXP.677</v>
      </c>
      <c r="F118" t="s">
        <v>353</v>
      </c>
      <c r="G118">
        <v>24</v>
      </c>
      <c r="H118">
        <v>4</v>
      </c>
      <c r="I118">
        <v>6</v>
      </c>
      <c r="J118" t="s">
        <v>350</v>
      </c>
      <c r="K118" t="s">
        <v>20</v>
      </c>
      <c r="L118" t="s">
        <v>21</v>
      </c>
      <c r="M118" t="s">
        <v>22</v>
      </c>
      <c r="N118" s="2" t="b">
        <v>0</v>
      </c>
      <c r="O118" s="2" t="s">
        <v>166</v>
      </c>
      <c r="P118" t="s">
        <v>77</v>
      </c>
      <c r="Q118" t="s">
        <v>183</v>
      </c>
      <c r="R118" t="s">
        <v>184</v>
      </c>
      <c r="S118" t="s">
        <v>169</v>
      </c>
      <c r="T118" s="3">
        <v>45848.841957673612</v>
      </c>
      <c r="U118" s="3">
        <v>45848.841957673612</v>
      </c>
    </row>
    <row r="119" spans="1:21" x14ac:dyDescent="0.2">
      <c r="A119" s="2" t="str">
        <f>HYPERLINK("https://portal.hubmapconsortium.org/browse/sample/02321c10cd0b2a2114cebcfe3fd21abb", "HBM472.CNKX.263")</f>
        <v>HBM472.CNKX.263</v>
      </c>
      <c r="B119" t="s">
        <v>148</v>
      </c>
      <c r="C119" t="s">
        <v>149</v>
      </c>
      <c r="D119" s="2" t="b">
        <v>0</v>
      </c>
      <c r="E119" s="2" t="str">
        <f t="shared" si="7"/>
        <v>HBM436.JQXP.677</v>
      </c>
      <c r="F119" t="s">
        <v>355</v>
      </c>
      <c r="G119">
        <v>24</v>
      </c>
      <c r="H119">
        <v>4</v>
      </c>
      <c r="I119">
        <v>3</v>
      </c>
      <c r="J119" t="s">
        <v>356</v>
      </c>
      <c r="K119" t="s">
        <v>20</v>
      </c>
      <c r="L119" t="s">
        <v>21</v>
      </c>
      <c r="M119" t="s">
        <v>22</v>
      </c>
      <c r="N119" s="2" t="b">
        <v>0</v>
      </c>
      <c r="O119" s="2" t="s">
        <v>166</v>
      </c>
      <c r="P119" t="s">
        <v>77</v>
      </c>
      <c r="Q119" t="s">
        <v>183</v>
      </c>
      <c r="R119" t="s">
        <v>184</v>
      </c>
      <c r="S119" t="s">
        <v>169</v>
      </c>
      <c r="T119" s="3">
        <v>45819.778308356479</v>
      </c>
      <c r="U119" s="3">
        <v>45819.778308356479</v>
      </c>
    </row>
    <row r="120" spans="1:21" x14ac:dyDescent="0.2">
      <c r="A120" s="2" t="str">
        <f>HYPERLINK("https://portal.hubmapconsortium.org/browse/sample/9ef7a44afb46c66de70a0e6c7d5412bc", "HBM924.LKTD.778")</f>
        <v>HBM924.LKTD.778</v>
      </c>
      <c r="B120" t="s">
        <v>148</v>
      </c>
      <c r="C120" t="s">
        <v>149</v>
      </c>
      <c r="D120" s="2" t="b">
        <v>0</v>
      </c>
      <c r="E120" s="2" t="str">
        <f t="shared" si="7"/>
        <v>HBM436.JQXP.677</v>
      </c>
      <c r="F120" t="s">
        <v>360</v>
      </c>
      <c r="G120">
        <v>24</v>
      </c>
      <c r="H120">
        <v>5</v>
      </c>
      <c r="I120">
        <v>8</v>
      </c>
      <c r="J120" t="s">
        <v>350</v>
      </c>
      <c r="K120" t="s">
        <v>20</v>
      </c>
      <c r="L120" t="s">
        <v>21</v>
      </c>
      <c r="M120" t="s">
        <v>22</v>
      </c>
      <c r="N120" s="2" t="b">
        <v>0</v>
      </c>
      <c r="O120" s="2" t="s">
        <v>166</v>
      </c>
      <c r="P120" t="s">
        <v>77</v>
      </c>
      <c r="Q120" t="s">
        <v>183</v>
      </c>
      <c r="R120" t="s">
        <v>184</v>
      </c>
      <c r="S120" t="s">
        <v>169</v>
      </c>
      <c r="T120" s="3">
        <v>45848.841971701389</v>
      </c>
      <c r="U120" s="3">
        <v>45848.841971701389</v>
      </c>
    </row>
    <row r="121" spans="1:21" x14ac:dyDescent="0.2">
      <c r="A121" s="2" t="str">
        <f>HYPERLINK("https://portal.hubmapconsortium.org/browse/sample/e6781b12194bb4fbf5c3cff824751175", "HBM965.ZLXX.544")</f>
        <v>HBM965.ZLXX.544</v>
      </c>
      <c r="B121" t="s">
        <v>148</v>
      </c>
      <c r="C121" t="s">
        <v>149</v>
      </c>
      <c r="D121" s="2" t="b">
        <v>0</v>
      </c>
      <c r="E121" s="2" t="str">
        <f t="shared" si="7"/>
        <v>HBM436.JQXP.677</v>
      </c>
      <c r="F121" t="s">
        <v>362</v>
      </c>
      <c r="G121">
        <v>24</v>
      </c>
      <c r="H121">
        <v>4</v>
      </c>
      <c r="I121">
        <v>5</v>
      </c>
      <c r="J121" t="s">
        <v>363</v>
      </c>
      <c r="K121" t="s">
        <v>20</v>
      </c>
      <c r="L121" t="s">
        <v>21</v>
      </c>
      <c r="M121" t="s">
        <v>22</v>
      </c>
      <c r="N121" s="2" t="b">
        <v>0</v>
      </c>
      <c r="O121" s="2" t="s">
        <v>166</v>
      </c>
      <c r="P121" t="s">
        <v>24</v>
      </c>
      <c r="Q121" t="s">
        <v>183</v>
      </c>
      <c r="R121" t="s">
        <v>184</v>
      </c>
      <c r="S121" t="s">
        <v>169</v>
      </c>
      <c r="T121" s="3">
        <v>45741.622999016203</v>
      </c>
      <c r="U121" s="3">
        <v>45741.622999016203</v>
      </c>
    </row>
    <row r="122" spans="1:21" x14ac:dyDescent="0.2">
      <c r="A122" s="2" t="str">
        <f>HYPERLINK("https://portal.hubmapconsortium.org/browse/sample/24508263d68acf455b7c279e03bcedbb", "HBM296.LBCM.745")</f>
        <v>HBM296.LBCM.745</v>
      </c>
      <c r="B122" t="s">
        <v>148</v>
      </c>
      <c r="C122" t="s">
        <v>149</v>
      </c>
      <c r="D122" s="2" t="b">
        <v>0</v>
      </c>
      <c r="E122" s="2" t="str">
        <f t="shared" si="7"/>
        <v>HBM436.JQXP.677</v>
      </c>
      <c r="F122" t="s">
        <v>364</v>
      </c>
      <c r="G122">
        <v>24</v>
      </c>
      <c r="H122">
        <v>6</v>
      </c>
      <c r="I122">
        <v>6</v>
      </c>
      <c r="J122" t="s">
        <v>365</v>
      </c>
      <c r="K122" t="s">
        <v>20</v>
      </c>
      <c r="L122" t="s">
        <v>21</v>
      </c>
      <c r="M122" t="s">
        <v>22</v>
      </c>
      <c r="N122" s="2" t="b">
        <v>0</v>
      </c>
      <c r="O122" s="2" t="s">
        <v>166</v>
      </c>
      <c r="P122" t="s">
        <v>24</v>
      </c>
      <c r="Q122" t="s">
        <v>183</v>
      </c>
      <c r="R122" t="s">
        <v>184</v>
      </c>
      <c r="S122" t="s">
        <v>169</v>
      </c>
      <c r="T122" s="3">
        <v>45722.8911046875</v>
      </c>
      <c r="U122" s="3">
        <v>45722.904101527783</v>
      </c>
    </row>
    <row r="123" spans="1:21" x14ac:dyDescent="0.2">
      <c r="A123" s="2" t="str">
        <f>HYPERLINK("https://portal.hubmapconsortium.org/browse/sample/b13245e551fa45a24b170ac11b01a264", "HBM695.BKXQ.562")</f>
        <v>HBM695.BKXQ.562</v>
      </c>
      <c r="B123" t="s">
        <v>148</v>
      </c>
      <c r="C123" t="s">
        <v>149</v>
      </c>
      <c r="D123" t="b">
        <v>1</v>
      </c>
      <c r="E123" s="2" t="str">
        <f t="shared" si="7"/>
        <v>HBM436.JQXP.677</v>
      </c>
      <c r="F123" t="s">
        <v>150</v>
      </c>
      <c r="J123" t="s">
        <v>151</v>
      </c>
      <c r="K123" t="s">
        <v>20</v>
      </c>
      <c r="L123" t="s">
        <v>21</v>
      </c>
      <c r="M123" t="s">
        <v>22</v>
      </c>
      <c r="N123" t="b">
        <v>1</v>
      </c>
      <c r="O123" s="2" t="s">
        <v>57</v>
      </c>
      <c r="P123" t="s">
        <v>24</v>
      </c>
      <c r="Q123" t="s">
        <v>25</v>
      </c>
      <c r="R123" t="s">
        <v>26</v>
      </c>
      <c r="S123" t="s">
        <v>27</v>
      </c>
      <c r="T123" s="3">
        <v>44704.128088449077</v>
      </c>
      <c r="U123" s="3">
        <v>44733.148893275473</v>
      </c>
    </row>
    <row r="124" spans="1:21" x14ac:dyDescent="0.2">
      <c r="A124" s="2" t="str">
        <f>HYPERLINK("https://portal.hubmapconsortium.org/browse/sample/7ab3d70585473e79dc516dbebadd84b1", "HBM996.XSFS.465")</f>
        <v>HBM996.XSFS.465</v>
      </c>
      <c r="B124" t="s">
        <v>148</v>
      </c>
      <c r="C124" t="s">
        <v>149</v>
      </c>
      <c r="D124" t="b">
        <v>1</v>
      </c>
      <c r="E124" s="2" t="str">
        <f t="shared" si="7"/>
        <v>HBM436.JQXP.677</v>
      </c>
      <c r="F124" t="s">
        <v>152</v>
      </c>
      <c r="J124" t="s">
        <v>151</v>
      </c>
      <c r="K124" t="s">
        <v>20</v>
      </c>
      <c r="L124" t="s">
        <v>21</v>
      </c>
      <c r="M124" t="s">
        <v>22</v>
      </c>
      <c r="N124" t="b">
        <v>1</v>
      </c>
      <c r="O124" s="2" t="s">
        <v>57</v>
      </c>
      <c r="P124" t="s">
        <v>24</v>
      </c>
      <c r="Q124" t="s">
        <v>25</v>
      </c>
      <c r="R124" t="s">
        <v>26</v>
      </c>
      <c r="S124" t="s">
        <v>27</v>
      </c>
      <c r="T124" s="3">
        <v>44704.128088831021</v>
      </c>
      <c r="U124" s="3">
        <v>44733.158438900457</v>
      </c>
    </row>
    <row r="125" spans="1:21" x14ac:dyDescent="0.2">
      <c r="A125" s="2" t="str">
        <f>HYPERLINK("https://portal.hubmapconsortium.org/browse/sample/6c2467c12e995a5f06596a2e142be852", "HBM469.DTGT.527")</f>
        <v>HBM469.DTGT.527</v>
      </c>
      <c r="B125" t="s">
        <v>148</v>
      </c>
      <c r="C125" t="s">
        <v>149</v>
      </c>
      <c r="D125" s="2" t="b">
        <v>0</v>
      </c>
      <c r="E125" s="2" t="str">
        <f t="shared" si="7"/>
        <v>HBM436.JQXP.677</v>
      </c>
      <c r="F125" t="s">
        <v>370</v>
      </c>
      <c r="G125">
        <v>17</v>
      </c>
      <c r="H125">
        <v>4</v>
      </c>
      <c r="I125">
        <v>4</v>
      </c>
      <c r="J125" t="s">
        <v>371</v>
      </c>
      <c r="K125" t="s">
        <v>20</v>
      </c>
      <c r="L125" t="s">
        <v>21</v>
      </c>
      <c r="M125" t="s">
        <v>22</v>
      </c>
      <c r="N125" s="2" t="b">
        <v>0</v>
      </c>
      <c r="O125" s="2" t="s">
        <v>166</v>
      </c>
      <c r="P125" t="s">
        <v>77</v>
      </c>
      <c r="Q125" t="s">
        <v>183</v>
      </c>
      <c r="R125" t="s">
        <v>184</v>
      </c>
      <c r="S125" t="s">
        <v>169</v>
      </c>
      <c r="T125" s="3">
        <v>45819.778361203702</v>
      </c>
      <c r="U125" s="3">
        <v>45819.778361203702</v>
      </c>
    </row>
    <row r="126" spans="1:21" x14ac:dyDescent="0.2">
      <c r="A126" s="2" t="str">
        <f>HYPERLINK("https://portal.hubmapconsortium.org/browse/sample/4f787d60fcafbcf789949d7ad3edf6f5", "HBM758.JFTQ.243")</f>
        <v>HBM758.JFTQ.243</v>
      </c>
      <c r="B126" t="s">
        <v>148</v>
      </c>
      <c r="C126" t="s">
        <v>149</v>
      </c>
      <c r="D126" s="2" t="b">
        <v>0</v>
      </c>
      <c r="E126" s="2" t="str">
        <f t="shared" si="7"/>
        <v>HBM436.JQXP.677</v>
      </c>
      <c r="F126" t="s">
        <v>373</v>
      </c>
      <c r="G126">
        <v>17</v>
      </c>
      <c r="H126">
        <v>4</v>
      </c>
      <c r="I126">
        <v>6</v>
      </c>
      <c r="J126" t="s">
        <v>374</v>
      </c>
      <c r="K126" t="s">
        <v>20</v>
      </c>
      <c r="L126" t="s">
        <v>21</v>
      </c>
      <c r="M126" t="s">
        <v>22</v>
      </c>
      <c r="N126" s="2" t="b">
        <v>0</v>
      </c>
      <c r="O126" s="2" t="s">
        <v>166</v>
      </c>
      <c r="P126" t="s">
        <v>77</v>
      </c>
      <c r="Q126" t="s">
        <v>183</v>
      </c>
      <c r="R126" t="s">
        <v>184</v>
      </c>
      <c r="S126" t="s">
        <v>169</v>
      </c>
      <c r="T126" s="3">
        <v>45848.841998958327</v>
      </c>
      <c r="U126" s="3">
        <v>45848.841998958327</v>
      </c>
    </row>
    <row r="127" spans="1:21" x14ac:dyDescent="0.2">
      <c r="A127" s="2" t="str">
        <f>HYPERLINK("https://portal.hubmapconsortium.org/browse/sample/e918d7e723b6ed9a2a5666f765db6560", "HBM466.MHPZ.936")</f>
        <v>HBM466.MHPZ.936</v>
      </c>
      <c r="B127" t="s">
        <v>148</v>
      </c>
      <c r="C127" t="s">
        <v>149</v>
      </c>
      <c r="D127" s="2" t="b">
        <v>0</v>
      </c>
      <c r="E127" s="2" t="str">
        <f t="shared" si="7"/>
        <v>HBM436.JQXP.677</v>
      </c>
      <c r="F127" t="s">
        <v>376</v>
      </c>
      <c r="G127">
        <v>17</v>
      </c>
      <c r="H127">
        <v>4</v>
      </c>
      <c r="I127">
        <v>6</v>
      </c>
      <c r="J127" t="s">
        <v>374</v>
      </c>
      <c r="K127" t="s">
        <v>20</v>
      </c>
      <c r="L127" t="s">
        <v>21</v>
      </c>
      <c r="M127" t="s">
        <v>22</v>
      </c>
      <c r="N127" s="2" t="b">
        <v>0</v>
      </c>
      <c r="O127" s="2" t="s">
        <v>166</v>
      </c>
      <c r="P127" t="s">
        <v>77</v>
      </c>
      <c r="Q127" t="s">
        <v>183</v>
      </c>
      <c r="R127" t="s">
        <v>184</v>
      </c>
      <c r="S127" t="s">
        <v>169</v>
      </c>
      <c r="T127" s="3">
        <v>45848.842059907409</v>
      </c>
      <c r="U127" s="3">
        <v>45848.842059907409</v>
      </c>
    </row>
    <row r="128" spans="1:21" x14ac:dyDescent="0.2">
      <c r="A128" s="2" t="str">
        <f>HYPERLINK("https://portal.hubmapconsortium.org/browse/sample/6ec99a89367a84e4bb8cdcc9785c7cd8", "HBM836.CBDH.338")</f>
        <v>HBM836.CBDH.338</v>
      </c>
      <c r="B128" t="s">
        <v>148</v>
      </c>
      <c r="C128" t="s">
        <v>149</v>
      </c>
      <c r="D128" s="2" t="b">
        <v>0</v>
      </c>
      <c r="E128" s="2" t="str">
        <f t="shared" si="7"/>
        <v>HBM436.JQXP.677</v>
      </c>
      <c r="F128" t="s">
        <v>378</v>
      </c>
      <c r="G128">
        <v>17</v>
      </c>
      <c r="H128">
        <v>4</v>
      </c>
      <c r="I128">
        <v>4</v>
      </c>
      <c r="J128" t="s">
        <v>374</v>
      </c>
      <c r="K128" t="s">
        <v>20</v>
      </c>
      <c r="L128" t="s">
        <v>21</v>
      </c>
      <c r="M128" t="s">
        <v>22</v>
      </c>
      <c r="N128" s="2" t="b">
        <v>0</v>
      </c>
      <c r="O128" s="2" t="s">
        <v>166</v>
      </c>
      <c r="P128" t="s">
        <v>77</v>
      </c>
      <c r="Q128" t="s">
        <v>183</v>
      </c>
      <c r="R128" t="s">
        <v>184</v>
      </c>
      <c r="S128" t="s">
        <v>169</v>
      </c>
      <c r="T128" s="3">
        <v>45848.842148275457</v>
      </c>
      <c r="U128" s="3">
        <v>45848.842148275457</v>
      </c>
    </row>
    <row r="129" spans="1:21" x14ac:dyDescent="0.2">
      <c r="A129" s="2" t="str">
        <f>HYPERLINK("https://portal.hubmapconsortium.org/browse/sample/7525947ef401f6d2c1f8b1708a7eb2f4", "HBM725.PZJL.434")</f>
        <v>HBM725.PZJL.434</v>
      </c>
      <c r="B129" t="s">
        <v>148</v>
      </c>
      <c r="C129" t="s">
        <v>149</v>
      </c>
      <c r="D129" t="b">
        <v>1</v>
      </c>
      <c r="E129" s="2" t="str">
        <f t="shared" si="7"/>
        <v>HBM436.JQXP.677</v>
      </c>
      <c r="F129" t="s">
        <v>153</v>
      </c>
      <c r="J129" t="s">
        <v>151</v>
      </c>
      <c r="K129" t="s">
        <v>20</v>
      </c>
      <c r="L129" t="s">
        <v>21</v>
      </c>
      <c r="M129" t="s">
        <v>22</v>
      </c>
      <c r="N129" t="b">
        <v>1</v>
      </c>
      <c r="O129" s="2" t="s">
        <v>57</v>
      </c>
      <c r="P129" t="s">
        <v>24</v>
      </c>
      <c r="Q129" t="s">
        <v>25</v>
      </c>
      <c r="R129" t="s">
        <v>26</v>
      </c>
      <c r="S129" t="s">
        <v>27</v>
      </c>
      <c r="T129" s="3">
        <v>44704.128089247693</v>
      </c>
      <c r="U129" s="3">
        <v>44733.165295312501</v>
      </c>
    </row>
    <row r="130" spans="1:21" x14ac:dyDescent="0.2">
      <c r="A130" s="2" t="str">
        <f>HYPERLINK("https://portal.hubmapconsortium.org/browse/sample/2d12da4d0e33de3e1eb5a786159ca50a", "HBM848.PRTH.942")</f>
        <v>HBM848.PRTH.942</v>
      </c>
      <c r="B130" t="s">
        <v>148</v>
      </c>
      <c r="C130" t="s">
        <v>149</v>
      </c>
      <c r="D130" t="b">
        <v>1</v>
      </c>
      <c r="E130" s="2" t="str">
        <f t="shared" si="7"/>
        <v>HBM436.JQXP.677</v>
      </c>
      <c r="F130" t="s">
        <v>154</v>
      </c>
      <c r="J130" t="s">
        <v>151</v>
      </c>
      <c r="K130" t="s">
        <v>20</v>
      </c>
      <c r="L130" t="s">
        <v>21</v>
      </c>
      <c r="M130" t="s">
        <v>22</v>
      </c>
      <c r="N130" t="b">
        <v>1</v>
      </c>
      <c r="O130" s="2" t="s">
        <v>57</v>
      </c>
      <c r="P130" t="s">
        <v>24</v>
      </c>
      <c r="Q130" t="s">
        <v>25</v>
      </c>
      <c r="R130" t="s">
        <v>26</v>
      </c>
      <c r="S130" t="s">
        <v>27</v>
      </c>
      <c r="T130" s="3">
        <v>44704.12808949074</v>
      </c>
      <c r="U130" s="3">
        <v>44733.171091157397</v>
      </c>
    </row>
    <row r="131" spans="1:21" x14ac:dyDescent="0.2">
      <c r="A131" s="2" t="str">
        <f>HYPERLINK("https://portal.hubmapconsortium.org/browse/sample/8348400d78c5f2f6c9bca965ab7bf35a", "HBM848.MCDW.627")</f>
        <v>HBM848.MCDW.627</v>
      </c>
      <c r="B131" t="s">
        <v>155</v>
      </c>
      <c r="C131" t="s">
        <v>156</v>
      </c>
      <c r="D131" s="2" t="b">
        <v>0</v>
      </c>
      <c r="E131" s="2" t="str">
        <f t="shared" ref="E131:E136" si="8">HYPERLINK("https://portal.hubmapconsortium.org/browse/sample/d8d8a01808460212f824348ccb643839", "HBM566.VHMC.724")</f>
        <v>HBM566.VHMC.724</v>
      </c>
      <c r="F131" t="s">
        <v>382</v>
      </c>
      <c r="G131">
        <v>23</v>
      </c>
      <c r="H131">
        <v>5</v>
      </c>
      <c r="I131">
        <v>6</v>
      </c>
      <c r="J131" t="s">
        <v>383</v>
      </c>
      <c r="K131" t="s">
        <v>20</v>
      </c>
      <c r="L131" t="s">
        <v>21</v>
      </c>
      <c r="M131" t="s">
        <v>22</v>
      </c>
      <c r="N131" s="2" t="b">
        <v>0</v>
      </c>
      <c r="O131" s="2" t="s">
        <v>166</v>
      </c>
      <c r="P131" t="s">
        <v>24</v>
      </c>
      <c r="Q131" t="s">
        <v>183</v>
      </c>
      <c r="R131" t="s">
        <v>184</v>
      </c>
      <c r="S131" t="s">
        <v>169</v>
      </c>
      <c r="T131" s="3">
        <v>45741.623019305553</v>
      </c>
      <c r="U131" s="3">
        <v>45741.623019305553</v>
      </c>
    </row>
    <row r="132" spans="1:21" x14ac:dyDescent="0.2">
      <c r="A132" s="2" t="str">
        <f>HYPERLINK("https://portal.hubmapconsortium.org/browse/sample/9d9ba926979b14d6ef55332654f140fa", "HBM365.VQCJ.346")</f>
        <v>HBM365.VQCJ.346</v>
      </c>
      <c r="B132" t="s">
        <v>155</v>
      </c>
      <c r="C132" t="s">
        <v>156</v>
      </c>
      <c r="D132" s="2" t="b">
        <v>0</v>
      </c>
      <c r="E132" s="2" t="str">
        <f t="shared" si="8"/>
        <v>HBM566.VHMC.724</v>
      </c>
      <c r="F132" t="s">
        <v>384</v>
      </c>
      <c r="G132">
        <v>23</v>
      </c>
      <c r="H132">
        <v>5</v>
      </c>
      <c r="I132">
        <v>8</v>
      </c>
      <c r="J132" t="s">
        <v>385</v>
      </c>
      <c r="K132" t="s">
        <v>20</v>
      </c>
      <c r="L132" t="s">
        <v>21</v>
      </c>
      <c r="M132" t="s">
        <v>22</v>
      </c>
      <c r="N132" s="2" t="b">
        <v>0</v>
      </c>
      <c r="O132" s="2" t="s">
        <v>262</v>
      </c>
      <c r="P132" t="s">
        <v>24</v>
      </c>
      <c r="Q132" t="s">
        <v>167</v>
      </c>
      <c r="R132" t="s">
        <v>168</v>
      </c>
      <c r="S132" t="s">
        <v>169</v>
      </c>
      <c r="T132" s="3">
        <v>45316.631634768521</v>
      </c>
      <c r="U132" s="3">
        <v>45316.631634768521</v>
      </c>
    </row>
    <row r="133" spans="1:21" x14ac:dyDescent="0.2">
      <c r="A133" s="2" t="str">
        <f>HYPERLINK("https://portal.hubmapconsortium.org/browse/sample/1e0932bd7d6b6aa743e28332f9727b30", "HBM434.BZFM.259")</f>
        <v>HBM434.BZFM.259</v>
      </c>
      <c r="B133" t="s">
        <v>155</v>
      </c>
      <c r="C133" t="s">
        <v>156</v>
      </c>
      <c r="D133" t="b">
        <v>1</v>
      </c>
      <c r="E133" s="2" t="str">
        <f t="shared" si="8"/>
        <v>HBM566.VHMC.724</v>
      </c>
      <c r="F133" t="s">
        <v>157</v>
      </c>
      <c r="J133" t="s">
        <v>158</v>
      </c>
      <c r="K133" t="s">
        <v>20</v>
      </c>
      <c r="L133" t="s">
        <v>21</v>
      </c>
      <c r="M133" t="s">
        <v>22</v>
      </c>
      <c r="N133" t="b">
        <v>1</v>
      </c>
      <c r="O133" s="2" t="s">
        <v>57</v>
      </c>
      <c r="P133" t="s">
        <v>24</v>
      </c>
      <c r="Q133" t="s">
        <v>25</v>
      </c>
      <c r="R133" t="s">
        <v>26</v>
      </c>
      <c r="S133" t="s">
        <v>27</v>
      </c>
      <c r="T133" s="3">
        <v>44704.139215219897</v>
      </c>
      <c r="U133" s="3">
        <v>44733.180483379627</v>
      </c>
    </row>
    <row r="134" spans="1:21" x14ac:dyDescent="0.2">
      <c r="A134" s="2" t="str">
        <f>HYPERLINK("https://portal.hubmapconsortium.org/browse/sample/d70713396f2dc6660dce41530e1ba652", "HBM447.SVDJ.994")</f>
        <v>HBM447.SVDJ.994</v>
      </c>
      <c r="B134" t="s">
        <v>155</v>
      </c>
      <c r="C134" t="s">
        <v>156</v>
      </c>
      <c r="D134" t="b">
        <v>1</v>
      </c>
      <c r="E134" s="2" t="str">
        <f t="shared" si="8"/>
        <v>HBM566.VHMC.724</v>
      </c>
      <c r="F134" t="s">
        <v>159</v>
      </c>
      <c r="J134" t="s">
        <v>158</v>
      </c>
      <c r="K134" t="s">
        <v>20</v>
      </c>
      <c r="L134" t="s">
        <v>21</v>
      </c>
      <c r="M134" t="s">
        <v>22</v>
      </c>
      <c r="N134" t="b">
        <v>1</v>
      </c>
      <c r="O134" s="2" t="s">
        <v>57</v>
      </c>
      <c r="P134" t="s">
        <v>24</v>
      </c>
      <c r="Q134" t="s">
        <v>25</v>
      </c>
      <c r="R134" t="s">
        <v>26</v>
      </c>
      <c r="S134" t="s">
        <v>27</v>
      </c>
      <c r="T134" s="3">
        <v>44704.139215428237</v>
      </c>
      <c r="U134" s="3">
        <v>44932.172308321758</v>
      </c>
    </row>
    <row r="135" spans="1:21" x14ac:dyDescent="0.2">
      <c r="A135" s="2" t="str">
        <f>HYPERLINK("https://portal.hubmapconsortium.org/browse/sample/5d85b297472384ebe01ccc55f9edb3a3", "HBM657.XJJJ.655")</f>
        <v>HBM657.XJJJ.655</v>
      </c>
      <c r="B135" t="s">
        <v>155</v>
      </c>
      <c r="C135" t="s">
        <v>156</v>
      </c>
      <c r="D135" t="b">
        <v>1</v>
      </c>
      <c r="E135" s="2" t="str">
        <f t="shared" si="8"/>
        <v>HBM566.VHMC.724</v>
      </c>
      <c r="F135" t="s">
        <v>160</v>
      </c>
      <c r="J135" t="s">
        <v>158</v>
      </c>
      <c r="K135" t="s">
        <v>20</v>
      </c>
      <c r="L135" t="s">
        <v>21</v>
      </c>
      <c r="M135" t="s">
        <v>22</v>
      </c>
      <c r="N135" t="b">
        <v>1</v>
      </c>
      <c r="O135" s="2" t="s">
        <v>57</v>
      </c>
      <c r="P135" t="s">
        <v>24</v>
      </c>
      <c r="Q135" t="s">
        <v>25</v>
      </c>
      <c r="R135" t="s">
        <v>26</v>
      </c>
      <c r="S135" t="s">
        <v>27</v>
      </c>
      <c r="T135" s="3">
        <v>44704.139215636576</v>
      </c>
      <c r="U135" s="3">
        <v>44733.193261539353</v>
      </c>
    </row>
    <row r="136" spans="1:21" x14ac:dyDescent="0.2">
      <c r="A136" s="2" t="str">
        <f>HYPERLINK("https://portal.hubmapconsortium.org/browse/sample/9676700b170c789e5d30815f314820a2", "HBM465.JWQL.645")</f>
        <v>HBM465.JWQL.645</v>
      </c>
      <c r="B136" t="s">
        <v>155</v>
      </c>
      <c r="C136" t="s">
        <v>156</v>
      </c>
      <c r="D136" t="b">
        <v>1</v>
      </c>
      <c r="E136" s="2" t="str">
        <f t="shared" si="8"/>
        <v>HBM566.VHMC.724</v>
      </c>
      <c r="F136" t="s">
        <v>161</v>
      </c>
      <c r="J136" t="s">
        <v>158</v>
      </c>
      <c r="K136" t="s">
        <v>20</v>
      </c>
      <c r="L136" t="s">
        <v>21</v>
      </c>
      <c r="M136" t="s">
        <v>22</v>
      </c>
      <c r="N136" t="b">
        <v>1</v>
      </c>
      <c r="O136" s="2" t="s">
        <v>57</v>
      </c>
      <c r="P136" t="s">
        <v>24</v>
      </c>
      <c r="Q136" t="s">
        <v>25</v>
      </c>
      <c r="R136" t="s">
        <v>26</v>
      </c>
      <c r="S136" t="s">
        <v>27</v>
      </c>
      <c r="T136" s="3">
        <v>44704.139215868046</v>
      </c>
      <c r="U136" s="3">
        <v>44733.196188078713</v>
      </c>
    </row>
    <row r="137" spans="1:21" x14ac:dyDescent="0.2">
      <c r="A137" s="2" t="str">
        <f>HYPERLINK("https://portal.hubmapconsortium.org/browse/sample/f3bf36fe68379c44b26269b8badce798", "HBM824.BLFP.695")</f>
        <v>HBM824.BLFP.695</v>
      </c>
      <c r="B137" t="s">
        <v>386</v>
      </c>
      <c r="C137" t="s">
        <v>387</v>
      </c>
      <c r="D137" s="2" t="b">
        <v>0</v>
      </c>
      <c r="E137" s="2" t="str">
        <f t="shared" ref="E137:E145" si="9">HYPERLINK("https://portal.hubmapconsortium.org/browse/sample/74aeefbc8e5eb1ab9adba5bf2fd8be8b", "HBM652.DLTR.837")</f>
        <v>HBM652.DLTR.837</v>
      </c>
      <c r="F137" t="s">
        <v>388</v>
      </c>
      <c r="J137" t="s">
        <v>389</v>
      </c>
      <c r="K137" t="s">
        <v>20</v>
      </c>
      <c r="L137" t="s">
        <v>21</v>
      </c>
      <c r="M137" t="s">
        <v>22</v>
      </c>
      <c r="N137" s="2" t="b">
        <v>0</v>
      </c>
      <c r="O137" s="2" t="s">
        <v>166</v>
      </c>
      <c r="P137" t="s">
        <v>77</v>
      </c>
      <c r="Q137" t="s">
        <v>183</v>
      </c>
      <c r="R137" t="s">
        <v>184</v>
      </c>
      <c r="S137" t="s">
        <v>169</v>
      </c>
      <c r="T137" s="3">
        <v>45848.842249861111</v>
      </c>
      <c r="U137" s="3">
        <v>45848.842249861111</v>
      </c>
    </row>
    <row r="138" spans="1:21" x14ac:dyDescent="0.2">
      <c r="A138" s="2" t="str">
        <f>HYPERLINK("https://portal.hubmapconsortium.org/browse/sample/12538fe0b937affb330e9da0bda255e8", "HBM724.LXMB.478")</f>
        <v>HBM724.LXMB.478</v>
      </c>
      <c r="B138" t="s">
        <v>386</v>
      </c>
      <c r="C138" t="s">
        <v>387</v>
      </c>
      <c r="D138" s="2" t="b">
        <v>0</v>
      </c>
      <c r="E138" s="2" t="str">
        <f t="shared" si="9"/>
        <v>HBM652.DLTR.837</v>
      </c>
      <c r="F138" t="s">
        <v>394</v>
      </c>
      <c r="J138" t="s">
        <v>395</v>
      </c>
      <c r="K138" t="s">
        <v>20</v>
      </c>
      <c r="L138" t="s">
        <v>21</v>
      </c>
      <c r="M138" t="s">
        <v>22</v>
      </c>
      <c r="N138" s="2" t="b">
        <v>0</v>
      </c>
      <c r="O138" s="2" t="s">
        <v>235</v>
      </c>
      <c r="P138" t="s">
        <v>77</v>
      </c>
      <c r="Q138" t="s">
        <v>183</v>
      </c>
      <c r="R138" t="s">
        <v>184</v>
      </c>
      <c r="S138" t="s">
        <v>169</v>
      </c>
      <c r="T138" s="3">
        <v>45513.845556446759</v>
      </c>
      <c r="U138" s="3">
        <v>45513.845556446759</v>
      </c>
    </row>
    <row r="139" spans="1:21" x14ac:dyDescent="0.2">
      <c r="A139" s="2" t="str">
        <f>HYPERLINK("https://portal.hubmapconsortium.org/browse/sample/c5081ca7115c66337a01970ac1729d7e", "HBM247.TLGL.355")</f>
        <v>HBM247.TLGL.355</v>
      </c>
      <c r="B139" t="s">
        <v>386</v>
      </c>
      <c r="C139" t="s">
        <v>387</v>
      </c>
      <c r="D139" s="2" t="b">
        <v>0</v>
      </c>
      <c r="E139" s="2" t="str">
        <f t="shared" si="9"/>
        <v>HBM652.DLTR.837</v>
      </c>
      <c r="F139" t="s">
        <v>396</v>
      </c>
      <c r="J139" t="s">
        <v>397</v>
      </c>
      <c r="K139" t="s">
        <v>20</v>
      </c>
      <c r="L139" t="s">
        <v>21</v>
      </c>
      <c r="M139" t="s">
        <v>22</v>
      </c>
      <c r="N139" s="2" t="b">
        <v>0</v>
      </c>
      <c r="O139" s="2" t="s">
        <v>235</v>
      </c>
      <c r="P139" t="s">
        <v>77</v>
      </c>
      <c r="Q139" t="s">
        <v>183</v>
      </c>
      <c r="R139" t="s">
        <v>184</v>
      </c>
      <c r="S139" t="s">
        <v>169</v>
      </c>
      <c r="T139" s="3">
        <v>45513.845572754632</v>
      </c>
      <c r="U139" s="3">
        <v>45513.845572754632</v>
      </c>
    </row>
    <row r="140" spans="1:21" x14ac:dyDescent="0.2">
      <c r="A140" s="2" t="str">
        <f>HYPERLINK("https://portal.hubmapconsortium.org/browse/sample/367ea6b7432f6b79c118de57492ce5d8", "HBM543.GCFT.362")</f>
        <v>HBM543.GCFT.362</v>
      </c>
      <c r="B140" t="s">
        <v>386</v>
      </c>
      <c r="C140" t="s">
        <v>387</v>
      </c>
      <c r="D140" s="2" t="b">
        <v>0</v>
      </c>
      <c r="E140" s="2" t="str">
        <f t="shared" si="9"/>
        <v>HBM652.DLTR.837</v>
      </c>
      <c r="F140" t="s">
        <v>398</v>
      </c>
      <c r="J140" t="s">
        <v>399</v>
      </c>
      <c r="K140" t="s">
        <v>20</v>
      </c>
      <c r="L140" t="s">
        <v>21</v>
      </c>
      <c r="M140" t="s">
        <v>22</v>
      </c>
      <c r="N140" s="2" t="b">
        <v>0</v>
      </c>
      <c r="O140" s="2" t="s">
        <v>235</v>
      </c>
      <c r="P140" t="s">
        <v>77</v>
      </c>
      <c r="Q140" t="s">
        <v>183</v>
      </c>
      <c r="R140" t="s">
        <v>184</v>
      </c>
      <c r="S140" t="s">
        <v>169</v>
      </c>
      <c r="T140" s="3">
        <v>45513.845587488417</v>
      </c>
      <c r="U140" s="3">
        <v>45513.845587488417</v>
      </c>
    </row>
    <row r="141" spans="1:21" x14ac:dyDescent="0.2">
      <c r="A141" s="2" t="str">
        <f>HYPERLINK("https://portal.hubmapconsortium.org/browse/sample/26ad781b889338e646abb34b382e4c03", "HBM337.PMNN.554")</f>
        <v>HBM337.PMNN.554</v>
      </c>
      <c r="B141" t="s">
        <v>386</v>
      </c>
      <c r="C141" t="s">
        <v>387</v>
      </c>
      <c r="D141" s="2" t="b">
        <v>0</v>
      </c>
      <c r="E141" s="2" t="str">
        <f t="shared" si="9"/>
        <v>HBM652.DLTR.837</v>
      </c>
      <c r="F141" t="s">
        <v>400</v>
      </c>
      <c r="J141" t="s">
        <v>401</v>
      </c>
      <c r="K141" t="s">
        <v>20</v>
      </c>
      <c r="L141" t="s">
        <v>21</v>
      </c>
      <c r="M141" t="s">
        <v>22</v>
      </c>
      <c r="N141" s="2" t="b">
        <v>0</v>
      </c>
      <c r="O141" s="2" t="s">
        <v>235</v>
      </c>
      <c r="P141" t="s">
        <v>24</v>
      </c>
      <c r="Q141" t="s">
        <v>183</v>
      </c>
      <c r="R141" t="s">
        <v>184</v>
      </c>
      <c r="S141" t="s">
        <v>169</v>
      </c>
      <c r="T141" s="3">
        <v>45513.845602199071</v>
      </c>
      <c r="U141" s="3">
        <v>45513.845602199071</v>
      </c>
    </row>
    <row r="142" spans="1:21" x14ac:dyDescent="0.2">
      <c r="A142" s="2" t="str">
        <f>HYPERLINK("https://portal.hubmapconsortium.org/browse/sample/5ce62fb96ee614514ef296dbdd946c7b", "HBM743.RBVN.888")</f>
        <v>HBM743.RBVN.888</v>
      </c>
      <c r="B142" t="s">
        <v>386</v>
      </c>
      <c r="C142" t="s">
        <v>387</v>
      </c>
      <c r="D142" s="2" t="b">
        <v>0</v>
      </c>
      <c r="E142" s="2" t="str">
        <f t="shared" si="9"/>
        <v>HBM652.DLTR.837</v>
      </c>
      <c r="F142" t="s">
        <v>404</v>
      </c>
      <c r="J142" t="s">
        <v>395</v>
      </c>
      <c r="K142" t="s">
        <v>20</v>
      </c>
      <c r="L142" t="s">
        <v>21</v>
      </c>
      <c r="M142" t="s">
        <v>22</v>
      </c>
      <c r="N142" s="2" t="b">
        <v>0</v>
      </c>
      <c r="O142" s="2" t="s">
        <v>235</v>
      </c>
      <c r="P142" t="s">
        <v>77</v>
      </c>
      <c r="Q142" t="s">
        <v>183</v>
      </c>
      <c r="R142" t="s">
        <v>184</v>
      </c>
      <c r="S142" t="s">
        <v>169</v>
      </c>
      <c r="T142" s="3">
        <v>45513.845617511572</v>
      </c>
      <c r="U142" s="3">
        <v>45513.845617511572</v>
      </c>
    </row>
    <row r="143" spans="1:21" x14ac:dyDescent="0.2">
      <c r="A143" s="2" t="str">
        <f>HYPERLINK("https://portal.hubmapconsortium.org/browse/sample/144c9542f3b7314d3eb8af16815f2b48", "HBM268.MRDT.978")</f>
        <v>HBM268.MRDT.978</v>
      </c>
      <c r="B143" t="s">
        <v>386</v>
      </c>
      <c r="C143" t="s">
        <v>387</v>
      </c>
      <c r="D143" s="2" t="b">
        <v>0</v>
      </c>
      <c r="E143" s="2" t="str">
        <f t="shared" si="9"/>
        <v>HBM652.DLTR.837</v>
      </c>
      <c r="F143" t="s">
        <v>405</v>
      </c>
      <c r="J143" t="s">
        <v>397</v>
      </c>
      <c r="K143" t="s">
        <v>20</v>
      </c>
      <c r="L143" t="s">
        <v>21</v>
      </c>
      <c r="M143" t="s">
        <v>22</v>
      </c>
      <c r="N143" s="2" t="b">
        <v>0</v>
      </c>
      <c r="O143" s="2" t="s">
        <v>235</v>
      </c>
      <c r="P143" t="s">
        <v>77</v>
      </c>
      <c r="Q143" t="s">
        <v>183</v>
      </c>
      <c r="R143" t="s">
        <v>184</v>
      </c>
      <c r="S143" t="s">
        <v>169</v>
      </c>
      <c r="T143" s="3">
        <v>45513.845632164353</v>
      </c>
      <c r="U143" s="3">
        <v>45513.845632164353</v>
      </c>
    </row>
    <row r="144" spans="1:21" x14ac:dyDescent="0.2">
      <c r="A144" s="2" t="str">
        <f>HYPERLINK("https://portal.hubmapconsortium.org/browse/sample/11ec76dbd11a0809082e4a6c8c17b0c3", "HBM598.QJCR.348")</f>
        <v>HBM598.QJCR.348</v>
      </c>
      <c r="B144" t="s">
        <v>386</v>
      </c>
      <c r="C144" t="s">
        <v>387</v>
      </c>
      <c r="D144" s="2" t="b">
        <v>0</v>
      </c>
      <c r="E144" s="2" t="str">
        <f t="shared" si="9"/>
        <v>HBM652.DLTR.837</v>
      </c>
      <c r="F144" t="s">
        <v>406</v>
      </c>
      <c r="J144" t="s">
        <v>399</v>
      </c>
      <c r="K144" t="s">
        <v>20</v>
      </c>
      <c r="L144" t="s">
        <v>21</v>
      </c>
      <c r="M144" t="s">
        <v>22</v>
      </c>
      <c r="N144" s="2" t="b">
        <v>0</v>
      </c>
      <c r="O144" s="2" t="s">
        <v>235</v>
      </c>
      <c r="P144" t="s">
        <v>77</v>
      </c>
      <c r="Q144" t="s">
        <v>183</v>
      </c>
      <c r="R144" t="s">
        <v>184</v>
      </c>
      <c r="S144" t="s">
        <v>169</v>
      </c>
      <c r="T144" s="3">
        <v>45513.845646192131</v>
      </c>
      <c r="U144" s="3">
        <v>45513.845646192131</v>
      </c>
    </row>
    <row r="145" spans="1:21" x14ac:dyDescent="0.2">
      <c r="A145" s="2" t="str">
        <f>HYPERLINK("https://portal.hubmapconsortium.org/browse/sample/10e8f7ed1ccc2cc2c878b364ac3048b4", "HBM236.HRDG.789")</f>
        <v>HBM236.HRDG.789</v>
      </c>
      <c r="B145" t="s">
        <v>386</v>
      </c>
      <c r="C145" t="s">
        <v>387</v>
      </c>
      <c r="D145" s="2" t="b">
        <v>0</v>
      </c>
      <c r="E145" s="2" t="str">
        <f t="shared" si="9"/>
        <v>HBM652.DLTR.837</v>
      </c>
      <c r="F145" t="s">
        <v>407</v>
      </c>
      <c r="J145" t="s">
        <v>401</v>
      </c>
      <c r="K145" t="s">
        <v>20</v>
      </c>
      <c r="L145" t="s">
        <v>21</v>
      </c>
      <c r="M145" t="s">
        <v>22</v>
      </c>
      <c r="N145" s="2" t="b">
        <v>0</v>
      </c>
      <c r="O145" s="2" t="s">
        <v>235</v>
      </c>
      <c r="P145" t="s">
        <v>24</v>
      </c>
      <c r="Q145" t="s">
        <v>183</v>
      </c>
      <c r="R145" t="s">
        <v>184</v>
      </c>
      <c r="S145" t="s">
        <v>169</v>
      </c>
      <c r="T145" s="3">
        <v>45513.845659988423</v>
      </c>
      <c r="U145" s="3">
        <v>45513.845659988423</v>
      </c>
    </row>
    <row r="146" spans="1:21" x14ac:dyDescent="0.2">
      <c r="A146" s="2" t="str">
        <f>HYPERLINK("https://portal.hubmapconsortium.org/browse/sample/96b89fa74e81b2c38dbe4cc93c25ad19", "HBM787.QKSJ.738")</f>
        <v>HBM787.QKSJ.738</v>
      </c>
      <c r="B146" t="s">
        <v>386</v>
      </c>
      <c r="C146" t="s">
        <v>408</v>
      </c>
      <c r="D146" s="2" t="b">
        <v>0</v>
      </c>
      <c r="E146" s="2" t="str">
        <f t="shared" ref="E146:E177" si="10">HYPERLINK("https://portal.hubmapconsortium.org/browse/sample/6d3a61d32c777efa3bef04dc1f698e91", "HBM657.BGFJ.898")</f>
        <v>HBM657.BGFJ.898</v>
      </c>
      <c r="F146" t="s">
        <v>413</v>
      </c>
      <c r="J146" t="s">
        <v>414</v>
      </c>
      <c r="K146" t="s">
        <v>20</v>
      </c>
      <c r="L146" t="s">
        <v>21</v>
      </c>
      <c r="M146" t="s">
        <v>22</v>
      </c>
      <c r="N146" s="2" t="b">
        <v>0</v>
      </c>
      <c r="O146" s="2" t="s">
        <v>235</v>
      </c>
      <c r="P146" t="s">
        <v>77</v>
      </c>
      <c r="Q146" t="s">
        <v>183</v>
      </c>
      <c r="R146" t="s">
        <v>184</v>
      </c>
      <c r="S146" t="s">
        <v>169</v>
      </c>
      <c r="T146" s="3">
        <v>45513.84621693287</v>
      </c>
      <c r="U146" s="3">
        <v>45513.84621693287</v>
      </c>
    </row>
    <row r="147" spans="1:21" x14ac:dyDescent="0.2">
      <c r="A147" s="2" t="str">
        <f>HYPERLINK("https://portal.hubmapconsortium.org/browse/sample/8f5af50879bc82c8cdbed97b782409d8", "HBM542.VKPQ.794")</f>
        <v>HBM542.VKPQ.794</v>
      </c>
      <c r="B147" t="s">
        <v>386</v>
      </c>
      <c r="C147" t="s">
        <v>408</v>
      </c>
      <c r="D147" s="2" t="b">
        <v>0</v>
      </c>
      <c r="E147" s="2" t="str">
        <f t="shared" si="10"/>
        <v>HBM657.BGFJ.898</v>
      </c>
      <c r="F147" t="s">
        <v>415</v>
      </c>
      <c r="J147" t="s">
        <v>416</v>
      </c>
      <c r="K147" t="s">
        <v>20</v>
      </c>
      <c r="L147" t="s">
        <v>21</v>
      </c>
      <c r="M147" t="s">
        <v>22</v>
      </c>
      <c r="N147" s="2" t="b">
        <v>0</v>
      </c>
      <c r="O147" s="2" t="s">
        <v>235</v>
      </c>
      <c r="P147" t="s">
        <v>77</v>
      </c>
      <c r="Q147" t="s">
        <v>183</v>
      </c>
      <c r="R147" t="s">
        <v>184</v>
      </c>
      <c r="S147" t="s">
        <v>169</v>
      </c>
      <c r="T147" s="3">
        <v>45513.846231087962</v>
      </c>
      <c r="U147" s="3">
        <v>45513.846231087962</v>
      </c>
    </row>
    <row r="148" spans="1:21" x14ac:dyDescent="0.2">
      <c r="A148" s="2" t="str">
        <f>HYPERLINK("https://portal.hubmapconsortium.org/browse/sample/582acaba214813f1dfdd8fa932b21f15", "HBM245.HKZM.836")</f>
        <v>HBM245.HKZM.836</v>
      </c>
      <c r="B148" t="s">
        <v>386</v>
      </c>
      <c r="C148" t="s">
        <v>408</v>
      </c>
      <c r="D148" s="2" t="b">
        <v>0</v>
      </c>
      <c r="E148" s="2" t="str">
        <f t="shared" si="10"/>
        <v>HBM657.BGFJ.898</v>
      </c>
      <c r="F148" t="s">
        <v>417</v>
      </c>
      <c r="J148" t="s">
        <v>418</v>
      </c>
      <c r="K148" t="s">
        <v>20</v>
      </c>
      <c r="L148" t="s">
        <v>21</v>
      </c>
      <c r="M148" t="s">
        <v>22</v>
      </c>
      <c r="N148" s="2" t="b">
        <v>0</v>
      </c>
      <c r="O148" s="2" t="s">
        <v>235</v>
      </c>
      <c r="P148" t="s">
        <v>77</v>
      </c>
      <c r="Q148" t="s">
        <v>183</v>
      </c>
      <c r="R148" t="s">
        <v>184</v>
      </c>
      <c r="S148" t="s">
        <v>169</v>
      </c>
      <c r="T148" s="3">
        <v>45513.846245474539</v>
      </c>
      <c r="U148" s="3">
        <v>45513.846245474539</v>
      </c>
    </row>
    <row r="149" spans="1:21" x14ac:dyDescent="0.2">
      <c r="A149" s="2" t="str">
        <f>HYPERLINK("https://portal.hubmapconsortium.org/browse/sample/88044b3c26790134b7334662308d7b77", "HBM952.VCLV.974")</f>
        <v>HBM952.VCLV.974</v>
      </c>
      <c r="B149" t="s">
        <v>386</v>
      </c>
      <c r="C149" t="s">
        <v>408</v>
      </c>
      <c r="D149" s="2" t="b">
        <v>0</v>
      </c>
      <c r="E149" s="2" t="str">
        <f t="shared" si="10"/>
        <v>HBM657.BGFJ.898</v>
      </c>
      <c r="F149" t="s">
        <v>419</v>
      </c>
      <c r="J149" t="s">
        <v>420</v>
      </c>
      <c r="K149" t="s">
        <v>20</v>
      </c>
      <c r="L149" t="s">
        <v>21</v>
      </c>
      <c r="M149" t="s">
        <v>22</v>
      </c>
      <c r="N149" s="2" t="b">
        <v>0</v>
      </c>
      <c r="O149" s="2" t="s">
        <v>235</v>
      </c>
      <c r="P149" t="s">
        <v>24</v>
      </c>
      <c r="Q149" t="s">
        <v>183</v>
      </c>
      <c r="R149" t="s">
        <v>184</v>
      </c>
      <c r="S149" t="s">
        <v>169</v>
      </c>
      <c r="T149" s="3">
        <v>45513.846260185193</v>
      </c>
      <c r="U149" s="3">
        <v>45513.846260185193</v>
      </c>
    </row>
    <row r="150" spans="1:21" x14ac:dyDescent="0.2">
      <c r="A150" s="2" t="str">
        <f>HYPERLINK("https://portal.hubmapconsortium.org/browse/sample/383173d49fb0fe2edeb50982d464d09b", "HBM847.HJKP.447")</f>
        <v>HBM847.HJKP.447</v>
      </c>
      <c r="B150" t="s">
        <v>386</v>
      </c>
      <c r="C150" t="s">
        <v>408</v>
      </c>
      <c r="D150" s="2" t="b">
        <v>0</v>
      </c>
      <c r="E150" s="2" t="str">
        <f t="shared" si="10"/>
        <v>HBM657.BGFJ.898</v>
      </c>
      <c r="F150" t="s">
        <v>423</v>
      </c>
      <c r="J150" t="s">
        <v>424</v>
      </c>
      <c r="K150" t="s">
        <v>20</v>
      </c>
      <c r="L150" t="s">
        <v>21</v>
      </c>
      <c r="M150" t="s">
        <v>22</v>
      </c>
      <c r="N150" s="2" t="b">
        <v>0</v>
      </c>
      <c r="O150" s="2" t="s">
        <v>235</v>
      </c>
      <c r="P150" t="s">
        <v>77</v>
      </c>
      <c r="Q150" t="s">
        <v>183</v>
      </c>
      <c r="R150" t="s">
        <v>184</v>
      </c>
      <c r="S150" t="s">
        <v>169</v>
      </c>
      <c r="T150" s="3">
        <v>45513.846275439813</v>
      </c>
      <c r="U150" s="3">
        <v>45513.846275439813</v>
      </c>
    </row>
    <row r="151" spans="1:21" x14ac:dyDescent="0.2">
      <c r="A151" s="2" t="str">
        <f>HYPERLINK("https://portal.hubmapconsortium.org/browse/sample/2e2f7f959256a73b08a130a771bdb9fc", "HBM365.RNDV.248")</f>
        <v>HBM365.RNDV.248</v>
      </c>
      <c r="B151" t="s">
        <v>386</v>
      </c>
      <c r="C151" t="s">
        <v>408</v>
      </c>
      <c r="D151" s="2" t="b">
        <v>0</v>
      </c>
      <c r="E151" s="2" t="str">
        <f t="shared" si="10"/>
        <v>HBM657.BGFJ.898</v>
      </c>
      <c r="F151" t="s">
        <v>425</v>
      </c>
      <c r="J151" t="s">
        <v>426</v>
      </c>
      <c r="K151" t="s">
        <v>20</v>
      </c>
      <c r="L151" t="s">
        <v>21</v>
      </c>
      <c r="M151" t="s">
        <v>22</v>
      </c>
      <c r="N151" s="2" t="b">
        <v>0</v>
      </c>
      <c r="O151" s="2" t="s">
        <v>235</v>
      </c>
      <c r="P151" t="s">
        <v>77</v>
      </c>
      <c r="Q151" t="s">
        <v>183</v>
      </c>
      <c r="R151" t="s">
        <v>184</v>
      </c>
      <c r="S151" t="s">
        <v>169</v>
      </c>
      <c r="T151" s="3">
        <v>45513.84628982639</v>
      </c>
      <c r="U151" s="3">
        <v>45513.84628982639</v>
      </c>
    </row>
    <row r="152" spans="1:21" x14ac:dyDescent="0.2">
      <c r="A152" s="2" t="str">
        <f>HYPERLINK("https://portal.hubmapconsortium.org/browse/sample/a8f65fa831f4a055a19b1f37eaa4a0c4", "HBM782.BRXG.984")</f>
        <v>HBM782.BRXG.984</v>
      </c>
      <c r="B152" t="s">
        <v>386</v>
      </c>
      <c r="C152" t="s">
        <v>408</v>
      </c>
      <c r="D152" s="2" t="b">
        <v>0</v>
      </c>
      <c r="E152" s="2" t="str">
        <f t="shared" si="10"/>
        <v>HBM657.BGFJ.898</v>
      </c>
      <c r="F152" t="s">
        <v>427</v>
      </c>
      <c r="J152" t="s">
        <v>428</v>
      </c>
      <c r="K152" t="s">
        <v>20</v>
      </c>
      <c r="L152" t="s">
        <v>21</v>
      </c>
      <c r="M152" t="s">
        <v>22</v>
      </c>
      <c r="N152" s="2" t="b">
        <v>0</v>
      </c>
      <c r="O152" s="2" t="s">
        <v>235</v>
      </c>
      <c r="P152" t="s">
        <v>77</v>
      </c>
      <c r="Q152" t="s">
        <v>183</v>
      </c>
      <c r="R152" t="s">
        <v>184</v>
      </c>
      <c r="S152" t="s">
        <v>169</v>
      </c>
      <c r="T152" s="3">
        <v>45513.846303784732</v>
      </c>
      <c r="U152" s="3">
        <v>45513.846303784732</v>
      </c>
    </row>
    <row r="153" spans="1:21" x14ac:dyDescent="0.2">
      <c r="A153" s="2" t="str">
        <f>HYPERLINK("https://portal.hubmapconsortium.org/browse/sample/a8f2a415eef022571671cb508d826371", "HBM553.WMVW.532")</f>
        <v>HBM553.WMVW.532</v>
      </c>
      <c r="B153" t="s">
        <v>386</v>
      </c>
      <c r="C153" t="s">
        <v>408</v>
      </c>
      <c r="D153" s="2" t="b">
        <v>0</v>
      </c>
      <c r="E153" s="2" t="str">
        <f t="shared" si="10"/>
        <v>HBM657.BGFJ.898</v>
      </c>
      <c r="F153" t="s">
        <v>429</v>
      </c>
      <c r="J153" t="s">
        <v>430</v>
      </c>
      <c r="K153" t="s">
        <v>20</v>
      </c>
      <c r="L153" t="s">
        <v>21</v>
      </c>
      <c r="M153" t="s">
        <v>22</v>
      </c>
      <c r="N153" s="2" t="b">
        <v>0</v>
      </c>
      <c r="O153" s="2" t="s">
        <v>235</v>
      </c>
      <c r="P153" t="s">
        <v>24</v>
      </c>
      <c r="Q153" t="s">
        <v>183</v>
      </c>
      <c r="R153" t="s">
        <v>184</v>
      </c>
      <c r="S153" t="s">
        <v>169</v>
      </c>
      <c r="T153" s="3">
        <v>45513.84631872685</v>
      </c>
      <c r="U153" s="3">
        <v>45513.84631872685</v>
      </c>
    </row>
    <row r="154" spans="1:21" x14ac:dyDescent="0.2">
      <c r="A154" s="2" t="str">
        <f>HYPERLINK("https://portal.hubmapconsortium.org/browse/sample/805f079c7010a2c65251d5ae8d149ace", "HBM834.TWLT.567")</f>
        <v>HBM834.TWLT.567</v>
      </c>
      <c r="B154" t="s">
        <v>386</v>
      </c>
      <c r="C154" t="s">
        <v>408</v>
      </c>
      <c r="D154" s="2" t="b">
        <v>0</v>
      </c>
      <c r="E154" s="2" t="str">
        <f t="shared" si="10"/>
        <v>HBM657.BGFJ.898</v>
      </c>
      <c r="F154" t="s">
        <v>433</v>
      </c>
      <c r="J154" t="s">
        <v>434</v>
      </c>
      <c r="K154" t="s">
        <v>20</v>
      </c>
      <c r="L154" t="s">
        <v>21</v>
      </c>
      <c r="M154" t="s">
        <v>22</v>
      </c>
      <c r="N154" s="2" t="b">
        <v>0</v>
      </c>
      <c r="O154" s="2" t="s">
        <v>235</v>
      </c>
      <c r="P154" t="s">
        <v>77</v>
      </c>
      <c r="Q154" t="s">
        <v>183</v>
      </c>
      <c r="R154" t="s">
        <v>184</v>
      </c>
      <c r="S154" t="s">
        <v>169</v>
      </c>
      <c r="T154" s="3">
        <v>45513.846333113434</v>
      </c>
      <c r="U154" s="3">
        <v>45513.846333113434</v>
      </c>
    </row>
    <row r="155" spans="1:21" x14ac:dyDescent="0.2">
      <c r="A155" s="2" t="str">
        <f>HYPERLINK("https://portal.hubmapconsortium.org/browse/sample/223ba3fcfc3d823b445c6c7ded3efda2", "HBM445.QFQM.779")</f>
        <v>HBM445.QFQM.779</v>
      </c>
      <c r="B155" t="s">
        <v>386</v>
      </c>
      <c r="C155" t="s">
        <v>408</v>
      </c>
      <c r="D155" s="2" t="b">
        <v>0</v>
      </c>
      <c r="E155" s="2" t="str">
        <f t="shared" si="10"/>
        <v>HBM657.BGFJ.898</v>
      </c>
      <c r="F155" t="s">
        <v>435</v>
      </c>
      <c r="J155" t="s">
        <v>436</v>
      </c>
      <c r="K155" t="s">
        <v>20</v>
      </c>
      <c r="L155" t="s">
        <v>21</v>
      </c>
      <c r="M155" t="s">
        <v>22</v>
      </c>
      <c r="N155" s="2" t="b">
        <v>0</v>
      </c>
      <c r="O155" s="2" t="s">
        <v>235</v>
      </c>
      <c r="P155" t="s">
        <v>77</v>
      </c>
      <c r="Q155" t="s">
        <v>183</v>
      </c>
      <c r="R155" t="s">
        <v>184</v>
      </c>
      <c r="S155" t="s">
        <v>169</v>
      </c>
      <c r="T155" s="3">
        <v>45513.846347314808</v>
      </c>
      <c r="U155" s="3">
        <v>45513.846347314808</v>
      </c>
    </row>
    <row r="156" spans="1:21" x14ac:dyDescent="0.2">
      <c r="A156" s="2" t="str">
        <f>HYPERLINK("https://portal.hubmapconsortium.org/browse/sample/92413957de301d8b74aad2e9b78fe78d", "HBM857.QWST.373")</f>
        <v>HBM857.QWST.373</v>
      </c>
      <c r="B156" t="s">
        <v>386</v>
      </c>
      <c r="C156" t="s">
        <v>408</v>
      </c>
      <c r="D156" s="2" t="b">
        <v>0</v>
      </c>
      <c r="E156" s="2" t="str">
        <f t="shared" si="10"/>
        <v>HBM657.BGFJ.898</v>
      </c>
      <c r="F156" t="s">
        <v>437</v>
      </c>
      <c r="J156" t="s">
        <v>438</v>
      </c>
      <c r="K156" t="s">
        <v>20</v>
      </c>
      <c r="L156" t="s">
        <v>21</v>
      </c>
      <c r="M156" t="s">
        <v>22</v>
      </c>
      <c r="N156" s="2" t="b">
        <v>0</v>
      </c>
      <c r="O156" s="2" t="s">
        <v>235</v>
      </c>
      <c r="P156" t="s">
        <v>77</v>
      </c>
      <c r="Q156" t="s">
        <v>183</v>
      </c>
      <c r="R156" t="s">
        <v>184</v>
      </c>
      <c r="S156" t="s">
        <v>169</v>
      </c>
      <c r="T156" s="3">
        <v>45513.846363449084</v>
      </c>
      <c r="U156" s="3">
        <v>45513.846363449084</v>
      </c>
    </row>
    <row r="157" spans="1:21" x14ac:dyDescent="0.2">
      <c r="A157" s="2" t="str">
        <f>HYPERLINK("https://portal.hubmapconsortium.org/browse/sample/4649e917a2bf578e129e25c30295aa6d", "HBM422.SLBD.425")</f>
        <v>HBM422.SLBD.425</v>
      </c>
      <c r="B157" t="s">
        <v>386</v>
      </c>
      <c r="C157" t="s">
        <v>408</v>
      </c>
      <c r="D157" s="2" t="b">
        <v>0</v>
      </c>
      <c r="E157" s="2" t="str">
        <f t="shared" si="10"/>
        <v>HBM657.BGFJ.898</v>
      </c>
      <c r="F157" t="s">
        <v>439</v>
      </c>
      <c r="J157" t="s">
        <v>440</v>
      </c>
      <c r="K157" t="s">
        <v>20</v>
      </c>
      <c r="L157" t="s">
        <v>21</v>
      </c>
      <c r="M157" t="s">
        <v>22</v>
      </c>
      <c r="N157" s="2" t="b">
        <v>0</v>
      </c>
      <c r="O157" s="2" t="s">
        <v>235</v>
      </c>
      <c r="P157" t="s">
        <v>24</v>
      </c>
      <c r="Q157" t="s">
        <v>183</v>
      </c>
      <c r="R157" t="s">
        <v>184</v>
      </c>
      <c r="S157" t="s">
        <v>169</v>
      </c>
      <c r="T157" s="3">
        <v>45513.846377870374</v>
      </c>
      <c r="U157" s="3">
        <v>45513.846377870374</v>
      </c>
    </row>
    <row r="158" spans="1:21" x14ac:dyDescent="0.2">
      <c r="A158" s="2" t="str">
        <f>HYPERLINK("https://portal.hubmapconsortium.org/browse/sample/383e0e20762acde9b21601a897d1a826", "HBM457.XVMG.386")</f>
        <v>HBM457.XVMG.386</v>
      </c>
      <c r="B158" t="s">
        <v>386</v>
      </c>
      <c r="C158" t="s">
        <v>408</v>
      </c>
      <c r="D158" s="2" t="b">
        <v>0</v>
      </c>
      <c r="E158" s="2" t="str">
        <f t="shared" si="10"/>
        <v>HBM657.BGFJ.898</v>
      </c>
      <c r="F158" t="s">
        <v>443</v>
      </c>
      <c r="J158" t="s">
        <v>444</v>
      </c>
      <c r="K158" t="s">
        <v>20</v>
      </c>
      <c r="L158" t="s">
        <v>21</v>
      </c>
      <c r="M158" t="s">
        <v>22</v>
      </c>
      <c r="N158" s="2" t="b">
        <v>0</v>
      </c>
      <c r="O158" s="2" t="s">
        <v>235</v>
      </c>
      <c r="P158" t="s">
        <v>77</v>
      </c>
      <c r="Q158" t="s">
        <v>183</v>
      </c>
      <c r="R158" t="s">
        <v>184</v>
      </c>
      <c r="S158" t="s">
        <v>169</v>
      </c>
      <c r="T158" s="3">
        <v>45513.84639337963</v>
      </c>
      <c r="U158" s="3">
        <v>45513.84639337963</v>
      </c>
    </row>
    <row r="159" spans="1:21" x14ac:dyDescent="0.2">
      <c r="A159" s="2" t="str">
        <f>HYPERLINK("https://portal.hubmapconsortium.org/browse/sample/d4e60712c52914725ccc046766d59daf", "HBM379.RLSZ.656")</f>
        <v>HBM379.RLSZ.656</v>
      </c>
      <c r="B159" t="s">
        <v>386</v>
      </c>
      <c r="C159" t="s">
        <v>408</v>
      </c>
      <c r="D159" s="2" t="b">
        <v>0</v>
      </c>
      <c r="E159" s="2" t="str">
        <f t="shared" si="10"/>
        <v>HBM657.BGFJ.898</v>
      </c>
      <c r="F159" t="s">
        <v>445</v>
      </c>
      <c r="J159" t="s">
        <v>446</v>
      </c>
      <c r="K159" t="s">
        <v>20</v>
      </c>
      <c r="L159" t="s">
        <v>21</v>
      </c>
      <c r="M159" t="s">
        <v>22</v>
      </c>
      <c r="N159" s="2" t="b">
        <v>0</v>
      </c>
      <c r="O159" s="2" t="s">
        <v>235</v>
      </c>
      <c r="P159" t="s">
        <v>77</v>
      </c>
      <c r="Q159" t="s">
        <v>183</v>
      </c>
      <c r="R159" t="s">
        <v>184</v>
      </c>
      <c r="S159" t="s">
        <v>169</v>
      </c>
      <c r="T159" s="3">
        <v>45513.846408275473</v>
      </c>
      <c r="U159" s="3">
        <v>45513.846408275473</v>
      </c>
    </row>
    <row r="160" spans="1:21" x14ac:dyDescent="0.2">
      <c r="A160" s="2" t="str">
        <f>HYPERLINK("https://portal.hubmapconsortium.org/browse/sample/c2f9c093632889711e91dea17a31d379", "HBM857.BSZM.395")</f>
        <v>HBM857.BSZM.395</v>
      </c>
      <c r="B160" t="s">
        <v>386</v>
      </c>
      <c r="C160" t="s">
        <v>408</v>
      </c>
      <c r="D160" s="2" t="b">
        <v>0</v>
      </c>
      <c r="E160" s="2" t="str">
        <f t="shared" si="10"/>
        <v>HBM657.BGFJ.898</v>
      </c>
      <c r="F160" t="s">
        <v>447</v>
      </c>
      <c r="J160" t="s">
        <v>448</v>
      </c>
      <c r="K160" t="s">
        <v>20</v>
      </c>
      <c r="L160" t="s">
        <v>21</v>
      </c>
      <c r="M160" t="s">
        <v>22</v>
      </c>
      <c r="N160" s="2" t="b">
        <v>0</v>
      </c>
      <c r="O160" s="2" t="s">
        <v>235</v>
      </c>
      <c r="P160" t="s">
        <v>77</v>
      </c>
      <c r="Q160" t="s">
        <v>183</v>
      </c>
      <c r="R160" t="s">
        <v>184</v>
      </c>
      <c r="S160" t="s">
        <v>169</v>
      </c>
      <c r="T160" s="3">
        <v>45513.846423680552</v>
      </c>
      <c r="U160" s="3">
        <v>45513.846423680552</v>
      </c>
    </row>
    <row r="161" spans="1:21" x14ac:dyDescent="0.2">
      <c r="A161" s="2" t="str">
        <f>HYPERLINK("https://portal.hubmapconsortium.org/browse/sample/609894646e9ad6b880409478dbed3c15", "HBM285.QRGK.979")</f>
        <v>HBM285.QRGK.979</v>
      </c>
      <c r="B161" t="s">
        <v>386</v>
      </c>
      <c r="C161" t="s">
        <v>408</v>
      </c>
      <c r="D161" s="2" t="b">
        <v>0</v>
      </c>
      <c r="E161" s="2" t="str">
        <f t="shared" si="10"/>
        <v>HBM657.BGFJ.898</v>
      </c>
      <c r="F161" t="s">
        <v>449</v>
      </c>
      <c r="J161" t="s">
        <v>450</v>
      </c>
      <c r="K161" t="s">
        <v>20</v>
      </c>
      <c r="L161" t="s">
        <v>21</v>
      </c>
      <c r="M161" t="s">
        <v>22</v>
      </c>
      <c r="N161" s="2" t="b">
        <v>0</v>
      </c>
      <c r="O161" s="2" t="s">
        <v>235</v>
      </c>
      <c r="P161" t="s">
        <v>24</v>
      </c>
      <c r="Q161" t="s">
        <v>183</v>
      </c>
      <c r="R161" t="s">
        <v>184</v>
      </c>
      <c r="S161" t="s">
        <v>169</v>
      </c>
      <c r="T161" s="3">
        <v>45513.846439328707</v>
      </c>
      <c r="U161" s="3">
        <v>45513.846439328707</v>
      </c>
    </row>
    <row r="162" spans="1:21" x14ac:dyDescent="0.2">
      <c r="A162" s="2" t="str">
        <f>HYPERLINK("https://portal.hubmapconsortium.org/browse/sample/d0962f978e5403dda48e254a85aa7f5e", "HBM959.CLLS.628")</f>
        <v>HBM959.CLLS.628</v>
      </c>
      <c r="B162" t="s">
        <v>386</v>
      </c>
      <c r="C162" t="s">
        <v>408</v>
      </c>
      <c r="D162" s="2" t="b">
        <v>0</v>
      </c>
      <c r="E162" s="2" t="str">
        <f t="shared" si="10"/>
        <v>HBM657.BGFJ.898</v>
      </c>
      <c r="F162" t="s">
        <v>453</v>
      </c>
      <c r="J162" t="s">
        <v>414</v>
      </c>
      <c r="K162" t="s">
        <v>20</v>
      </c>
      <c r="L162" t="s">
        <v>21</v>
      </c>
      <c r="M162" t="s">
        <v>22</v>
      </c>
      <c r="N162" s="2" t="b">
        <v>0</v>
      </c>
      <c r="O162" s="2" t="s">
        <v>235</v>
      </c>
      <c r="P162" t="s">
        <v>77</v>
      </c>
      <c r="Q162" t="s">
        <v>183</v>
      </c>
      <c r="R162" t="s">
        <v>184</v>
      </c>
      <c r="S162" t="s">
        <v>169</v>
      </c>
      <c r="T162" s="3">
        <v>45513.846454363433</v>
      </c>
      <c r="U162" s="3">
        <v>45513.846454363433</v>
      </c>
    </row>
    <row r="163" spans="1:21" x14ac:dyDescent="0.2">
      <c r="A163" s="2" t="str">
        <f>HYPERLINK("https://portal.hubmapconsortium.org/browse/sample/7c30ca90ac6de576b0e147ab9dc0a359", "HBM963.RBMV.922")</f>
        <v>HBM963.RBMV.922</v>
      </c>
      <c r="B163" t="s">
        <v>386</v>
      </c>
      <c r="C163" t="s">
        <v>408</v>
      </c>
      <c r="D163" s="2" t="b">
        <v>0</v>
      </c>
      <c r="E163" s="2" t="str">
        <f t="shared" si="10"/>
        <v>HBM657.BGFJ.898</v>
      </c>
      <c r="F163" t="s">
        <v>454</v>
      </c>
      <c r="J163" t="s">
        <v>416</v>
      </c>
      <c r="K163" t="s">
        <v>20</v>
      </c>
      <c r="L163" t="s">
        <v>21</v>
      </c>
      <c r="M163" t="s">
        <v>22</v>
      </c>
      <c r="N163" s="2" t="b">
        <v>0</v>
      </c>
      <c r="O163" s="2" t="s">
        <v>235</v>
      </c>
      <c r="P163" t="s">
        <v>77</v>
      </c>
      <c r="Q163" t="s">
        <v>183</v>
      </c>
      <c r="R163" t="s">
        <v>184</v>
      </c>
      <c r="S163" t="s">
        <v>169</v>
      </c>
      <c r="T163" s="3">
        <v>45513.846470219913</v>
      </c>
      <c r="U163" s="3">
        <v>45513.846470219913</v>
      </c>
    </row>
    <row r="164" spans="1:21" x14ac:dyDescent="0.2">
      <c r="A164" s="2" t="str">
        <f>HYPERLINK("https://portal.hubmapconsortium.org/browse/sample/711b64d4b6cd82f397d11ba2501bd818", "HBM568.SRJH.998")</f>
        <v>HBM568.SRJH.998</v>
      </c>
      <c r="B164" t="s">
        <v>386</v>
      </c>
      <c r="C164" t="s">
        <v>408</v>
      </c>
      <c r="D164" s="2" t="b">
        <v>0</v>
      </c>
      <c r="E164" s="2" t="str">
        <f t="shared" si="10"/>
        <v>HBM657.BGFJ.898</v>
      </c>
      <c r="F164" t="s">
        <v>455</v>
      </c>
      <c r="J164" t="s">
        <v>418</v>
      </c>
      <c r="K164" t="s">
        <v>20</v>
      </c>
      <c r="L164" t="s">
        <v>21</v>
      </c>
      <c r="M164" t="s">
        <v>22</v>
      </c>
      <c r="N164" s="2" t="b">
        <v>0</v>
      </c>
      <c r="O164" s="2" t="s">
        <v>235</v>
      </c>
      <c r="P164" t="s">
        <v>77</v>
      </c>
      <c r="Q164" t="s">
        <v>183</v>
      </c>
      <c r="R164" t="s">
        <v>184</v>
      </c>
      <c r="S164" t="s">
        <v>169</v>
      </c>
      <c r="T164" s="3">
        <v>45513.846485277783</v>
      </c>
      <c r="U164" s="3">
        <v>45513.846485277783</v>
      </c>
    </row>
    <row r="165" spans="1:21" x14ac:dyDescent="0.2">
      <c r="A165" s="2" t="str">
        <f>HYPERLINK("https://portal.hubmapconsortium.org/browse/sample/f3db3d9d35e77a5ee6c7137a1307240f", "HBM237.CVQN.634")</f>
        <v>HBM237.CVQN.634</v>
      </c>
      <c r="B165" t="s">
        <v>386</v>
      </c>
      <c r="C165" t="s">
        <v>408</v>
      </c>
      <c r="D165" s="2" t="b">
        <v>0</v>
      </c>
      <c r="E165" s="2" t="str">
        <f t="shared" si="10"/>
        <v>HBM657.BGFJ.898</v>
      </c>
      <c r="F165" t="s">
        <v>456</v>
      </c>
      <c r="J165" t="s">
        <v>420</v>
      </c>
      <c r="K165" t="s">
        <v>20</v>
      </c>
      <c r="L165" t="s">
        <v>21</v>
      </c>
      <c r="M165" t="s">
        <v>22</v>
      </c>
      <c r="N165" s="2" t="b">
        <v>0</v>
      </c>
      <c r="O165" s="2" t="s">
        <v>235</v>
      </c>
      <c r="P165" t="s">
        <v>24</v>
      </c>
      <c r="Q165" t="s">
        <v>183</v>
      </c>
      <c r="R165" t="s">
        <v>184</v>
      </c>
      <c r="S165" t="s">
        <v>169</v>
      </c>
      <c r="T165" s="3">
        <v>45513.846500891203</v>
      </c>
      <c r="U165" s="3">
        <v>45513.846500891203</v>
      </c>
    </row>
    <row r="166" spans="1:21" x14ac:dyDescent="0.2">
      <c r="A166" s="2" t="str">
        <f>HYPERLINK("https://portal.hubmapconsortium.org/browse/sample/92651fccdd142c1eba18032b0a492db8", "HBM335.XNDG.798")</f>
        <v>HBM335.XNDG.798</v>
      </c>
      <c r="B166" t="s">
        <v>386</v>
      </c>
      <c r="C166" t="s">
        <v>408</v>
      </c>
      <c r="D166" s="2" t="b">
        <v>0</v>
      </c>
      <c r="E166" s="2" t="str">
        <f t="shared" si="10"/>
        <v>HBM657.BGFJ.898</v>
      </c>
      <c r="F166" t="s">
        <v>459</v>
      </c>
      <c r="J166" t="s">
        <v>424</v>
      </c>
      <c r="K166" t="s">
        <v>20</v>
      </c>
      <c r="L166" t="s">
        <v>21</v>
      </c>
      <c r="M166" t="s">
        <v>22</v>
      </c>
      <c r="N166" s="2" t="b">
        <v>0</v>
      </c>
      <c r="O166" s="2" t="s">
        <v>235</v>
      </c>
      <c r="P166" t="s">
        <v>77</v>
      </c>
      <c r="Q166" t="s">
        <v>183</v>
      </c>
      <c r="R166" t="s">
        <v>184</v>
      </c>
      <c r="S166" t="s">
        <v>169</v>
      </c>
      <c r="T166" s="3">
        <v>45513.846515173609</v>
      </c>
      <c r="U166" s="3">
        <v>45513.846515173609</v>
      </c>
    </row>
    <row r="167" spans="1:21" x14ac:dyDescent="0.2">
      <c r="A167" s="2" t="str">
        <f>HYPERLINK("https://portal.hubmapconsortium.org/browse/sample/2732ee7d023853957e71946d95e8ca34", "HBM522.SLTF.265")</f>
        <v>HBM522.SLTF.265</v>
      </c>
      <c r="B167" t="s">
        <v>386</v>
      </c>
      <c r="C167" t="s">
        <v>408</v>
      </c>
      <c r="D167" s="2" t="b">
        <v>0</v>
      </c>
      <c r="E167" s="2" t="str">
        <f t="shared" si="10"/>
        <v>HBM657.BGFJ.898</v>
      </c>
      <c r="F167" t="s">
        <v>460</v>
      </c>
      <c r="J167" t="s">
        <v>426</v>
      </c>
      <c r="K167" t="s">
        <v>20</v>
      </c>
      <c r="L167" t="s">
        <v>21</v>
      </c>
      <c r="M167" t="s">
        <v>22</v>
      </c>
      <c r="N167" s="2" t="b">
        <v>0</v>
      </c>
      <c r="O167" s="2" t="s">
        <v>235</v>
      </c>
      <c r="P167" t="s">
        <v>77</v>
      </c>
      <c r="Q167" t="s">
        <v>183</v>
      </c>
      <c r="R167" t="s">
        <v>184</v>
      </c>
      <c r="S167" t="s">
        <v>169</v>
      </c>
      <c r="T167" s="3">
        <v>45513.84653033565</v>
      </c>
      <c r="U167" s="3">
        <v>45513.84653033565</v>
      </c>
    </row>
    <row r="168" spans="1:21" x14ac:dyDescent="0.2">
      <c r="A168" s="2" t="str">
        <f>HYPERLINK("https://portal.hubmapconsortium.org/browse/sample/3e1916c4ccc34296a0fb04c65b37f474", "HBM527.JMGR.583")</f>
        <v>HBM527.JMGR.583</v>
      </c>
      <c r="B168" t="s">
        <v>386</v>
      </c>
      <c r="C168" t="s">
        <v>408</v>
      </c>
      <c r="D168" s="2" t="b">
        <v>0</v>
      </c>
      <c r="E168" s="2" t="str">
        <f t="shared" si="10"/>
        <v>HBM657.BGFJ.898</v>
      </c>
      <c r="F168" t="s">
        <v>461</v>
      </c>
      <c r="J168" t="s">
        <v>428</v>
      </c>
      <c r="K168" t="s">
        <v>20</v>
      </c>
      <c r="L168" t="s">
        <v>21</v>
      </c>
      <c r="M168" t="s">
        <v>22</v>
      </c>
      <c r="N168" s="2" t="b">
        <v>0</v>
      </c>
      <c r="O168" s="2" t="s">
        <v>235</v>
      </c>
      <c r="P168" t="s">
        <v>77</v>
      </c>
      <c r="Q168" t="s">
        <v>183</v>
      </c>
      <c r="R168" t="s">
        <v>184</v>
      </c>
      <c r="S168" t="s">
        <v>169</v>
      </c>
      <c r="T168" s="3">
        <v>45513.846545740736</v>
      </c>
      <c r="U168" s="3">
        <v>45513.846545740736</v>
      </c>
    </row>
    <row r="169" spans="1:21" x14ac:dyDescent="0.2">
      <c r="A169" s="2" t="str">
        <f>HYPERLINK("https://portal.hubmapconsortium.org/browse/sample/1393a82c63d1c8b20f08e098bc978c2f", "HBM462.XMMT.445")</f>
        <v>HBM462.XMMT.445</v>
      </c>
      <c r="B169" t="s">
        <v>386</v>
      </c>
      <c r="C169" t="s">
        <v>408</v>
      </c>
      <c r="D169" s="2" t="b">
        <v>0</v>
      </c>
      <c r="E169" s="2" t="str">
        <f t="shared" si="10"/>
        <v>HBM657.BGFJ.898</v>
      </c>
      <c r="F169" t="s">
        <v>462</v>
      </c>
      <c r="J169" t="s">
        <v>430</v>
      </c>
      <c r="K169" t="s">
        <v>20</v>
      </c>
      <c r="L169" t="s">
        <v>21</v>
      </c>
      <c r="M169" t="s">
        <v>22</v>
      </c>
      <c r="N169" s="2" t="b">
        <v>0</v>
      </c>
      <c r="O169" s="2" t="s">
        <v>235</v>
      </c>
      <c r="P169" t="s">
        <v>24</v>
      </c>
      <c r="Q169" t="s">
        <v>183</v>
      </c>
      <c r="R169" t="s">
        <v>184</v>
      </c>
      <c r="S169" t="s">
        <v>169</v>
      </c>
      <c r="T169" s="3">
        <v>45513.846560787038</v>
      </c>
      <c r="U169" s="3">
        <v>45513.846560787038</v>
      </c>
    </row>
    <row r="170" spans="1:21" x14ac:dyDescent="0.2">
      <c r="A170" s="2" t="str">
        <f>HYPERLINK("https://portal.hubmapconsortium.org/browse/sample/588c99cee9327d5044befce725d810f1", "HBM684.TJHV.775")</f>
        <v>HBM684.TJHV.775</v>
      </c>
      <c r="B170" t="s">
        <v>386</v>
      </c>
      <c r="C170" t="s">
        <v>408</v>
      </c>
      <c r="D170" s="2" t="b">
        <v>0</v>
      </c>
      <c r="E170" s="2" t="str">
        <f t="shared" si="10"/>
        <v>HBM657.BGFJ.898</v>
      </c>
      <c r="F170" t="s">
        <v>465</v>
      </c>
      <c r="J170" t="s">
        <v>434</v>
      </c>
      <c r="K170" t="s">
        <v>20</v>
      </c>
      <c r="L170" t="s">
        <v>21</v>
      </c>
      <c r="M170" t="s">
        <v>22</v>
      </c>
      <c r="N170" s="2" t="b">
        <v>0</v>
      </c>
      <c r="O170" s="2" t="s">
        <v>235</v>
      </c>
      <c r="P170" t="s">
        <v>77</v>
      </c>
      <c r="Q170" t="s">
        <v>183</v>
      </c>
      <c r="R170" t="s">
        <v>184</v>
      </c>
      <c r="S170" t="s">
        <v>169</v>
      </c>
      <c r="T170" s="3">
        <v>45513.846576099539</v>
      </c>
      <c r="U170" s="3">
        <v>45513.846576099539</v>
      </c>
    </row>
    <row r="171" spans="1:21" x14ac:dyDescent="0.2">
      <c r="A171" s="2" t="str">
        <f>HYPERLINK("https://portal.hubmapconsortium.org/browse/sample/78b92f5d0d69df25a4384cf7abf2439c", "HBM826.SVSN.356")</f>
        <v>HBM826.SVSN.356</v>
      </c>
      <c r="B171" t="s">
        <v>386</v>
      </c>
      <c r="C171" t="s">
        <v>408</v>
      </c>
      <c r="D171" s="2" t="b">
        <v>0</v>
      </c>
      <c r="E171" s="2" t="str">
        <f t="shared" si="10"/>
        <v>HBM657.BGFJ.898</v>
      </c>
      <c r="F171" t="s">
        <v>466</v>
      </c>
      <c r="J171" t="s">
        <v>436</v>
      </c>
      <c r="K171" t="s">
        <v>20</v>
      </c>
      <c r="L171" t="s">
        <v>21</v>
      </c>
      <c r="M171" t="s">
        <v>22</v>
      </c>
      <c r="N171" s="2" t="b">
        <v>0</v>
      </c>
      <c r="O171" s="2" t="s">
        <v>235</v>
      </c>
      <c r="P171" t="s">
        <v>77</v>
      </c>
      <c r="Q171" t="s">
        <v>183</v>
      </c>
      <c r="R171" t="s">
        <v>184</v>
      </c>
      <c r="S171" t="s">
        <v>169</v>
      </c>
      <c r="T171" s="3">
        <v>45513.846590833331</v>
      </c>
      <c r="U171" s="3">
        <v>45513.846590833331</v>
      </c>
    </row>
    <row r="172" spans="1:21" x14ac:dyDescent="0.2">
      <c r="A172" s="2" t="str">
        <f>HYPERLINK("https://portal.hubmapconsortium.org/browse/sample/c0ca6c5e72c124051bd710aa513d7528", "HBM967.TTZH.632")</f>
        <v>HBM967.TTZH.632</v>
      </c>
      <c r="B172" t="s">
        <v>386</v>
      </c>
      <c r="C172" t="s">
        <v>408</v>
      </c>
      <c r="D172" s="2" t="b">
        <v>0</v>
      </c>
      <c r="E172" s="2" t="str">
        <f t="shared" si="10"/>
        <v>HBM657.BGFJ.898</v>
      </c>
      <c r="F172" t="s">
        <v>467</v>
      </c>
      <c r="J172" t="s">
        <v>438</v>
      </c>
      <c r="K172" t="s">
        <v>20</v>
      </c>
      <c r="L172" t="s">
        <v>21</v>
      </c>
      <c r="M172" t="s">
        <v>22</v>
      </c>
      <c r="N172" s="2" t="b">
        <v>0</v>
      </c>
      <c r="O172" s="2" t="s">
        <v>235</v>
      </c>
      <c r="P172" t="s">
        <v>77</v>
      </c>
      <c r="Q172" t="s">
        <v>183</v>
      </c>
      <c r="R172" t="s">
        <v>184</v>
      </c>
      <c r="S172" t="s">
        <v>169</v>
      </c>
      <c r="T172" s="3">
        <v>45513.846606874999</v>
      </c>
      <c r="U172" s="3">
        <v>45513.846606874999</v>
      </c>
    </row>
    <row r="173" spans="1:21" x14ac:dyDescent="0.2">
      <c r="A173" s="2" t="str">
        <f>HYPERLINK("https://portal.hubmapconsortium.org/browse/sample/0f2dbd0a98c70585fe618b4303ddf84b", "HBM286.FHCL.374")</f>
        <v>HBM286.FHCL.374</v>
      </c>
      <c r="B173" t="s">
        <v>386</v>
      </c>
      <c r="C173" t="s">
        <v>408</v>
      </c>
      <c r="D173" s="2" t="b">
        <v>0</v>
      </c>
      <c r="E173" s="2" t="str">
        <f t="shared" si="10"/>
        <v>HBM657.BGFJ.898</v>
      </c>
      <c r="F173" t="s">
        <v>468</v>
      </c>
      <c r="J173" t="s">
        <v>440</v>
      </c>
      <c r="K173" t="s">
        <v>20</v>
      </c>
      <c r="L173" t="s">
        <v>21</v>
      </c>
      <c r="M173" t="s">
        <v>22</v>
      </c>
      <c r="N173" s="2" t="b">
        <v>0</v>
      </c>
      <c r="O173" s="2" t="s">
        <v>235</v>
      </c>
      <c r="P173" t="s">
        <v>24</v>
      </c>
      <c r="Q173" t="s">
        <v>183</v>
      </c>
      <c r="R173" t="s">
        <v>184</v>
      </c>
      <c r="S173" t="s">
        <v>169</v>
      </c>
      <c r="T173" s="3">
        <v>45513.846622291669</v>
      </c>
      <c r="U173" s="3">
        <v>45513.846622291669</v>
      </c>
    </row>
    <row r="174" spans="1:21" x14ac:dyDescent="0.2">
      <c r="A174" s="2" t="str">
        <f>HYPERLINK("https://portal.hubmapconsortium.org/browse/sample/a7ade5a562d02adfb1f98f1bc8ea6acb", "HBM739.GCMQ.896")</f>
        <v>HBM739.GCMQ.896</v>
      </c>
      <c r="B174" t="s">
        <v>386</v>
      </c>
      <c r="C174" t="s">
        <v>408</v>
      </c>
      <c r="D174" s="2" t="b">
        <v>0</v>
      </c>
      <c r="E174" s="2" t="str">
        <f t="shared" si="10"/>
        <v>HBM657.BGFJ.898</v>
      </c>
      <c r="F174" t="s">
        <v>471</v>
      </c>
      <c r="J174" t="s">
        <v>444</v>
      </c>
      <c r="K174" t="s">
        <v>20</v>
      </c>
      <c r="L174" t="s">
        <v>21</v>
      </c>
      <c r="M174" t="s">
        <v>22</v>
      </c>
      <c r="N174" s="2" t="b">
        <v>0</v>
      </c>
      <c r="O174" s="2" t="s">
        <v>235</v>
      </c>
      <c r="P174" t="s">
        <v>77</v>
      </c>
      <c r="Q174" t="s">
        <v>183</v>
      </c>
      <c r="R174" t="s">
        <v>184</v>
      </c>
      <c r="S174" t="s">
        <v>169</v>
      </c>
      <c r="T174" s="3">
        <v>45513.846637523151</v>
      </c>
      <c r="U174" s="3">
        <v>45513.846637523151</v>
      </c>
    </row>
    <row r="175" spans="1:21" x14ac:dyDescent="0.2">
      <c r="A175" s="2" t="str">
        <f>HYPERLINK("https://portal.hubmapconsortium.org/browse/sample/09ad36e7bf68ebeb97d6d4dcd4c69152", "HBM565.GPDR.678")</f>
        <v>HBM565.GPDR.678</v>
      </c>
      <c r="B175" t="s">
        <v>386</v>
      </c>
      <c r="C175" t="s">
        <v>408</v>
      </c>
      <c r="D175" s="2" t="b">
        <v>0</v>
      </c>
      <c r="E175" s="2" t="str">
        <f t="shared" si="10"/>
        <v>HBM657.BGFJ.898</v>
      </c>
      <c r="F175" t="s">
        <v>472</v>
      </c>
      <c r="J175" t="s">
        <v>446</v>
      </c>
      <c r="K175" t="s">
        <v>20</v>
      </c>
      <c r="L175" t="s">
        <v>21</v>
      </c>
      <c r="M175" t="s">
        <v>22</v>
      </c>
      <c r="N175" s="2" t="b">
        <v>0</v>
      </c>
      <c r="O175" s="2" t="s">
        <v>235</v>
      </c>
      <c r="P175" t="s">
        <v>77</v>
      </c>
      <c r="Q175" t="s">
        <v>183</v>
      </c>
      <c r="R175" t="s">
        <v>184</v>
      </c>
      <c r="S175" t="s">
        <v>169</v>
      </c>
      <c r="T175" s="3">
        <v>45513.846653287037</v>
      </c>
      <c r="U175" s="3">
        <v>45513.846653287037</v>
      </c>
    </row>
    <row r="176" spans="1:21" x14ac:dyDescent="0.2">
      <c r="A176" s="2" t="str">
        <f>HYPERLINK("https://portal.hubmapconsortium.org/browse/sample/6b173a888f822d0dad6e2ef2b86f4bf5", "HBM582.LKSJ.442")</f>
        <v>HBM582.LKSJ.442</v>
      </c>
      <c r="B176" t="s">
        <v>386</v>
      </c>
      <c r="C176" t="s">
        <v>408</v>
      </c>
      <c r="D176" s="2" t="b">
        <v>0</v>
      </c>
      <c r="E176" s="2" t="str">
        <f t="shared" si="10"/>
        <v>HBM657.BGFJ.898</v>
      </c>
      <c r="F176" t="s">
        <v>473</v>
      </c>
      <c r="J176" t="s">
        <v>448</v>
      </c>
      <c r="K176" t="s">
        <v>20</v>
      </c>
      <c r="L176" t="s">
        <v>21</v>
      </c>
      <c r="M176" t="s">
        <v>22</v>
      </c>
      <c r="N176" s="2" t="b">
        <v>0</v>
      </c>
      <c r="O176" s="2" t="s">
        <v>235</v>
      </c>
      <c r="P176" t="s">
        <v>77</v>
      </c>
      <c r="Q176" t="s">
        <v>183</v>
      </c>
      <c r="R176" t="s">
        <v>184</v>
      </c>
      <c r="S176" t="s">
        <v>169</v>
      </c>
      <c r="T176" s="3">
        <v>45513.846669305552</v>
      </c>
      <c r="U176" s="3">
        <v>45513.846669305552</v>
      </c>
    </row>
    <row r="177" spans="1:21" x14ac:dyDescent="0.2">
      <c r="A177" s="2" t="str">
        <f>HYPERLINK("https://portal.hubmapconsortium.org/browse/sample/da17b40ba97eabfacb4d4a88fbd63d7e", "HBM297.JWDV.999")</f>
        <v>HBM297.JWDV.999</v>
      </c>
      <c r="B177" t="s">
        <v>386</v>
      </c>
      <c r="C177" t="s">
        <v>408</v>
      </c>
      <c r="D177" s="2" t="b">
        <v>0</v>
      </c>
      <c r="E177" s="2" t="str">
        <f t="shared" si="10"/>
        <v>HBM657.BGFJ.898</v>
      </c>
      <c r="F177" t="s">
        <v>474</v>
      </c>
      <c r="J177" t="s">
        <v>450</v>
      </c>
      <c r="K177" t="s">
        <v>20</v>
      </c>
      <c r="L177" t="s">
        <v>21</v>
      </c>
      <c r="M177" t="s">
        <v>22</v>
      </c>
      <c r="N177" s="2" t="b">
        <v>0</v>
      </c>
      <c r="O177" s="2" t="s">
        <v>235</v>
      </c>
      <c r="P177" t="s">
        <v>24</v>
      </c>
      <c r="Q177" t="s">
        <v>183</v>
      </c>
      <c r="R177" t="s">
        <v>184</v>
      </c>
      <c r="S177" t="s">
        <v>169</v>
      </c>
      <c r="T177" s="3">
        <v>45513.846684097232</v>
      </c>
      <c r="U177" s="3">
        <v>45513.846684097232</v>
      </c>
    </row>
    <row r="178" spans="1:21" x14ac:dyDescent="0.2">
      <c r="A178" s="2" t="str">
        <f>HYPERLINK("https://portal.hubmapconsortium.org/browse/sample/c4153a2e139c3087ed83be0ca612d93a", "HBM569.NFDB.445")</f>
        <v>HBM569.NFDB.445</v>
      </c>
      <c r="B178" t="s">
        <v>386</v>
      </c>
      <c r="C178" t="s">
        <v>408</v>
      </c>
      <c r="D178" s="2" t="b">
        <v>0</v>
      </c>
      <c r="E178" s="2" t="str">
        <f t="shared" ref="E178:E209" si="11">HYPERLINK("https://portal.hubmapconsortium.org/browse/sample/6d3a61d32c777efa3bef04dc1f698e91", "HBM657.BGFJ.898")</f>
        <v>HBM657.BGFJ.898</v>
      </c>
      <c r="F178" t="s">
        <v>479</v>
      </c>
      <c r="J178" t="s">
        <v>480</v>
      </c>
      <c r="K178" t="s">
        <v>20</v>
      </c>
      <c r="L178" t="s">
        <v>21</v>
      </c>
      <c r="M178" t="s">
        <v>22</v>
      </c>
      <c r="N178" s="2" t="b">
        <v>0</v>
      </c>
      <c r="O178" s="2" t="s">
        <v>235</v>
      </c>
      <c r="P178" t="s">
        <v>77</v>
      </c>
      <c r="Q178" t="s">
        <v>183</v>
      </c>
      <c r="R178" t="s">
        <v>184</v>
      </c>
      <c r="S178" t="s">
        <v>169</v>
      </c>
      <c r="T178" s="3">
        <v>45513.847612210651</v>
      </c>
      <c r="U178" s="3">
        <v>45513.847612210651</v>
      </c>
    </row>
    <row r="179" spans="1:21" x14ac:dyDescent="0.2">
      <c r="A179" s="2" t="str">
        <f>HYPERLINK("https://portal.hubmapconsortium.org/browse/sample/2aea6e69f20750048b1df497b0a888c2", "HBM455.JSLS.453")</f>
        <v>HBM455.JSLS.453</v>
      </c>
      <c r="B179" t="s">
        <v>386</v>
      </c>
      <c r="C179" t="s">
        <v>408</v>
      </c>
      <c r="D179" s="2" t="b">
        <v>0</v>
      </c>
      <c r="E179" s="2" t="str">
        <f t="shared" si="11"/>
        <v>HBM657.BGFJ.898</v>
      </c>
      <c r="F179" t="s">
        <v>481</v>
      </c>
      <c r="J179" t="s">
        <v>482</v>
      </c>
      <c r="K179" t="s">
        <v>20</v>
      </c>
      <c r="L179" t="s">
        <v>21</v>
      </c>
      <c r="M179" t="s">
        <v>22</v>
      </c>
      <c r="N179" s="2" t="b">
        <v>0</v>
      </c>
      <c r="O179" s="2" t="s">
        <v>235</v>
      </c>
      <c r="P179" t="s">
        <v>77</v>
      </c>
      <c r="Q179" t="s">
        <v>183</v>
      </c>
      <c r="R179" t="s">
        <v>184</v>
      </c>
      <c r="S179" t="s">
        <v>169</v>
      </c>
      <c r="T179" s="3">
        <v>45513.847626087962</v>
      </c>
      <c r="U179" s="3">
        <v>45513.847626087962</v>
      </c>
    </row>
    <row r="180" spans="1:21" x14ac:dyDescent="0.2">
      <c r="A180" s="2" t="str">
        <f>HYPERLINK("https://portal.hubmapconsortium.org/browse/sample/928c801b4418e926671357abd3706559", "HBM525.TRFD.676")</f>
        <v>HBM525.TRFD.676</v>
      </c>
      <c r="B180" t="s">
        <v>386</v>
      </c>
      <c r="C180" t="s">
        <v>408</v>
      </c>
      <c r="D180" s="2" t="b">
        <v>0</v>
      </c>
      <c r="E180" s="2" t="str">
        <f t="shared" si="11"/>
        <v>HBM657.BGFJ.898</v>
      </c>
      <c r="F180" t="s">
        <v>483</v>
      </c>
      <c r="J180" t="s">
        <v>484</v>
      </c>
      <c r="K180" t="s">
        <v>20</v>
      </c>
      <c r="L180" t="s">
        <v>21</v>
      </c>
      <c r="M180" t="s">
        <v>22</v>
      </c>
      <c r="N180" s="2" t="b">
        <v>0</v>
      </c>
      <c r="O180" s="2" t="s">
        <v>235</v>
      </c>
      <c r="P180" t="s">
        <v>77</v>
      </c>
      <c r="Q180" t="s">
        <v>183</v>
      </c>
      <c r="R180" t="s">
        <v>184</v>
      </c>
      <c r="S180" t="s">
        <v>169</v>
      </c>
      <c r="T180" s="3">
        <v>45513.847640613429</v>
      </c>
      <c r="U180" s="3">
        <v>45513.847640613429</v>
      </c>
    </row>
    <row r="181" spans="1:21" x14ac:dyDescent="0.2">
      <c r="A181" s="2" t="str">
        <f>HYPERLINK("https://portal.hubmapconsortium.org/browse/sample/7ee7a34b152809d7277ce4e09ea9645d", "HBM569.DVLL.486")</f>
        <v>HBM569.DVLL.486</v>
      </c>
      <c r="B181" t="s">
        <v>386</v>
      </c>
      <c r="C181" t="s">
        <v>408</v>
      </c>
      <c r="D181" s="2" t="b">
        <v>0</v>
      </c>
      <c r="E181" s="2" t="str">
        <f t="shared" si="11"/>
        <v>HBM657.BGFJ.898</v>
      </c>
      <c r="F181" t="s">
        <v>485</v>
      </c>
      <c r="J181" t="s">
        <v>486</v>
      </c>
      <c r="K181" t="s">
        <v>20</v>
      </c>
      <c r="L181" t="s">
        <v>21</v>
      </c>
      <c r="M181" t="s">
        <v>22</v>
      </c>
      <c r="N181" s="2" t="b">
        <v>0</v>
      </c>
      <c r="O181" s="2" t="s">
        <v>235</v>
      </c>
      <c r="P181" t="s">
        <v>24</v>
      </c>
      <c r="Q181" t="s">
        <v>183</v>
      </c>
      <c r="R181" t="s">
        <v>184</v>
      </c>
      <c r="S181" t="s">
        <v>169</v>
      </c>
      <c r="T181" s="3">
        <v>45513.847655046287</v>
      </c>
      <c r="U181" s="3">
        <v>45513.847655046287</v>
      </c>
    </row>
    <row r="182" spans="1:21" x14ac:dyDescent="0.2">
      <c r="A182" s="2" t="str">
        <f>HYPERLINK("https://portal.hubmapconsortium.org/browse/sample/ba9f56dad442d25e83c3f92ee2a17590", "HBM265.BBSQ.477")</f>
        <v>HBM265.BBSQ.477</v>
      </c>
      <c r="B182" t="s">
        <v>386</v>
      </c>
      <c r="C182" t="s">
        <v>408</v>
      </c>
      <c r="D182" s="2" t="b">
        <v>0</v>
      </c>
      <c r="E182" s="2" t="str">
        <f t="shared" si="11"/>
        <v>HBM657.BGFJ.898</v>
      </c>
      <c r="F182" t="s">
        <v>489</v>
      </c>
      <c r="J182" t="s">
        <v>490</v>
      </c>
      <c r="K182" t="s">
        <v>20</v>
      </c>
      <c r="L182" t="s">
        <v>21</v>
      </c>
      <c r="M182" t="s">
        <v>22</v>
      </c>
      <c r="N182" s="2" t="b">
        <v>0</v>
      </c>
      <c r="O182" s="2" t="s">
        <v>235</v>
      </c>
      <c r="P182" t="s">
        <v>77</v>
      </c>
      <c r="Q182" t="s">
        <v>183</v>
      </c>
      <c r="R182" t="s">
        <v>184</v>
      </c>
      <c r="S182" t="s">
        <v>169</v>
      </c>
      <c r="T182" s="3">
        <v>45513.847671481482</v>
      </c>
      <c r="U182" s="3">
        <v>45513.847671481482</v>
      </c>
    </row>
    <row r="183" spans="1:21" x14ac:dyDescent="0.2">
      <c r="A183" s="2" t="str">
        <f>HYPERLINK("https://portal.hubmapconsortium.org/browse/sample/4481b46b67556fc71141202955b9ef71", "HBM736.QNHQ.585")</f>
        <v>HBM736.QNHQ.585</v>
      </c>
      <c r="B183" t="s">
        <v>386</v>
      </c>
      <c r="C183" t="s">
        <v>408</v>
      </c>
      <c r="D183" s="2" t="b">
        <v>0</v>
      </c>
      <c r="E183" s="2" t="str">
        <f t="shared" si="11"/>
        <v>HBM657.BGFJ.898</v>
      </c>
      <c r="F183" t="s">
        <v>491</v>
      </c>
      <c r="J183" t="s">
        <v>492</v>
      </c>
      <c r="K183" t="s">
        <v>20</v>
      </c>
      <c r="L183" t="s">
        <v>21</v>
      </c>
      <c r="M183" t="s">
        <v>22</v>
      </c>
      <c r="N183" s="2" t="b">
        <v>0</v>
      </c>
      <c r="O183" s="2" t="s">
        <v>235</v>
      </c>
      <c r="P183" t="s">
        <v>77</v>
      </c>
      <c r="Q183" t="s">
        <v>183</v>
      </c>
      <c r="R183" t="s">
        <v>184</v>
      </c>
      <c r="S183" t="s">
        <v>169</v>
      </c>
      <c r="T183" s="3">
        <v>45513.847685891204</v>
      </c>
      <c r="U183" s="3">
        <v>45513.847685891204</v>
      </c>
    </row>
    <row r="184" spans="1:21" x14ac:dyDescent="0.2">
      <c r="A184" s="2" t="str">
        <f>HYPERLINK("https://portal.hubmapconsortium.org/browse/sample/9f8991d33e943826ab1aab77d933b2f0", "HBM476.NNJN.932")</f>
        <v>HBM476.NNJN.932</v>
      </c>
      <c r="B184" t="s">
        <v>386</v>
      </c>
      <c r="C184" t="s">
        <v>408</v>
      </c>
      <c r="D184" s="2" t="b">
        <v>0</v>
      </c>
      <c r="E184" s="2" t="str">
        <f t="shared" si="11"/>
        <v>HBM657.BGFJ.898</v>
      </c>
      <c r="F184" t="s">
        <v>493</v>
      </c>
      <c r="J184" t="s">
        <v>494</v>
      </c>
      <c r="K184" t="s">
        <v>20</v>
      </c>
      <c r="L184" t="s">
        <v>21</v>
      </c>
      <c r="M184" t="s">
        <v>22</v>
      </c>
      <c r="N184" s="2" t="b">
        <v>0</v>
      </c>
      <c r="O184" s="2" t="s">
        <v>235</v>
      </c>
      <c r="P184" t="s">
        <v>77</v>
      </c>
      <c r="Q184" t="s">
        <v>183</v>
      </c>
      <c r="R184" t="s">
        <v>184</v>
      </c>
      <c r="S184" t="s">
        <v>169</v>
      </c>
      <c r="T184" s="3">
        <v>45513.847701585648</v>
      </c>
      <c r="U184" s="3">
        <v>45513.847701585648</v>
      </c>
    </row>
    <row r="185" spans="1:21" x14ac:dyDescent="0.2">
      <c r="A185" s="2" t="str">
        <f>HYPERLINK("https://portal.hubmapconsortium.org/browse/sample/edcfbcb4ea97b6140b335d2a321537a6", "HBM226.XZPR.569")</f>
        <v>HBM226.XZPR.569</v>
      </c>
      <c r="B185" t="s">
        <v>386</v>
      </c>
      <c r="C185" t="s">
        <v>408</v>
      </c>
      <c r="D185" s="2" t="b">
        <v>0</v>
      </c>
      <c r="E185" s="2" t="str">
        <f t="shared" si="11"/>
        <v>HBM657.BGFJ.898</v>
      </c>
      <c r="F185" t="s">
        <v>495</v>
      </c>
      <c r="J185" t="s">
        <v>496</v>
      </c>
      <c r="K185" t="s">
        <v>20</v>
      </c>
      <c r="L185" t="s">
        <v>21</v>
      </c>
      <c r="M185" t="s">
        <v>22</v>
      </c>
      <c r="N185" s="2" t="b">
        <v>0</v>
      </c>
      <c r="O185" s="2" t="s">
        <v>235</v>
      </c>
      <c r="P185" t="s">
        <v>24</v>
      </c>
      <c r="Q185" t="s">
        <v>183</v>
      </c>
      <c r="R185" t="s">
        <v>184</v>
      </c>
      <c r="S185" t="s">
        <v>169</v>
      </c>
      <c r="T185" s="3">
        <v>45513.847715983793</v>
      </c>
      <c r="U185" s="3">
        <v>45513.847715983793</v>
      </c>
    </row>
    <row r="186" spans="1:21" x14ac:dyDescent="0.2">
      <c r="A186" s="2" t="str">
        <f>HYPERLINK("https://portal.hubmapconsortium.org/browse/sample/06da6c4888878d686fa48f3b2f45cb4a", "HBM842.XHRW.267")</f>
        <v>HBM842.XHRW.267</v>
      </c>
      <c r="B186" t="s">
        <v>386</v>
      </c>
      <c r="C186" t="s">
        <v>408</v>
      </c>
      <c r="D186" s="2" t="b">
        <v>0</v>
      </c>
      <c r="E186" s="2" t="str">
        <f t="shared" si="11"/>
        <v>HBM657.BGFJ.898</v>
      </c>
      <c r="F186" t="s">
        <v>499</v>
      </c>
      <c r="J186" t="s">
        <v>500</v>
      </c>
      <c r="K186" t="s">
        <v>20</v>
      </c>
      <c r="L186" t="s">
        <v>21</v>
      </c>
      <c r="M186" t="s">
        <v>22</v>
      </c>
      <c r="N186" s="2" t="b">
        <v>0</v>
      </c>
      <c r="O186" s="2" t="s">
        <v>235</v>
      </c>
      <c r="P186" t="s">
        <v>77</v>
      </c>
      <c r="Q186" t="s">
        <v>183</v>
      </c>
      <c r="R186" t="s">
        <v>184</v>
      </c>
      <c r="S186" t="s">
        <v>169</v>
      </c>
      <c r="T186" s="3">
        <v>45513.847731030102</v>
      </c>
      <c r="U186" s="3">
        <v>45513.847731030102</v>
      </c>
    </row>
    <row r="187" spans="1:21" x14ac:dyDescent="0.2">
      <c r="A187" s="2" t="str">
        <f>HYPERLINK("https://portal.hubmapconsortium.org/browse/sample/d93a761163eb62ae6a806cf7068c6a19", "HBM859.MVRW.435")</f>
        <v>HBM859.MVRW.435</v>
      </c>
      <c r="B187" t="s">
        <v>386</v>
      </c>
      <c r="C187" t="s">
        <v>408</v>
      </c>
      <c r="D187" s="2" t="b">
        <v>0</v>
      </c>
      <c r="E187" s="2" t="str">
        <f t="shared" si="11"/>
        <v>HBM657.BGFJ.898</v>
      </c>
      <c r="F187" t="s">
        <v>501</v>
      </c>
      <c r="J187" t="s">
        <v>502</v>
      </c>
      <c r="K187" t="s">
        <v>20</v>
      </c>
      <c r="L187" t="s">
        <v>21</v>
      </c>
      <c r="M187" t="s">
        <v>22</v>
      </c>
      <c r="N187" s="2" t="b">
        <v>0</v>
      </c>
      <c r="O187" s="2" t="s">
        <v>235</v>
      </c>
      <c r="P187" t="s">
        <v>77</v>
      </c>
      <c r="Q187" t="s">
        <v>183</v>
      </c>
      <c r="R187" t="s">
        <v>184</v>
      </c>
      <c r="S187" t="s">
        <v>169</v>
      </c>
      <c r="T187" s="3">
        <v>45513.847747812499</v>
      </c>
      <c r="U187" s="3">
        <v>45513.847747812499</v>
      </c>
    </row>
    <row r="188" spans="1:21" x14ac:dyDescent="0.2">
      <c r="A188" s="2" t="str">
        <f>HYPERLINK("https://portal.hubmapconsortium.org/browse/sample/fe88fa0b25ee296056a12b4c0e98590a", "HBM338.LGHZ.423")</f>
        <v>HBM338.LGHZ.423</v>
      </c>
      <c r="B188" t="s">
        <v>386</v>
      </c>
      <c r="C188" t="s">
        <v>408</v>
      </c>
      <c r="D188" s="2" t="b">
        <v>0</v>
      </c>
      <c r="E188" s="2" t="str">
        <f t="shared" si="11"/>
        <v>HBM657.BGFJ.898</v>
      </c>
      <c r="F188" t="s">
        <v>503</v>
      </c>
      <c r="J188" t="s">
        <v>504</v>
      </c>
      <c r="K188" t="s">
        <v>20</v>
      </c>
      <c r="L188" t="s">
        <v>21</v>
      </c>
      <c r="M188" t="s">
        <v>22</v>
      </c>
      <c r="N188" s="2" t="b">
        <v>0</v>
      </c>
      <c r="O188" s="2" t="s">
        <v>235</v>
      </c>
      <c r="P188" t="s">
        <v>77</v>
      </c>
      <c r="Q188" t="s">
        <v>183</v>
      </c>
      <c r="R188" t="s">
        <v>184</v>
      </c>
      <c r="S188" t="s">
        <v>169</v>
      </c>
      <c r="T188" s="3">
        <v>45513.847762928242</v>
      </c>
      <c r="U188" s="3">
        <v>45513.847762928242</v>
      </c>
    </row>
    <row r="189" spans="1:21" x14ac:dyDescent="0.2">
      <c r="A189" s="2" t="str">
        <f>HYPERLINK("https://portal.hubmapconsortium.org/browse/sample/b9b6c94a938a4f41d9b0b4ac37741bde", "HBM895.XSDG.472")</f>
        <v>HBM895.XSDG.472</v>
      </c>
      <c r="B189" t="s">
        <v>386</v>
      </c>
      <c r="C189" t="s">
        <v>408</v>
      </c>
      <c r="D189" s="2" t="b">
        <v>0</v>
      </c>
      <c r="E189" s="2" t="str">
        <f t="shared" si="11"/>
        <v>HBM657.BGFJ.898</v>
      </c>
      <c r="F189" t="s">
        <v>505</v>
      </c>
      <c r="J189" t="s">
        <v>506</v>
      </c>
      <c r="K189" t="s">
        <v>20</v>
      </c>
      <c r="L189" t="s">
        <v>21</v>
      </c>
      <c r="M189" t="s">
        <v>22</v>
      </c>
      <c r="N189" s="2" t="b">
        <v>0</v>
      </c>
      <c r="O189" s="2" t="s">
        <v>235</v>
      </c>
      <c r="P189" t="s">
        <v>24</v>
      </c>
      <c r="Q189" t="s">
        <v>183</v>
      </c>
      <c r="R189" t="s">
        <v>184</v>
      </c>
      <c r="S189" t="s">
        <v>169</v>
      </c>
      <c r="T189" s="3">
        <v>45513.847777280091</v>
      </c>
      <c r="U189" s="3">
        <v>45513.847777280091</v>
      </c>
    </row>
    <row r="190" spans="1:21" x14ac:dyDescent="0.2">
      <c r="A190" s="2" t="str">
        <f>HYPERLINK("https://portal.hubmapconsortium.org/browse/sample/ef2b9c88dca28caa3d35febbe08e9610", "HBM385.PXPB.969")</f>
        <v>HBM385.PXPB.969</v>
      </c>
      <c r="B190" t="s">
        <v>386</v>
      </c>
      <c r="C190" t="s">
        <v>408</v>
      </c>
      <c r="D190" s="2" t="b">
        <v>0</v>
      </c>
      <c r="E190" s="2" t="str">
        <f t="shared" si="11"/>
        <v>HBM657.BGFJ.898</v>
      </c>
      <c r="F190" t="s">
        <v>509</v>
      </c>
      <c r="J190" t="s">
        <v>510</v>
      </c>
      <c r="K190" t="s">
        <v>20</v>
      </c>
      <c r="L190" t="s">
        <v>21</v>
      </c>
      <c r="M190" t="s">
        <v>22</v>
      </c>
      <c r="N190" s="2" t="b">
        <v>0</v>
      </c>
      <c r="O190" s="2" t="s">
        <v>235</v>
      </c>
      <c r="P190" t="s">
        <v>77</v>
      </c>
      <c r="Q190" t="s">
        <v>183</v>
      </c>
      <c r="R190" t="s">
        <v>184</v>
      </c>
      <c r="S190" t="s">
        <v>169</v>
      </c>
      <c r="T190" s="3">
        <v>45513.847792337961</v>
      </c>
      <c r="U190" s="3">
        <v>45513.847792337961</v>
      </c>
    </row>
    <row r="191" spans="1:21" x14ac:dyDescent="0.2">
      <c r="A191" s="2" t="str">
        <f>HYPERLINK("https://portal.hubmapconsortium.org/browse/sample/eb0a90764e8cd05d37560500b2ee2a65", "HBM538.NPZP.958")</f>
        <v>HBM538.NPZP.958</v>
      </c>
      <c r="B191" t="s">
        <v>386</v>
      </c>
      <c r="C191" t="s">
        <v>408</v>
      </c>
      <c r="D191" s="2" t="b">
        <v>0</v>
      </c>
      <c r="E191" s="2" t="str">
        <f t="shared" si="11"/>
        <v>HBM657.BGFJ.898</v>
      </c>
      <c r="F191" t="s">
        <v>511</v>
      </c>
      <c r="J191" t="s">
        <v>512</v>
      </c>
      <c r="K191" t="s">
        <v>20</v>
      </c>
      <c r="L191" t="s">
        <v>21</v>
      </c>
      <c r="M191" t="s">
        <v>22</v>
      </c>
      <c r="N191" s="2" t="b">
        <v>0</v>
      </c>
      <c r="O191" s="2" t="s">
        <v>235</v>
      </c>
      <c r="P191" t="s">
        <v>77</v>
      </c>
      <c r="Q191" t="s">
        <v>183</v>
      </c>
      <c r="R191" t="s">
        <v>184</v>
      </c>
      <c r="S191" t="s">
        <v>169</v>
      </c>
      <c r="T191" s="3">
        <v>45513.847807384263</v>
      </c>
      <c r="U191" s="3">
        <v>45513.847807384263</v>
      </c>
    </row>
    <row r="192" spans="1:21" x14ac:dyDescent="0.2">
      <c r="A192" s="2" t="str">
        <f>HYPERLINK("https://portal.hubmapconsortium.org/browse/sample/afcccdcb72396482f908db5b97d24c8f", "HBM656.MDNG.884")</f>
        <v>HBM656.MDNG.884</v>
      </c>
      <c r="B192" t="s">
        <v>386</v>
      </c>
      <c r="C192" t="s">
        <v>408</v>
      </c>
      <c r="D192" s="2" t="b">
        <v>0</v>
      </c>
      <c r="E192" s="2" t="str">
        <f t="shared" si="11"/>
        <v>HBM657.BGFJ.898</v>
      </c>
      <c r="F192" t="s">
        <v>513</v>
      </c>
      <c r="J192" t="s">
        <v>514</v>
      </c>
      <c r="K192" t="s">
        <v>20</v>
      </c>
      <c r="L192" t="s">
        <v>21</v>
      </c>
      <c r="M192" t="s">
        <v>22</v>
      </c>
      <c r="N192" s="2" t="b">
        <v>0</v>
      </c>
      <c r="O192" s="2" t="s">
        <v>235</v>
      </c>
      <c r="P192" t="s">
        <v>77</v>
      </c>
      <c r="Q192" t="s">
        <v>183</v>
      </c>
      <c r="R192" t="s">
        <v>184</v>
      </c>
      <c r="S192" t="s">
        <v>169</v>
      </c>
      <c r="T192" s="3">
        <v>45513.847821539362</v>
      </c>
      <c r="U192" s="3">
        <v>45513.847821539362</v>
      </c>
    </row>
    <row r="193" spans="1:21" x14ac:dyDescent="0.2">
      <c r="A193" s="2" t="str">
        <f>HYPERLINK("https://portal.hubmapconsortium.org/browse/sample/58a759c7e42c48b60aba73dde0b508f7", "HBM435.RXTV.533")</f>
        <v>HBM435.RXTV.533</v>
      </c>
      <c r="B193" t="s">
        <v>386</v>
      </c>
      <c r="C193" t="s">
        <v>408</v>
      </c>
      <c r="D193" s="2" t="b">
        <v>0</v>
      </c>
      <c r="E193" s="2" t="str">
        <f t="shared" si="11"/>
        <v>HBM657.BGFJ.898</v>
      </c>
      <c r="F193" t="s">
        <v>515</v>
      </c>
      <c r="J193" t="s">
        <v>516</v>
      </c>
      <c r="K193" t="s">
        <v>20</v>
      </c>
      <c r="L193" t="s">
        <v>21</v>
      </c>
      <c r="M193" t="s">
        <v>22</v>
      </c>
      <c r="N193" s="2" t="b">
        <v>0</v>
      </c>
      <c r="O193" s="2" t="s">
        <v>235</v>
      </c>
      <c r="P193" t="s">
        <v>24</v>
      </c>
      <c r="Q193" t="s">
        <v>183</v>
      </c>
      <c r="R193" t="s">
        <v>184</v>
      </c>
      <c r="S193" t="s">
        <v>169</v>
      </c>
      <c r="T193" s="3">
        <v>45513.84783619213</v>
      </c>
      <c r="U193" s="3">
        <v>45513.84783619213</v>
      </c>
    </row>
    <row r="194" spans="1:21" x14ac:dyDescent="0.2">
      <c r="A194" s="2" t="str">
        <f>HYPERLINK("https://portal.hubmapconsortium.org/browse/sample/3aee1282023c0b90ee24e69176e2e9ce", "HBM267.XMQJ.925")</f>
        <v>HBM267.XMQJ.925</v>
      </c>
      <c r="B194" t="s">
        <v>386</v>
      </c>
      <c r="C194" t="s">
        <v>408</v>
      </c>
      <c r="D194" s="2" t="b">
        <v>0</v>
      </c>
      <c r="E194" s="2" t="str">
        <f t="shared" si="11"/>
        <v>HBM657.BGFJ.898</v>
      </c>
      <c r="F194" t="s">
        <v>519</v>
      </c>
      <c r="J194" t="s">
        <v>480</v>
      </c>
      <c r="K194" t="s">
        <v>20</v>
      </c>
      <c r="L194" t="s">
        <v>21</v>
      </c>
      <c r="M194" t="s">
        <v>22</v>
      </c>
      <c r="N194" s="2" t="b">
        <v>0</v>
      </c>
      <c r="O194" s="2" t="s">
        <v>235</v>
      </c>
      <c r="P194" t="s">
        <v>77</v>
      </c>
      <c r="Q194" t="s">
        <v>183</v>
      </c>
      <c r="R194" t="s">
        <v>184</v>
      </c>
      <c r="S194" t="s">
        <v>169</v>
      </c>
      <c r="T194" s="3">
        <v>45513.847851145831</v>
      </c>
      <c r="U194" s="3">
        <v>45513.847851145831</v>
      </c>
    </row>
    <row r="195" spans="1:21" x14ac:dyDescent="0.2">
      <c r="A195" s="2" t="str">
        <f>HYPERLINK("https://portal.hubmapconsortium.org/browse/sample/ef1b349b1fbf5048e4fc4b44ccc2706b", "HBM772.VLHS.586")</f>
        <v>HBM772.VLHS.586</v>
      </c>
      <c r="B195" t="s">
        <v>386</v>
      </c>
      <c r="C195" t="s">
        <v>408</v>
      </c>
      <c r="D195" s="2" t="b">
        <v>0</v>
      </c>
      <c r="E195" s="2" t="str">
        <f t="shared" si="11"/>
        <v>HBM657.BGFJ.898</v>
      </c>
      <c r="F195" t="s">
        <v>520</v>
      </c>
      <c r="J195" t="s">
        <v>482</v>
      </c>
      <c r="K195" t="s">
        <v>20</v>
      </c>
      <c r="L195" t="s">
        <v>21</v>
      </c>
      <c r="M195" t="s">
        <v>22</v>
      </c>
      <c r="N195" s="2" t="b">
        <v>0</v>
      </c>
      <c r="O195" s="2" t="s">
        <v>235</v>
      </c>
      <c r="P195" t="s">
        <v>77</v>
      </c>
      <c r="Q195" t="s">
        <v>183</v>
      </c>
      <c r="R195" t="s">
        <v>184</v>
      </c>
      <c r="S195" t="s">
        <v>169</v>
      </c>
      <c r="T195" s="3">
        <v>45513.847867280092</v>
      </c>
      <c r="U195" s="3">
        <v>45513.847867280092</v>
      </c>
    </row>
    <row r="196" spans="1:21" x14ac:dyDescent="0.2">
      <c r="A196" s="2" t="str">
        <f>HYPERLINK("https://portal.hubmapconsortium.org/browse/sample/812ef1d59fbfe4a1de7558e70fcea813", "HBM294.TWDS.936")</f>
        <v>HBM294.TWDS.936</v>
      </c>
      <c r="B196" t="s">
        <v>386</v>
      </c>
      <c r="C196" t="s">
        <v>408</v>
      </c>
      <c r="D196" s="2" t="b">
        <v>0</v>
      </c>
      <c r="E196" s="2" t="str">
        <f t="shared" si="11"/>
        <v>HBM657.BGFJ.898</v>
      </c>
      <c r="F196" t="s">
        <v>521</v>
      </c>
      <c r="J196" t="s">
        <v>484</v>
      </c>
      <c r="K196" t="s">
        <v>20</v>
      </c>
      <c r="L196" t="s">
        <v>21</v>
      </c>
      <c r="M196" t="s">
        <v>22</v>
      </c>
      <c r="N196" s="2" t="b">
        <v>0</v>
      </c>
      <c r="O196" s="2" t="s">
        <v>235</v>
      </c>
      <c r="P196" t="s">
        <v>77</v>
      </c>
      <c r="Q196" t="s">
        <v>183</v>
      </c>
      <c r="R196" t="s">
        <v>184</v>
      </c>
      <c r="S196" t="s">
        <v>169</v>
      </c>
      <c r="T196" s="3">
        <v>45513.847882071757</v>
      </c>
      <c r="U196" s="3">
        <v>45513.847882071757</v>
      </c>
    </row>
    <row r="197" spans="1:21" x14ac:dyDescent="0.2">
      <c r="A197" s="2" t="str">
        <f>HYPERLINK("https://portal.hubmapconsortium.org/browse/sample/c269b9eab0c8bd33b0e25557ffec6610", "HBM784.PSZW.334")</f>
        <v>HBM784.PSZW.334</v>
      </c>
      <c r="B197" t="s">
        <v>386</v>
      </c>
      <c r="C197" t="s">
        <v>408</v>
      </c>
      <c r="D197" s="2" t="b">
        <v>0</v>
      </c>
      <c r="E197" s="2" t="str">
        <f t="shared" si="11"/>
        <v>HBM657.BGFJ.898</v>
      </c>
      <c r="F197" t="s">
        <v>522</v>
      </c>
      <c r="J197" t="s">
        <v>486</v>
      </c>
      <c r="K197" t="s">
        <v>20</v>
      </c>
      <c r="L197" t="s">
        <v>21</v>
      </c>
      <c r="M197" t="s">
        <v>22</v>
      </c>
      <c r="N197" s="2" t="b">
        <v>0</v>
      </c>
      <c r="O197" s="2" t="s">
        <v>235</v>
      </c>
      <c r="P197" t="s">
        <v>24</v>
      </c>
      <c r="Q197" t="s">
        <v>183</v>
      </c>
      <c r="R197" t="s">
        <v>184</v>
      </c>
      <c r="S197" t="s">
        <v>169</v>
      </c>
      <c r="T197" s="3">
        <v>45513.847896041669</v>
      </c>
      <c r="U197" s="3">
        <v>45513.847896041669</v>
      </c>
    </row>
    <row r="198" spans="1:21" x14ac:dyDescent="0.2">
      <c r="A198" s="2" t="str">
        <f>HYPERLINK("https://portal.hubmapconsortium.org/browse/sample/82a80cf04e0a8e92108a004daa192e8e", "HBM273.NKLN.958")</f>
        <v>HBM273.NKLN.958</v>
      </c>
      <c r="B198" t="s">
        <v>386</v>
      </c>
      <c r="C198" t="s">
        <v>408</v>
      </c>
      <c r="D198" s="2" t="b">
        <v>0</v>
      </c>
      <c r="E198" s="2" t="str">
        <f t="shared" si="11"/>
        <v>HBM657.BGFJ.898</v>
      </c>
      <c r="F198" t="s">
        <v>525</v>
      </c>
      <c r="J198" t="s">
        <v>490</v>
      </c>
      <c r="K198" t="s">
        <v>20</v>
      </c>
      <c r="L198" t="s">
        <v>21</v>
      </c>
      <c r="M198" t="s">
        <v>22</v>
      </c>
      <c r="N198" s="2" t="b">
        <v>0</v>
      </c>
      <c r="O198" s="2" t="s">
        <v>235</v>
      </c>
      <c r="P198" t="s">
        <v>77</v>
      </c>
      <c r="Q198" t="s">
        <v>183</v>
      </c>
      <c r="R198" t="s">
        <v>184</v>
      </c>
      <c r="S198" t="s">
        <v>169</v>
      </c>
      <c r="T198" s="3">
        <v>45513.847910914352</v>
      </c>
      <c r="U198" s="3">
        <v>45513.847910914352</v>
      </c>
    </row>
    <row r="199" spans="1:21" x14ac:dyDescent="0.2">
      <c r="A199" s="2" t="str">
        <f>HYPERLINK("https://portal.hubmapconsortium.org/browse/sample/2db687c291ac4f5eac0cc7434199a7d8", "HBM635.BXGV.867")</f>
        <v>HBM635.BXGV.867</v>
      </c>
      <c r="B199" t="s">
        <v>386</v>
      </c>
      <c r="C199" t="s">
        <v>408</v>
      </c>
      <c r="D199" s="2" t="b">
        <v>0</v>
      </c>
      <c r="E199" s="2" t="str">
        <f t="shared" si="11"/>
        <v>HBM657.BGFJ.898</v>
      </c>
      <c r="F199" t="s">
        <v>526</v>
      </c>
      <c r="J199" t="s">
        <v>492</v>
      </c>
      <c r="K199" t="s">
        <v>20</v>
      </c>
      <c r="L199" t="s">
        <v>21</v>
      </c>
      <c r="M199" t="s">
        <v>22</v>
      </c>
      <c r="N199" s="2" t="b">
        <v>0</v>
      </c>
      <c r="O199" s="2" t="s">
        <v>235</v>
      </c>
      <c r="P199" t="s">
        <v>77</v>
      </c>
      <c r="Q199" t="s">
        <v>183</v>
      </c>
      <c r="R199" t="s">
        <v>184</v>
      </c>
      <c r="S199" t="s">
        <v>169</v>
      </c>
      <c r="T199" s="3">
        <v>45513.847925405091</v>
      </c>
      <c r="U199" s="3">
        <v>45513.847925405091</v>
      </c>
    </row>
    <row r="200" spans="1:21" x14ac:dyDescent="0.2">
      <c r="A200" s="2" t="str">
        <f>HYPERLINK("https://portal.hubmapconsortium.org/browse/sample/d4d6c98d3073628c85f716ddbfce3712", "HBM557.JSSD.467")</f>
        <v>HBM557.JSSD.467</v>
      </c>
      <c r="B200" t="s">
        <v>386</v>
      </c>
      <c r="C200" t="s">
        <v>408</v>
      </c>
      <c r="D200" s="2" t="b">
        <v>0</v>
      </c>
      <c r="E200" s="2" t="str">
        <f t="shared" si="11"/>
        <v>HBM657.BGFJ.898</v>
      </c>
      <c r="F200" t="s">
        <v>527</v>
      </c>
      <c r="J200" t="s">
        <v>494</v>
      </c>
      <c r="K200" t="s">
        <v>20</v>
      </c>
      <c r="L200" t="s">
        <v>21</v>
      </c>
      <c r="M200" t="s">
        <v>22</v>
      </c>
      <c r="N200" s="2" t="b">
        <v>0</v>
      </c>
      <c r="O200" s="2" t="s">
        <v>235</v>
      </c>
      <c r="P200" t="s">
        <v>77</v>
      </c>
      <c r="Q200" t="s">
        <v>183</v>
      </c>
      <c r="R200" t="s">
        <v>184</v>
      </c>
      <c r="S200" t="s">
        <v>169</v>
      </c>
      <c r="T200" s="3">
        <v>45513.847940833337</v>
      </c>
      <c r="U200" s="3">
        <v>45513.847940833337</v>
      </c>
    </row>
    <row r="201" spans="1:21" x14ac:dyDescent="0.2">
      <c r="A201" s="2" t="str">
        <f>HYPERLINK("https://portal.hubmapconsortium.org/browse/sample/056d577fe940b0ada39a18f1f4428817", "HBM735.GJTR.397")</f>
        <v>HBM735.GJTR.397</v>
      </c>
      <c r="B201" t="s">
        <v>386</v>
      </c>
      <c r="C201" t="s">
        <v>408</v>
      </c>
      <c r="D201" s="2" t="b">
        <v>0</v>
      </c>
      <c r="E201" s="2" t="str">
        <f t="shared" si="11"/>
        <v>HBM657.BGFJ.898</v>
      </c>
      <c r="F201" t="s">
        <v>528</v>
      </c>
      <c r="J201" t="s">
        <v>496</v>
      </c>
      <c r="K201" t="s">
        <v>20</v>
      </c>
      <c r="L201" t="s">
        <v>21</v>
      </c>
      <c r="M201" t="s">
        <v>22</v>
      </c>
      <c r="N201" s="2" t="b">
        <v>0</v>
      </c>
      <c r="O201" s="2" t="s">
        <v>235</v>
      </c>
      <c r="P201" t="s">
        <v>24</v>
      </c>
      <c r="Q201" t="s">
        <v>183</v>
      </c>
      <c r="R201" t="s">
        <v>184</v>
      </c>
      <c r="S201" t="s">
        <v>169</v>
      </c>
      <c r="T201" s="3">
        <v>45513.847955636571</v>
      </c>
      <c r="U201" s="3">
        <v>45513.847955636571</v>
      </c>
    </row>
    <row r="202" spans="1:21" x14ac:dyDescent="0.2">
      <c r="A202" s="2" t="str">
        <f>HYPERLINK("https://portal.hubmapconsortium.org/browse/sample/358096fdfb3cc7b4a60e527f88e1d298", "HBM237.TWLW.496")</f>
        <v>HBM237.TWLW.496</v>
      </c>
      <c r="B202" t="s">
        <v>386</v>
      </c>
      <c r="C202" t="s">
        <v>408</v>
      </c>
      <c r="D202" s="2" t="b">
        <v>0</v>
      </c>
      <c r="E202" s="2" t="str">
        <f t="shared" si="11"/>
        <v>HBM657.BGFJ.898</v>
      </c>
      <c r="F202" t="s">
        <v>531</v>
      </c>
      <c r="J202" t="s">
        <v>500</v>
      </c>
      <c r="K202" t="s">
        <v>20</v>
      </c>
      <c r="L202" t="s">
        <v>21</v>
      </c>
      <c r="M202" t="s">
        <v>22</v>
      </c>
      <c r="N202" s="2" t="b">
        <v>0</v>
      </c>
      <c r="O202" s="2" t="s">
        <v>235</v>
      </c>
      <c r="P202" t="s">
        <v>77</v>
      </c>
      <c r="Q202" t="s">
        <v>183</v>
      </c>
      <c r="R202" t="s">
        <v>184</v>
      </c>
      <c r="S202" t="s">
        <v>169</v>
      </c>
      <c r="T202" s="3">
        <v>45513.847971504627</v>
      </c>
      <c r="U202" s="3">
        <v>45513.847971504627</v>
      </c>
    </row>
    <row r="203" spans="1:21" x14ac:dyDescent="0.2">
      <c r="A203" s="2" t="str">
        <f>HYPERLINK("https://portal.hubmapconsortium.org/browse/sample/d1e6304fd7bba15e4c07874be624e4fa", "HBM797.SJSC.472")</f>
        <v>HBM797.SJSC.472</v>
      </c>
      <c r="B203" t="s">
        <v>386</v>
      </c>
      <c r="C203" t="s">
        <v>408</v>
      </c>
      <c r="D203" s="2" t="b">
        <v>0</v>
      </c>
      <c r="E203" s="2" t="str">
        <f t="shared" si="11"/>
        <v>HBM657.BGFJ.898</v>
      </c>
      <c r="F203" t="s">
        <v>532</v>
      </c>
      <c r="J203" t="s">
        <v>502</v>
      </c>
      <c r="K203" t="s">
        <v>20</v>
      </c>
      <c r="L203" t="s">
        <v>21</v>
      </c>
      <c r="M203" t="s">
        <v>22</v>
      </c>
      <c r="N203" s="2" t="b">
        <v>0</v>
      </c>
      <c r="O203" s="2" t="s">
        <v>235</v>
      </c>
      <c r="P203" t="s">
        <v>77</v>
      </c>
      <c r="Q203" t="s">
        <v>183</v>
      </c>
      <c r="R203" t="s">
        <v>184</v>
      </c>
      <c r="S203" t="s">
        <v>169</v>
      </c>
      <c r="T203" s="3">
        <v>45513.847986273147</v>
      </c>
      <c r="U203" s="3">
        <v>45513.847986273147</v>
      </c>
    </row>
    <row r="204" spans="1:21" x14ac:dyDescent="0.2">
      <c r="A204" s="2" t="str">
        <f>HYPERLINK("https://portal.hubmapconsortium.org/browse/sample/645c902182848a8cb2b2203d309914e7", "HBM485.TPJP.562")</f>
        <v>HBM485.TPJP.562</v>
      </c>
      <c r="B204" t="s">
        <v>386</v>
      </c>
      <c r="C204" t="s">
        <v>408</v>
      </c>
      <c r="D204" s="2" t="b">
        <v>0</v>
      </c>
      <c r="E204" s="2" t="str">
        <f t="shared" si="11"/>
        <v>HBM657.BGFJ.898</v>
      </c>
      <c r="F204" t="s">
        <v>533</v>
      </c>
      <c r="J204" t="s">
        <v>504</v>
      </c>
      <c r="K204" t="s">
        <v>20</v>
      </c>
      <c r="L204" t="s">
        <v>21</v>
      </c>
      <c r="M204" t="s">
        <v>22</v>
      </c>
      <c r="N204" s="2" t="b">
        <v>0</v>
      </c>
      <c r="O204" s="2" t="s">
        <v>235</v>
      </c>
      <c r="P204" t="s">
        <v>77</v>
      </c>
      <c r="Q204" t="s">
        <v>183</v>
      </c>
      <c r="R204" t="s">
        <v>184</v>
      </c>
      <c r="S204" t="s">
        <v>169</v>
      </c>
      <c r="T204" s="3">
        <v>45513.848002384257</v>
      </c>
      <c r="U204" s="3">
        <v>45513.848002384257</v>
      </c>
    </row>
    <row r="205" spans="1:21" x14ac:dyDescent="0.2">
      <c r="A205" s="2" t="str">
        <f>HYPERLINK("https://portal.hubmapconsortium.org/browse/sample/91776ef12a63c5cb68518e401fc6d182", "HBM358.XJJN.448")</f>
        <v>HBM358.XJJN.448</v>
      </c>
      <c r="B205" t="s">
        <v>386</v>
      </c>
      <c r="C205" t="s">
        <v>408</v>
      </c>
      <c r="D205" s="2" t="b">
        <v>0</v>
      </c>
      <c r="E205" s="2" t="str">
        <f t="shared" si="11"/>
        <v>HBM657.BGFJ.898</v>
      </c>
      <c r="F205" t="s">
        <v>534</v>
      </c>
      <c r="J205" t="s">
        <v>506</v>
      </c>
      <c r="K205" t="s">
        <v>20</v>
      </c>
      <c r="L205" t="s">
        <v>21</v>
      </c>
      <c r="M205" t="s">
        <v>22</v>
      </c>
      <c r="N205" s="2" t="b">
        <v>0</v>
      </c>
      <c r="O205" s="2" t="s">
        <v>235</v>
      </c>
      <c r="P205" t="s">
        <v>24</v>
      </c>
      <c r="Q205" t="s">
        <v>183</v>
      </c>
      <c r="R205" t="s">
        <v>184</v>
      </c>
      <c r="S205" t="s">
        <v>169</v>
      </c>
      <c r="T205" s="3">
        <v>45513.848023148152</v>
      </c>
      <c r="U205" s="3">
        <v>45513.848023148152</v>
      </c>
    </row>
    <row r="206" spans="1:21" x14ac:dyDescent="0.2">
      <c r="A206" s="2" t="str">
        <f>HYPERLINK("https://portal.hubmapconsortium.org/browse/sample/3dc2d0d18bc13214c8be25598682c707", "HBM948.RLMN.935")</f>
        <v>HBM948.RLMN.935</v>
      </c>
      <c r="B206" t="s">
        <v>386</v>
      </c>
      <c r="C206" t="s">
        <v>408</v>
      </c>
      <c r="D206" s="2" t="b">
        <v>0</v>
      </c>
      <c r="E206" s="2" t="str">
        <f t="shared" si="11"/>
        <v>HBM657.BGFJ.898</v>
      </c>
      <c r="F206" t="s">
        <v>537</v>
      </c>
      <c r="J206" t="s">
        <v>510</v>
      </c>
      <c r="K206" t="s">
        <v>20</v>
      </c>
      <c r="L206" t="s">
        <v>21</v>
      </c>
      <c r="M206" t="s">
        <v>22</v>
      </c>
      <c r="N206" s="2" t="b">
        <v>0</v>
      </c>
      <c r="O206" s="2" t="s">
        <v>235</v>
      </c>
      <c r="P206" t="s">
        <v>77</v>
      </c>
      <c r="Q206" t="s">
        <v>183</v>
      </c>
      <c r="R206" t="s">
        <v>184</v>
      </c>
      <c r="S206" t="s">
        <v>169</v>
      </c>
      <c r="T206" s="3">
        <v>45513.848037638891</v>
      </c>
      <c r="U206" s="3">
        <v>45513.848037638891</v>
      </c>
    </row>
    <row r="207" spans="1:21" x14ac:dyDescent="0.2">
      <c r="A207" s="2" t="str">
        <f>HYPERLINK("https://portal.hubmapconsortium.org/browse/sample/866aa2b6998833485218c459c9df3cef", "HBM557.QXWD.245")</f>
        <v>HBM557.QXWD.245</v>
      </c>
      <c r="B207" t="s">
        <v>386</v>
      </c>
      <c r="C207" t="s">
        <v>408</v>
      </c>
      <c r="D207" s="2" t="b">
        <v>0</v>
      </c>
      <c r="E207" s="2" t="str">
        <f t="shared" si="11"/>
        <v>HBM657.BGFJ.898</v>
      </c>
      <c r="F207" t="s">
        <v>538</v>
      </c>
      <c r="J207" t="s">
        <v>512</v>
      </c>
      <c r="K207" t="s">
        <v>20</v>
      </c>
      <c r="L207" t="s">
        <v>21</v>
      </c>
      <c r="M207" t="s">
        <v>22</v>
      </c>
      <c r="N207" s="2" t="b">
        <v>0</v>
      </c>
      <c r="O207" s="2" t="s">
        <v>235</v>
      </c>
      <c r="P207" t="s">
        <v>77</v>
      </c>
      <c r="Q207" t="s">
        <v>183</v>
      </c>
      <c r="R207" t="s">
        <v>184</v>
      </c>
      <c r="S207" t="s">
        <v>169</v>
      </c>
      <c r="T207" s="3">
        <v>45513.848051793982</v>
      </c>
      <c r="U207" s="3">
        <v>45513.848051793982</v>
      </c>
    </row>
    <row r="208" spans="1:21" x14ac:dyDescent="0.2">
      <c r="A208" s="2" t="str">
        <f>HYPERLINK("https://portal.hubmapconsortium.org/browse/sample/e90b08c2006b01927668d9ae1bc6537b", "HBM455.BVZH.484")</f>
        <v>HBM455.BVZH.484</v>
      </c>
      <c r="B208" t="s">
        <v>386</v>
      </c>
      <c r="C208" t="s">
        <v>408</v>
      </c>
      <c r="D208" s="2" t="b">
        <v>0</v>
      </c>
      <c r="E208" s="2" t="str">
        <f t="shared" si="11"/>
        <v>HBM657.BGFJ.898</v>
      </c>
      <c r="F208" t="s">
        <v>539</v>
      </c>
      <c r="J208" t="s">
        <v>514</v>
      </c>
      <c r="K208" t="s">
        <v>20</v>
      </c>
      <c r="L208" t="s">
        <v>21</v>
      </c>
      <c r="M208" t="s">
        <v>22</v>
      </c>
      <c r="N208" s="2" t="b">
        <v>0</v>
      </c>
      <c r="O208" s="2" t="s">
        <v>235</v>
      </c>
      <c r="P208" t="s">
        <v>77</v>
      </c>
      <c r="Q208" t="s">
        <v>183</v>
      </c>
      <c r="R208" t="s">
        <v>184</v>
      </c>
      <c r="S208" t="s">
        <v>169</v>
      </c>
      <c r="T208" s="3">
        <v>45513.848068749998</v>
      </c>
      <c r="U208" s="3">
        <v>45513.848068749998</v>
      </c>
    </row>
    <row r="209" spans="1:21" x14ac:dyDescent="0.2">
      <c r="A209" s="2" t="str">
        <f>HYPERLINK("https://portal.hubmapconsortium.org/browse/sample/5ff7023afd3aad9ac4effdf066851f5e", "HBM947.HBNM.826")</f>
        <v>HBM947.HBNM.826</v>
      </c>
      <c r="B209" t="s">
        <v>386</v>
      </c>
      <c r="C209" t="s">
        <v>408</v>
      </c>
      <c r="D209" s="2" t="b">
        <v>0</v>
      </c>
      <c r="E209" s="2" t="str">
        <f t="shared" si="11"/>
        <v>HBM657.BGFJ.898</v>
      </c>
      <c r="F209" t="s">
        <v>540</v>
      </c>
      <c r="J209" t="s">
        <v>516</v>
      </c>
      <c r="K209" t="s">
        <v>20</v>
      </c>
      <c r="L209" t="s">
        <v>21</v>
      </c>
      <c r="M209" t="s">
        <v>22</v>
      </c>
      <c r="N209" s="2" t="b">
        <v>0</v>
      </c>
      <c r="O209" s="2" t="s">
        <v>235</v>
      </c>
      <c r="P209" t="s">
        <v>24</v>
      </c>
      <c r="Q209" t="s">
        <v>183</v>
      </c>
      <c r="R209" t="s">
        <v>184</v>
      </c>
      <c r="S209" t="s">
        <v>169</v>
      </c>
      <c r="T209" s="3">
        <v>45513.848084664351</v>
      </c>
      <c r="U209" s="3">
        <v>45513.848084664351</v>
      </c>
    </row>
    <row r="210" spans="1:21" x14ac:dyDescent="0.2">
      <c r="A210" s="2" t="str">
        <f>HYPERLINK("https://portal.hubmapconsortium.org/browse/sample/a78ee406cfe0afa4825d3e1200b3f39c", "HBM463.CSLZ.494")</f>
        <v>HBM463.CSLZ.494</v>
      </c>
      <c r="B210" t="s">
        <v>386</v>
      </c>
      <c r="C210" t="s">
        <v>541</v>
      </c>
      <c r="D210" s="2" t="b">
        <v>0</v>
      </c>
      <c r="E210" s="2" t="str">
        <f t="shared" ref="E210:E216" si="12">HYPERLINK("https://portal.hubmapconsortium.org/browse/sample/9954d4d8adb0a53a26179bc99b08b6c0", "HBM688.BJZV.237")</f>
        <v>HBM688.BJZV.237</v>
      </c>
      <c r="F210" t="s">
        <v>546</v>
      </c>
      <c r="J210" t="s">
        <v>547</v>
      </c>
      <c r="K210" t="s">
        <v>20</v>
      </c>
      <c r="L210" t="s">
        <v>21</v>
      </c>
      <c r="M210" t="s">
        <v>22</v>
      </c>
      <c r="N210" s="2" t="b">
        <v>0</v>
      </c>
      <c r="O210" s="2" t="s">
        <v>166</v>
      </c>
      <c r="P210" t="s">
        <v>77</v>
      </c>
      <c r="Q210" t="s">
        <v>183</v>
      </c>
      <c r="R210" t="s">
        <v>184</v>
      </c>
      <c r="S210" t="s">
        <v>169</v>
      </c>
      <c r="T210" s="3">
        <v>45848.842322569442</v>
      </c>
      <c r="U210" s="3">
        <v>45848.842322569442</v>
      </c>
    </row>
    <row r="211" spans="1:21" x14ac:dyDescent="0.2">
      <c r="A211" s="2" t="str">
        <f>HYPERLINK("https://portal.hubmapconsortium.org/browse/sample/5791510180127c3ba89e4713e84719b9", "HBM598.HGFZ.458")</f>
        <v>HBM598.HGFZ.458</v>
      </c>
      <c r="B211" t="s">
        <v>386</v>
      </c>
      <c r="C211" t="s">
        <v>541</v>
      </c>
      <c r="D211" s="2" t="b">
        <v>0</v>
      </c>
      <c r="E211" s="2" t="str">
        <f t="shared" si="12"/>
        <v>HBM688.BJZV.237</v>
      </c>
      <c r="F211" t="s">
        <v>549</v>
      </c>
      <c r="J211" t="s">
        <v>547</v>
      </c>
      <c r="K211" t="s">
        <v>20</v>
      </c>
      <c r="L211" t="s">
        <v>21</v>
      </c>
      <c r="M211" t="s">
        <v>22</v>
      </c>
      <c r="N211" s="2" t="b">
        <v>0</v>
      </c>
      <c r="O211" s="2" t="s">
        <v>166</v>
      </c>
      <c r="P211" t="s">
        <v>77</v>
      </c>
      <c r="Q211" t="s">
        <v>183</v>
      </c>
      <c r="R211" t="s">
        <v>184</v>
      </c>
      <c r="S211" t="s">
        <v>169</v>
      </c>
      <c r="T211" s="3">
        <v>45848.842413483799</v>
      </c>
      <c r="U211" s="3">
        <v>45848.842413483799</v>
      </c>
    </row>
    <row r="212" spans="1:21" x14ac:dyDescent="0.2">
      <c r="A212" s="2" t="str">
        <f>HYPERLINK("https://portal.hubmapconsortium.org/browse/sample/a941602a83a3904f3970f37a513b6aa3", "HBM558.TWKB.687")</f>
        <v>HBM558.TWKB.687</v>
      </c>
      <c r="B212" t="s">
        <v>386</v>
      </c>
      <c r="C212" t="s">
        <v>541</v>
      </c>
      <c r="D212" s="2" t="b">
        <v>0</v>
      </c>
      <c r="E212" s="2" t="str">
        <f t="shared" si="12"/>
        <v>HBM688.BJZV.237</v>
      </c>
      <c r="F212" t="s">
        <v>552</v>
      </c>
      <c r="J212" t="s">
        <v>547</v>
      </c>
      <c r="K212" t="s">
        <v>20</v>
      </c>
      <c r="L212" t="s">
        <v>21</v>
      </c>
      <c r="M212" t="s">
        <v>22</v>
      </c>
      <c r="N212" s="2" t="b">
        <v>0</v>
      </c>
      <c r="O212" s="2" t="s">
        <v>166</v>
      </c>
      <c r="P212" t="s">
        <v>77</v>
      </c>
      <c r="Q212" t="s">
        <v>183</v>
      </c>
      <c r="R212" t="s">
        <v>184</v>
      </c>
      <c r="S212" t="s">
        <v>169</v>
      </c>
      <c r="T212" s="3">
        <v>45848.842425034723</v>
      </c>
      <c r="U212" s="3">
        <v>45848.842425034723</v>
      </c>
    </row>
    <row r="213" spans="1:21" x14ac:dyDescent="0.2">
      <c r="A213" s="2" t="str">
        <f>HYPERLINK("https://portal.hubmapconsortium.org/browse/sample/b74803dd17d6541a583502013c800110", "HBM365.VQTL.758")</f>
        <v>HBM365.VQTL.758</v>
      </c>
      <c r="B213" t="s">
        <v>386</v>
      </c>
      <c r="C213" t="s">
        <v>541</v>
      </c>
      <c r="D213" s="2" t="b">
        <v>0</v>
      </c>
      <c r="E213" s="2" t="str">
        <f t="shared" si="12"/>
        <v>HBM688.BJZV.237</v>
      </c>
      <c r="F213" t="s">
        <v>554</v>
      </c>
      <c r="J213" t="s">
        <v>555</v>
      </c>
      <c r="K213" t="s">
        <v>20</v>
      </c>
      <c r="L213" t="s">
        <v>21</v>
      </c>
      <c r="M213" t="s">
        <v>22</v>
      </c>
      <c r="N213" s="2" t="b">
        <v>0</v>
      </c>
      <c r="O213" s="2" t="s">
        <v>235</v>
      </c>
      <c r="P213" t="s">
        <v>24</v>
      </c>
      <c r="Q213" t="s">
        <v>183</v>
      </c>
      <c r="R213" t="s">
        <v>184</v>
      </c>
      <c r="S213" t="s">
        <v>169</v>
      </c>
      <c r="T213" s="3">
        <v>45643.916736041669</v>
      </c>
      <c r="U213" s="3">
        <v>45643.916736041669</v>
      </c>
    </row>
    <row r="214" spans="1:21" x14ac:dyDescent="0.2">
      <c r="A214" s="2" t="str">
        <f>HYPERLINK("https://portal.hubmapconsortium.org/browse/sample/f66a0742abfdea203331d88734732cb6", "HBM982.QVRM.858")</f>
        <v>HBM982.QVRM.858</v>
      </c>
      <c r="B214" t="s">
        <v>386</v>
      </c>
      <c r="C214" t="s">
        <v>541</v>
      </c>
      <c r="D214" s="2" t="b">
        <v>0</v>
      </c>
      <c r="E214" s="2" t="str">
        <f t="shared" si="12"/>
        <v>HBM688.BJZV.237</v>
      </c>
      <c r="F214" t="s">
        <v>560</v>
      </c>
      <c r="J214" t="s">
        <v>561</v>
      </c>
      <c r="K214" t="s">
        <v>20</v>
      </c>
      <c r="L214" t="s">
        <v>21</v>
      </c>
      <c r="M214" t="s">
        <v>22</v>
      </c>
      <c r="N214" s="2" t="b">
        <v>0</v>
      </c>
      <c r="O214" s="2" t="s">
        <v>166</v>
      </c>
      <c r="P214" t="s">
        <v>77</v>
      </c>
      <c r="Q214" t="s">
        <v>183</v>
      </c>
      <c r="R214" t="s">
        <v>184</v>
      </c>
      <c r="S214" t="s">
        <v>169</v>
      </c>
      <c r="T214" s="3">
        <v>45848.842437581021</v>
      </c>
      <c r="U214" s="3">
        <v>45848.842437581021</v>
      </c>
    </row>
    <row r="215" spans="1:21" x14ac:dyDescent="0.2">
      <c r="A215" s="2" t="str">
        <f>HYPERLINK("https://portal.hubmapconsortium.org/browse/sample/9f5d801187724cd4e1b88332177872a0", "HBM892.THLP.948")</f>
        <v>HBM892.THLP.948</v>
      </c>
      <c r="B215" t="s">
        <v>386</v>
      </c>
      <c r="C215" t="s">
        <v>541</v>
      </c>
      <c r="D215" s="2" t="b">
        <v>0</v>
      </c>
      <c r="E215" s="2" t="str">
        <f t="shared" si="12"/>
        <v>HBM688.BJZV.237</v>
      </c>
      <c r="F215" t="s">
        <v>566</v>
      </c>
      <c r="J215" t="s">
        <v>567</v>
      </c>
      <c r="K215" t="s">
        <v>20</v>
      </c>
      <c r="L215" t="s">
        <v>21</v>
      </c>
      <c r="M215" t="s">
        <v>22</v>
      </c>
      <c r="N215" s="2" t="b">
        <v>0</v>
      </c>
      <c r="O215" s="2" t="s">
        <v>166</v>
      </c>
      <c r="P215" t="s">
        <v>77</v>
      </c>
      <c r="Q215" t="s">
        <v>183</v>
      </c>
      <c r="R215" t="s">
        <v>184</v>
      </c>
      <c r="S215" t="s">
        <v>169</v>
      </c>
      <c r="T215" s="3">
        <v>45819.778433738429</v>
      </c>
      <c r="U215" s="3">
        <v>45819.778433738429</v>
      </c>
    </row>
    <row r="216" spans="1:21" x14ac:dyDescent="0.2">
      <c r="A216" s="2" t="str">
        <f>HYPERLINK("https://portal.hubmapconsortium.org/browse/sample/7260d2ff7b377c34f09fed7d05b1fe40", "HBM845.HMCZ.295")</f>
        <v>HBM845.HMCZ.295</v>
      </c>
      <c r="B216" t="s">
        <v>386</v>
      </c>
      <c r="C216" t="s">
        <v>541</v>
      </c>
      <c r="D216" s="2" t="b">
        <v>0</v>
      </c>
      <c r="E216" s="2" t="str">
        <f t="shared" si="12"/>
        <v>HBM688.BJZV.237</v>
      </c>
      <c r="F216" t="s">
        <v>569</v>
      </c>
      <c r="J216" t="s">
        <v>567</v>
      </c>
      <c r="K216" t="s">
        <v>20</v>
      </c>
      <c r="L216" t="s">
        <v>21</v>
      </c>
      <c r="M216" t="s">
        <v>22</v>
      </c>
      <c r="N216" s="2" t="b">
        <v>0</v>
      </c>
      <c r="O216" s="2" t="s">
        <v>166</v>
      </c>
      <c r="P216" t="s">
        <v>77</v>
      </c>
      <c r="Q216" t="s">
        <v>183</v>
      </c>
      <c r="R216" t="s">
        <v>184</v>
      </c>
      <c r="S216" t="s">
        <v>169</v>
      </c>
      <c r="T216" s="3">
        <v>45819.778497824067</v>
      </c>
      <c r="U216" s="3">
        <v>45819.778497824067</v>
      </c>
    </row>
    <row r="217" spans="1:21" x14ac:dyDescent="0.2">
      <c r="A217" s="2" t="str">
        <f>HYPERLINK("https://portal.hubmapconsortium.org/browse/sample/533dd9d7cf62d83d9418e69960eca132", "HBM469.GNLR.532")</f>
        <v>HBM469.GNLR.532</v>
      </c>
      <c r="B217" t="s">
        <v>571</v>
      </c>
      <c r="C217" t="s">
        <v>572</v>
      </c>
      <c r="D217" s="2" t="b">
        <v>0</v>
      </c>
      <c r="E217" s="2" t="str">
        <f t="shared" ref="E217:E224" si="13">HYPERLINK("https://portal.hubmapconsortium.org/browse/sample/bc7918805c94ad395dd26c50573d1e40", "HBM367.CMSK.938")</f>
        <v>HBM367.CMSK.938</v>
      </c>
      <c r="F217" t="s">
        <v>574</v>
      </c>
      <c r="J217" t="s">
        <v>575</v>
      </c>
      <c r="K217" t="s">
        <v>20</v>
      </c>
      <c r="L217" t="s">
        <v>21</v>
      </c>
      <c r="M217" t="s">
        <v>22</v>
      </c>
      <c r="N217" s="2" t="b">
        <v>0</v>
      </c>
      <c r="O217" s="2" t="s">
        <v>166</v>
      </c>
      <c r="P217" t="s">
        <v>77</v>
      </c>
      <c r="Q217" t="s">
        <v>183</v>
      </c>
      <c r="R217" t="s">
        <v>184</v>
      </c>
      <c r="S217" t="s">
        <v>169</v>
      </c>
      <c r="T217" s="3">
        <v>45525.651360833333</v>
      </c>
      <c r="U217" s="3">
        <v>45525.651360833333</v>
      </c>
    </row>
    <row r="218" spans="1:21" x14ac:dyDescent="0.2">
      <c r="A218" s="2" t="str">
        <f>HYPERLINK("https://portal.hubmapconsortium.org/browse/sample/31256640ed4d9d042508d525cc46f48b", "HBM752.VMVK.472")</f>
        <v>HBM752.VMVK.472</v>
      </c>
      <c r="B218" t="s">
        <v>571</v>
      </c>
      <c r="C218" t="s">
        <v>572</v>
      </c>
      <c r="D218" s="2" t="b">
        <v>0</v>
      </c>
      <c r="E218" s="2" t="str">
        <f t="shared" si="13"/>
        <v>HBM367.CMSK.938</v>
      </c>
      <c r="F218" t="s">
        <v>576</v>
      </c>
      <c r="J218" t="s">
        <v>577</v>
      </c>
      <c r="K218" t="s">
        <v>20</v>
      </c>
      <c r="L218" t="s">
        <v>21</v>
      </c>
      <c r="M218" t="s">
        <v>22</v>
      </c>
      <c r="N218" s="2" t="b">
        <v>0</v>
      </c>
      <c r="O218" s="2" t="s">
        <v>166</v>
      </c>
      <c r="P218" t="s">
        <v>77</v>
      </c>
      <c r="Q218" t="s">
        <v>183</v>
      </c>
      <c r="R218" t="s">
        <v>184</v>
      </c>
      <c r="S218" t="s">
        <v>169</v>
      </c>
      <c r="T218" s="3">
        <v>45525.65137832176</v>
      </c>
      <c r="U218" s="3">
        <v>45525.65137832176</v>
      </c>
    </row>
    <row r="219" spans="1:21" x14ac:dyDescent="0.2">
      <c r="A219" s="2" t="str">
        <f>HYPERLINK("https://portal.hubmapconsortium.org/browse/sample/a62b2313125afacb8b61d4e056b17556", "HBM566.VCTT.336")</f>
        <v>HBM566.VCTT.336</v>
      </c>
      <c r="B219" t="s">
        <v>571</v>
      </c>
      <c r="C219" t="s">
        <v>572</v>
      </c>
      <c r="D219" s="2" t="b">
        <v>0</v>
      </c>
      <c r="E219" s="2" t="str">
        <f t="shared" si="13"/>
        <v>HBM367.CMSK.938</v>
      </c>
      <c r="F219" t="s">
        <v>578</v>
      </c>
      <c r="J219" t="s">
        <v>579</v>
      </c>
      <c r="K219" t="s">
        <v>20</v>
      </c>
      <c r="L219" t="s">
        <v>21</v>
      </c>
      <c r="M219" t="s">
        <v>22</v>
      </c>
      <c r="N219" s="2" t="b">
        <v>0</v>
      </c>
      <c r="O219" s="2" t="s">
        <v>166</v>
      </c>
      <c r="P219" t="s">
        <v>77</v>
      </c>
      <c r="Q219" t="s">
        <v>183</v>
      </c>
      <c r="R219" t="s">
        <v>184</v>
      </c>
      <c r="S219" t="s">
        <v>169</v>
      </c>
      <c r="T219" s="3">
        <v>45525.65139392361</v>
      </c>
      <c r="U219" s="3">
        <v>45525.65139392361</v>
      </c>
    </row>
    <row r="220" spans="1:21" x14ac:dyDescent="0.2">
      <c r="A220" s="2" t="str">
        <f>HYPERLINK("https://portal.hubmapconsortium.org/browse/sample/17a8afe7a0d3c3f9033b9b4005822e02", "HBM534.FTNR.568")</f>
        <v>HBM534.FTNR.568</v>
      </c>
      <c r="B220" t="s">
        <v>571</v>
      </c>
      <c r="C220" t="s">
        <v>572</v>
      </c>
      <c r="D220" s="2" t="b">
        <v>0</v>
      </c>
      <c r="E220" s="2" t="str">
        <f t="shared" si="13"/>
        <v>HBM367.CMSK.938</v>
      </c>
      <c r="F220" t="s">
        <v>580</v>
      </c>
      <c r="J220" t="s">
        <v>581</v>
      </c>
      <c r="K220" t="s">
        <v>20</v>
      </c>
      <c r="L220" t="s">
        <v>21</v>
      </c>
      <c r="M220" t="s">
        <v>22</v>
      </c>
      <c r="N220" s="2" t="b">
        <v>0</v>
      </c>
      <c r="O220" s="2" t="s">
        <v>166</v>
      </c>
      <c r="P220" t="s">
        <v>24</v>
      </c>
      <c r="Q220" t="s">
        <v>183</v>
      </c>
      <c r="R220" t="s">
        <v>184</v>
      </c>
      <c r="S220" t="s">
        <v>169</v>
      </c>
      <c r="T220" s="3">
        <v>45525.651408564823</v>
      </c>
      <c r="U220" s="3">
        <v>45525.651408564823</v>
      </c>
    </row>
    <row r="221" spans="1:21" x14ac:dyDescent="0.2">
      <c r="A221" s="2" t="str">
        <f>HYPERLINK("https://portal.hubmapconsortium.org/browse/sample/c1d14f9bd465fb1b781034a0811ddcfb", "HBM557.RGHB.628")</f>
        <v>HBM557.RGHB.628</v>
      </c>
      <c r="B221" t="s">
        <v>571</v>
      </c>
      <c r="C221" t="s">
        <v>572</v>
      </c>
      <c r="D221" s="2" t="b">
        <v>0</v>
      </c>
      <c r="E221" s="2" t="str">
        <f t="shared" si="13"/>
        <v>HBM367.CMSK.938</v>
      </c>
      <c r="F221" t="s">
        <v>585</v>
      </c>
      <c r="J221" t="s">
        <v>575</v>
      </c>
      <c r="K221" t="s">
        <v>20</v>
      </c>
      <c r="L221" t="s">
        <v>21</v>
      </c>
      <c r="M221" t="s">
        <v>22</v>
      </c>
      <c r="N221" s="2" t="b">
        <v>0</v>
      </c>
      <c r="O221" s="2" t="s">
        <v>166</v>
      </c>
      <c r="P221" t="s">
        <v>77</v>
      </c>
      <c r="Q221" t="s">
        <v>183</v>
      </c>
      <c r="R221" t="s">
        <v>184</v>
      </c>
      <c r="S221" t="s">
        <v>169</v>
      </c>
      <c r="T221" s="3">
        <v>45525.65142480324</v>
      </c>
      <c r="U221" s="3">
        <v>45525.65142480324</v>
      </c>
    </row>
    <row r="222" spans="1:21" x14ac:dyDescent="0.2">
      <c r="A222" s="2" t="str">
        <f>HYPERLINK("https://portal.hubmapconsortium.org/browse/sample/f232b7b76b5af5670363affd9e0b4c65", "HBM695.GFJL.246")</f>
        <v>HBM695.GFJL.246</v>
      </c>
      <c r="B222" t="s">
        <v>571</v>
      </c>
      <c r="C222" t="s">
        <v>572</v>
      </c>
      <c r="D222" s="2" t="b">
        <v>0</v>
      </c>
      <c r="E222" s="2" t="str">
        <f t="shared" si="13"/>
        <v>HBM367.CMSK.938</v>
      </c>
      <c r="F222" t="s">
        <v>586</v>
      </c>
      <c r="J222" t="s">
        <v>577</v>
      </c>
      <c r="K222" t="s">
        <v>20</v>
      </c>
      <c r="L222" t="s">
        <v>21</v>
      </c>
      <c r="M222" t="s">
        <v>22</v>
      </c>
      <c r="N222" s="2" t="b">
        <v>0</v>
      </c>
      <c r="O222" s="2" t="s">
        <v>166</v>
      </c>
      <c r="P222" t="s">
        <v>77</v>
      </c>
      <c r="Q222" t="s">
        <v>183</v>
      </c>
      <c r="R222" t="s">
        <v>184</v>
      </c>
      <c r="S222" t="s">
        <v>169</v>
      </c>
      <c r="T222" s="3">
        <v>45525.651440543981</v>
      </c>
      <c r="U222" s="3">
        <v>45525.651440543981</v>
      </c>
    </row>
    <row r="223" spans="1:21" x14ac:dyDescent="0.2">
      <c r="A223" s="2" t="str">
        <f>HYPERLINK("https://portal.hubmapconsortium.org/browse/sample/16edd1e60cb256a4cd1351b4ecb0629b", "HBM525.FFZG.728")</f>
        <v>HBM525.FFZG.728</v>
      </c>
      <c r="B223" t="s">
        <v>571</v>
      </c>
      <c r="C223" t="s">
        <v>572</v>
      </c>
      <c r="D223" s="2" t="b">
        <v>0</v>
      </c>
      <c r="E223" s="2" t="str">
        <f t="shared" si="13"/>
        <v>HBM367.CMSK.938</v>
      </c>
      <c r="F223" t="s">
        <v>587</v>
      </c>
      <c r="J223" t="s">
        <v>579</v>
      </c>
      <c r="K223" t="s">
        <v>20</v>
      </c>
      <c r="L223" t="s">
        <v>21</v>
      </c>
      <c r="M223" t="s">
        <v>22</v>
      </c>
      <c r="N223" s="2" t="b">
        <v>0</v>
      </c>
      <c r="O223" s="2" t="s">
        <v>166</v>
      </c>
      <c r="P223" t="s">
        <v>77</v>
      </c>
      <c r="Q223" t="s">
        <v>183</v>
      </c>
      <c r="R223" t="s">
        <v>184</v>
      </c>
      <c r="S223" t="s">
        <v>169</v>
      </c>
      <c r="T223" s="3">
        <v>45525.651454282408</v>
      </c>
      <c r="U223" s="3">
        <v>45525.651454282408</v>
      </c>
    </row>
    <row r="224" spans="1:21" x14ac:dyDescent="0.2">
      <c r="A224" s="2" t="str">
        <f>HYPERLINK("https://portal.hubmapconsortium.org/browse/sample/813a8b10537a84bc7b89185927df013b", "HBM276.HNJS.654")</f>
        <v>HBM276.HNJS.654</v>
      </c>
      <c r="B224" t="s">
        <v>571</v>
      </c>
      <c r="C224" t="s">
        <v>572</v>
      </c>
      <c r="D224" s="2" t="b">
        <v>0</v>
      </c>
      <c r="E224" s="2" t="str">
        <f t="shared" si="13"/>
        <v>HBM367.CMSK.938</v>
      </c>
      <c r="F224" t="s">
        <v>588</v>
      </c>
      <c r="J224" t="s">
        <v>581</v>
      </c>
      <c r="K224" t="s">
        <v>20</v>
      </c>
      <c r="L224" t="s">
        <v>21</v>
      </c>
      <c r="M224" t="s">
        <v>22</v>
      </c>
      <c r="N224" s="2" t="b">
        <v>0</v>
      </c>
      <c r="O224" s="2" t="s">
        <v>166</v>
      </c>
      <c r="P224" t="s">
        <v>24</v>
      </c>
      <c r="Q224" t="s">
        <v>183</v>
      </c>
      <c r="R224" t="s">
        <v>184</v>
      </c>
      <c r="S224" t="s">
        <v>169</v>
      </c>
      <c r="T224" s="3">
        <v>45525.651469317127</v>
      </c>
      <c r="U224" s="3">
        <v>45525.651469317127</v>
      </c>
    </row>
    <row r="225" spans="1:21" x14ac:dyDescent="0.2">
      <c r="A225" s="2" t="str">
        <f>HYPERLINK("https://portal.hubmapconsortium.org/browse/sample/d5b32ec98403c28ae8458b60750ba754", "HBM324.MMJB.695")</f>
        <v>HBM324.MMJB.695</v>
      </c>
      <c r="B225" t="s">
        <v>571</v>
      </c>
      <c r="C225" t="s">
        <v>589</v>
      </c>
      <c r="D225" s="2" t="b">
        <v>0</v>
      </c>
      <c r="E225" s="2" t="str">
        <f t="shared" ref="E225:E256" si="14">HYPERLINK("https://portal.hubmapconsortium.org/browse/sample/4037bc931cabe8556ee08b0cc44ccf22", "HBM346.FQHN.263")</f>
        <v>HBM346.FQHN.263</v>
      </c>
      <c r="F225" t="s">
        <v>594</v>
      </c>
      <c r="J225" t="s">
        <v>595</v>
      </c>
      <c r="K225" t="s">
        <v>20</v>
      </c>
      <c r="L225" t="s">
        <v>21</v>
      </c>
      <c r="M225" t="s">
        <v>22</v>
      </c>
      <c r="N225" s="2" t="b">
        <v>0</v>
      </c>
      <c r="O225" s="2" t="s">
        <v>166</v>
      </c>
      <c r="P225" t="s">
        <v>77</v>
      </c>
      <c r="Q225" t="s">
        <v>183</v>
      </c>
      <c r="R225" t="s">
        <v>184</v>
      </c>
      <c r="S225" t="s">
        <v>169</v>
      </c>
      <c r="T225" s="3">
        <v>45525.667554224543</v>
      </c>
      <c r="U225" s="3">
        <v>45525.667554224543</v>
      </c>
    </row>
    <row r="226" spans="1:21" x14ac:dyDescent="0.2">
      <c r="A226" s="2" t="str">
        <f>HYPERLINK("https://portal.hubmapconsortium.org/browse/sample/2c6ba85a6f17793a4e728d555625fb1d", "HBM469.KWQC.669")</f>
        <v>HBM469.KWQC.669</v>
      </c>
      <c r="B226" t="s">
        <v>571</v>
      </c>
      <c r="C226" t="s">
        <v>589</v>
      </c>
      <c r="D226" s="2" t="b">
        <v>0</v>
      </c>
      <c r="E226" s="2" t="str">
        <f t="shared" si="14"/>
        <v>HBM346.FQHN.263</v>
      </c>
      <c r="F226" t="s">
        <v>596</v>
      </c>
      <c r="J226" t="s">
        <v>597</v>
      </c>
      <c r="K226" t="s">
        <v>20</v>
      </c>
      <c r="L226" t="s">
        <v>21</v>
      </c>
      <c r="M226" t="s">
        <v>22</v>
      </c>
      <c r="N226" s="2" t="b">
        <v>0</v>
      </c>
      <c r="O226" s="2" t="s">
        <v>166</v>
      </c>
      <c r="P226" t="s">
        <v>77</v>
      </c>
      <c r="Q226" t="s">
        <v>183</v>
      </c>
      <c r="R226" t="s">
        <v>184</v>
      </c>
      <c r="S226" t="s">
        <v>169</v>
      </c>
      <c r="T226" s="3">
        <v>45525.667571041668</v>
      </c>
      <c r="U226" s="3">
        <v>45525.667571041668</v>
      </c>
    </row>
    <row r="227" spans="1:21" x14ac:dyDescent="0.2">
      <c r="A227" s="2" t="str">
        <f>HYPERLINK("https://portal.hubmapconsortium.org/browse/sample/4c559776e641e7554341074547c80623", "HBM854.XMJJ.542")</f>
        <v>HBM854.XMJJ.542</v>
      </c>
      <c r="B227" t="s">
        <v>571</v>
      </c>
      <c r="C227" t="s">
        <v>589</v>
      </c>
      <c r="D227" s="2" t="b">
        <v>0</v>
      </c>
      <c r="E227" s="2" t="str">
        <f t="shared" si="14"/>
        <v>HBM346.FQHN.263</v>
      </c>
      <c r="F227" t="s">
        <v>598</v>
      </c>
      <c r="J227" t="s">
        <v>599</v>
      </c>
      <c r="K227" t="s">
        <v>20</v>
      </c>
      <c r="L227" t="s">
        <v>21</v>
      </c>
      <c r="M227" t="s">
        <v>22</v>
      </c>
      <c r="N227" s="2" t="b">
        <v>0</v>
      </c>
      <c r="O227" s="2" t="s">
        <v>166</v>
      </c>
      <c r="P227" t="s">
        <v>77</v>
      </c>
      <c r="Q227" t="s">
        <v>183</v>
      </c>
      <c r="R227" t="s">
        <v>184</v>
      </c>
      <c r="S227" t="s">
        <v>169</v>
      </c>
      <c r="T227" s="3">
        <v>45525.667587685188</v>
      </c>
      <c r="U227" s="3">
        <v>45525.667587685188</v>
      </c>
    </row>
    <row r="228" spans="1:21" x14ac:dyDescent="0.2">
      <c r="A228" s="2" t="str">
        <f>HYPERLINK("https://portal.hubmapconsortium.org/browse/sample/2ae54ae0c1943a1ff08eff5271a7d89f", "HBM792.JCMD.327")</f>
        <v>HBM792.JCMD.327</v>
      </c>
      <c r="B228" t="s">
        <v>571</v>
      </c>
      <c r="C228" t="s">
        <v>589</v>
      </c>
      <c r="D228" s="2" t="b">
        <v>0</v>
      </c>
      <c r="E228" s="2" t="str">
        <f t="shared" si="14"/>
        <v>HBM346.FQHN.263</v>
      </c>
      <c r="F228" t="s">
        <v>600</v>
      </c>
      <c r="J228" t="s">
        <v>601</v>
      </c>
      <c r="K228" t="s">
        <v>20</v>
      </c>
      <c r="L228" t="s">
        <v>21</v>
      </c>
      <c r="M228" t="s">
        <v>22</v>
      </c>
      <c r="N228" s="2" t="b">
        <v>0</v>
      </c>
      <c r="O228" s="2" t="s">
        <v>166</v>
      </c>
      <c r="P228" t="s">
        <v>24</v>
      </c>
      <c r="Q228" t="s">
        <v>183</v>
      </c>
      <c r="R228" t="s">
        <v>184</v>
      </c>
      <c r="S228" t="s">
        <v>169</v>
      </c>
      <c r="T228" s="3">
        <v>45525.667604502312</v>
      </c>
      <c r="U228" s="3">
        <v>45525.667604502312</v>
      </c>
    </row>
    <row r="229" spans="1:21" x14ac:dyDescent="0.2">
      <c r="A229" s="2" t="str">
        <f>HYPERLINK("https://portal.hubmapconsortium.org/browse/sample/1db61958d385de38d9aab581e0cd01e6", "HBM949.CTCC.392")</f>
        <v>HBM949.CTCC.392</v>
      </c>
      <c r="B229" t="s">
        <v>571</v>
      </c>
      <c r="C229" t="s">
        <v>589</v>
      </c>
      <c r="D229" s="2" t="b">
        <v>0</v>
      </c>
      <c r="E229" s="2" t="str">
        <f t="shared" si="14"/>
        <v>HBM346.FQHN.263</v>
      </c>
      <c r="F229" t="s">
        <v>604</v>
      </c>
      <c r="J229" t="s">
        <v>605</v>
      </c>
      <c r="K229" t="s">
        <v>20</v>
      </c>
      <c r="L229" t="s">
        <v>21</v>
      </c>
      <c r="M229" t="s">
        <v>22</v>
      </c>
      <c r="N229" s="2" t="b">
        <v>0</v>
      </c>
      <c r="O229" s="2" t="s">
        <v>166</v>
      </c>
      <c r="P229" t="s">
        <v>77</v>
      </c>
      <c r="Q229" t="s">
        <v>183</v>
      </c>
      <c r="R229" t="s">
        <v>184</v>
      </c>
      <c r="S229" t="s">
        <v>169</v>
      </c>
      <c r="T229" s="3">
        <v>45525.667622499997</v>
      </c>
      <c r="U229" s="3">
        <v>45525.667622499997</v>
      </c>
    </row>
    <row r="230" spans="1:21" x14ac:dyDescent="0.2">
      <c r="A230" s="2" t="str">
        <f>HYPERLINK("https://portal.hubmapconsortium.org/browse/sample/770e53b20017456899dbaa0753576835", "HBM879.HVXB.774")</f>
        <v>HBM879.HVXB.774</v>
      </c>
      <c r="B230" t="s">
        <v>571</v>
      </c>
      <c r="C230" t="s">
        <v>589</v>
      </c>
      <c r="D230" s="2" t="b">
        <v>0</v>
      </c>
      <c r="E230" s="2" t="str">
        <f t="shared" si="14"/>
        <v>HBM346.FQHN.263</v>
      </c>
      <c r="F230" t="s">
        <v>606</v>
      </c>
      <c r="J230" t="s">
        <v>607</v>
      </c>
      <c r="K230" t="s">
        <v>20</v>
      </c>
      <c r="L230" t="s">
        <v>21</v>
      </c>
      <c r="M230" t="s">
        <v>22</v>
      </c>
      <c r="N230" s="2" t="b">
        <v>0</v>
      </c>
      <c r="O230" s="2" t="s">
        <v>166</v>
      </c>
      <c r="P230" t="s">
        <v>77</v>
      </c>
      <c r="Q230" t="s">
        <v>183</v>
      </c>
      <c r="R230" t="s">
        <v>184</v>
      </c>
      <c r="S230" t="s">
        <v>169</v>
      </c>
      <c r="T230" s="3">
        <v>45525.667639618063</v>
      </c>
      <c r="U230" s="3">
        <v>45525.667639618063</v>
      </c>
    </row>
    <row r="231" spans="1:21" x14ac:dyDescent="0.2">
      <c r="A231" s="2" t="str">
        <f>HYPERLINK("https://portal.hubmapconsortium.org/browse/sample/63877d5227210923f669305b075ce18f", "HBM463.DVZF.295")</f>
        <v>HBM463.DVZF.295</v>
      </c>
      <c r="B231" t="s">
        <v>571</v>
      </c>
      <c r="C231" t="s">
        <v>589</v>
      </c>
      <c r="D231" s="2" t="b">
        <v>0</v>
      </c>
      <c r="E231" s="2" t="str">
        <f t="shared" si="14"/>
        <v>HBM346.FQHN.263</v>
      </c>
      <c r="F231" t="s">
        <v>608</v>
      </c>
      <c r="J231" t="s">
        <v>609</v>
      </c>
      <c r="K231" t="s">
        <v>20</v>
      </c>
      <c r="L231" t="s">
        <v>21</v>
      </c>
      <c r="M231" t="s">
        <v>22</v>
      </c>
      <c r="N231" s="2" t="b">
        <v>0</v>
      </c>
      <c r="O231" s="2" t="s">
        <v>166</v>
      </c>
      <c r="P231" t="s">
        <v>77</v>
      </c>
      <c r="Q231" t="s">
        <v>183</v>
      </c>
      <c r="R231" t="s">
        <v>184</v>
      </c>
      <c r="S231" t="s">
        <v>169</v>
      </c>
      <c r="T231" s="3">
        <v>45525.667655347221</v>
      </c>
      <c r="U231" s="3">
        <v>45525.667655347221</v>
      </c>
    </row>
    <row r="232" spans="1:21" x14ac:dyDescent="0.2">
      <c r="A232" s="2" t="str">
        <f>HYPERLINK("https://portal.hubmapconsortium.org/browse/sample/515d9a8afd437943d1d67d2ce0270dfb", "HBM522.NWWN.847")</f>
        <v>HBM522.NWWN.847</v>
      </c>
      <c r="B232" t="s">
        <v>571</v>
      </c>
      <c r="C232" t="s">
        <v>589</v>
      </c>
      <c r="D232" s="2" t="b">
        <v>0</v>
      </c>
      <c r="E232" s="2" t="str">
        <f t="shared" si="14"/>
        <v>HBM346.FQHN.263</v>
      </c>
      <c r="F232" t="s">
        <v>610</v>
      </c>
      <c r="J232" t="s">
        <v>611</v>
      </c>
      <c r="K232" t="s">
        <v>20</v>
      </c>
      <c r="L232" t="s">
        <v>21</v>
      </c>
      <c r="M232" t="s">
        <v>22</v>
      </c>
      <c r="N232" s="2" t="b">
        <v>0</v>
      </c>
      <c r="O232" s="2" t="s">
        <v>166</v>
      </c>
      <c r="P232" t="s">
        <v>24</v>
      </c>
      <c r="Q232" t="s">
        <v>183</v>
      </c>
      <c r="R232" t="s">
        <v>184</v>
      </c>
      <c r="S232" t="s">
        <v>169</v>
      </c>
      <c r="T232" s="3">
        <v>45525.667673634263</v>
      </c>
      <c r="U232" s="3">
        <v>45525.667673634263</v>
      </c>
    </row>
    <row r="233" spans="1:21" x14ac:dyDescent="0.2">
      <c r="A233" s="2" t="str">
        <f>HYPERLINK("https://portal.hubmapconsortium.org/browse/sample/276d13903906ddbf3d5a006ed211153e", "HBM529.QGLF.954")</f>
        <v>HBM529.QGLF.954</v>
      </c>
      <c r="B233" t="s">
        <v>571</v>
      </c>
      <c r="C233" t="s">
        <v>589</v>
      </c>
      <c r="D233" s="2" t="b">
        <v>0</v>
      </c>
      <c r="E233" s="2" t="str">
        <f t="shared" si="14"/>
        <v>HBM346.FQHN.263</v>
      </c>
      <c r="F233" t="s">
        <v>614</v>
      </c>
      <c r="J233" t="s">
        <v>615</v>
      </c>
      <c r="K233" t="s">
        <v>20</v>
      </c>
      <c r="L233" t="s">
        <v>21</v>
      </c>
      <c r="M233" t="s">
        <v>22</v>
      </c>
      <c r="N233" s="2" t="b">
        <v>0</v>
      </c>
      <c r="O233" s="2" t="s">
        <v>166</v>
      </c>
      <c r="P233" t="s">
        <v>77</v>
      </c>
      <c r="Q233" t="s">
        <v>183</v>
      </c>
      <c r="R233" t="s">
        <v>184</v>
      </c>
      <c r="S233" t="s">
        <v>169</v>
      </c>
      <c r="T233" s="3">
        <v>45525.667691064817</v>
      </c>
      <c r="U233" s="3">
        <v>45525.667691064817</v>
      </c>
    </row>
    <row r="234" spans="1:21" x14ac:dyDescent="0.2">
      <c r="A234" s="2" t="str">
        <f>HYPERLINK("https://portal.hubmapconsortium.org/browse/sample/52156d2080936607dccca597c6ce4f39", "HBM497.HQGV.439")</f>
        <v>HBM497.HQGV.439</v>
      </c>
      <c r="B234" t="s">
        <v>571</v>
      </c>
      <c r="C234" t="s">
        <v>589</v>
      </c>
      <c r="D234" s="2" t="b">
        <v>0</v>
      </c>
      <c r="E234" s="2" t="str">
        <f t="shared" si="14"/>
        <v>HBM346.FQHN.263</v>
      </c>
      <c r="F234" t="s">
        <v>616</v>
      </c>
      <c r="J234" t="s">
        <v>617</v>
      </c>
      <c r="K234" t="s">
        <v>20</v>
      </c>
      <c r="L234" t="s">
        <v>21</v>
      </c>
      <c r="M234" t="s">
        <v>22</v>
      </c>
      <c r="N234" s="2" t="b">
        <v>0</v>
      </c>
      <c r="O234" s="2" t="s">
        <v>166</v>
      </c>
      <c r="P234" t="s">
        <v>77</v>
      </c>
      <c r="Q234" t="s">
        <v>183</v>
      </c>
      <c r="R234" t="s">
        <v>184</v>
      </c>
      <c r="S234" t="s">
        <v>169</v>
      </c>
      <c r="T234" s="3">
        <v>45525.667708425928</v>
      </c>
      <c r="U234" s="3">
        <v>45525.667708425928</v>
      </c>
    </row>
    <row r="235" spans="1:21" x14ac:dyDescent="0.2">
      <c r="A235" s="2" t="str">
        <f>HYPERLINK("https://portal.hubmapconsortium.org/browse/sample/33f67a7950b4dd167c69576b5b5d5ab1", "HBM496.TWZT.424")</f>
        <v>HBM496.TWZT.424</v>
      </c>
      <c r="B235" t="s">
        <v>571</v>
      </c>
      <c r="C235" t="s">
        <v>589</v>
      </c>
      <c r="D235" s="2" t="b">
        <v>0</v>
      </c>
      <c r="E235" s="2" t="str">
        <f t="shared" si="14"/>
        <v>HBM346.FQHN.263</v>
      </c>
      <c r="F235" t="s">
        <v>618</v>
      </c>
      <c r="J235" t="s">
        <v>619</v>
      </c>
      <c r="K235" t="s">
        <v>20</v>
      </c>
      <c r="L235" t="s">
        <v>21</v>
      </c>
      <c r="M235" t="s">
        <v>22</v>
      </c>
      <c r="N235" s="2" t="b">
        <v>0</v>
      </c>
      <c r="O235" s="2" t="s">
        <v>166</v>
      </c>
      <c r="P235" t="s">
        <v>77</v>
      </c>
      <c r="Q235" t="s">
        <v>183</v>
      </c>
      <c r="R235" t="s">
        <v>184</v>
      </c>
      <c r="S235" t="s">
        <v>169</v>
      </c>
      <c r="T235" s="3">
        <v>45525.667725486113</v>
      </c>
      <c r="U235" s="3">
        <v>45525.667725486113</v>
      </c>
    </row>
    <row r="236" spans="1:21" x14ac:dyDescent="0.2">
      <c r="A236" s="2" t="str">
        <f>HYPERLINK("https://portal.hubmapconsortium.org/browse/sample/4b5e20e18628d76b892c2bf2177df8fc", "HBM776.CQTS.982")</f>
        <v>HBM776.CQTS.982</v>
      </c>
      <c r="B236" t="s">
        <v>571</v>
      </c>
      <c r="C236" t="s">
        <v>589</v>
      </c>
      <c r="D236" s="2" t="b">
        <v>0</v>
      </c>
      <c r="E236" s="2" t="str">
        <f t="shared" si="14"/>
        <v>HBM346.FQHN.263</v>
      </c>
      <c r="F236" t="s">
        <v>620</v>
      </c>
      <c r="J236" t="s">
        <v>621</v>
      </c>
      <c r="K236" t="s">
        <v>20</v>
      </c>
      <c r="L236" t="s">
        <v>21</v>
      </c>
      <c r="M236" t="s">
        <v>22</v>
      </c>
      <c r="N236" s="2" t="b">
        <v>0</v>
      </c>
      <c r="O236" s="2" t="s">
        <v>166</v>
      </c>
      <c r="P236" t="s">
        <v>24</v>
      </c>
      <c r="Q236" t="s">
        <v>183</v>
      </c>
      <c r="R236" t="s">
        <v>184</v>
      </c>
      <c r="S236" t="s">
        <v>169</v>
      </c>
      <c r="T236" s="3">
        <v>45525.667741944453</v>
      </c>
      <c r="U236" s="3">
        <v>45525.667741944453</v>
      </c>
    </row>
    <row r="237" spans="1:21" x14ac:dyDescent="0.2">
      <c r="A237" s="2" t="str">
        <f>HYPERLINK("https://portal.hubmapconsortium.org/browse/sample/1c41dd5e0bdd694616cc6f148528206a", "HBM498.HNJS.266")</f>
        <v>HBM498.HNJS.266</v>
      </c>
      <c r="B237" t="s">
        <v>571</v>
      </c>
      <c r="C237" t="s">
        <v>589</v>
      </c>
      <c r="D237" s="2" t="b">
        <v>0</v>
      </c>
      <c r="E237" s="2" t="str">
        <f t="shared" si="14"/>
        <v>HBM346.FQHN.263</v>
      </c>
      <c r="F237" t="s">
        <v>623</v>
      </c>
      <c r="J237" t="s">
        <v>624</v>
      </c>
      <c r="K237" t="s">
        <v>20</v>
      </c>
      <c r="L237" t="s">
        <v>21</v>
      </c>
      <c r="M237" t="s">
        <v>22</v>
      </c>
      <c r="N237" s="2" t="b">
        <v>0</v>
      </c>
      <c r="O237" s="2" t="s">
        <v>166</v>
      </c>
      <c r="P237" t="s">
        <v>77</v>
      </c>
      <c r="Q237" t="s">
        <v>183</v>
      </c>
      <c r="R237" t="s">
        <v>184</v>
      </c>
      <c r="S237" t="s">
        <v>169</v>
      </c>
      <c r="T237" s="3">
        <v>45525.667759340278</v>
      </c>
      <c r="U237" s="3">
        <v>45525.667759340278</v>
      </c>
    </row>
    <row r="238" spans="1:21" x14ac:dyDescent="0.2">
      <c r="A238" s="2" t="str">
        <f>HYPERLINK("https://portal.hubmapconsortium.org/browse/sample/f2c5433adf15988fe91522f104cde1e4", "HBM777.BNFR.882")</f>
        <v>HBM777.BNFR.882</v>
      </c>
      <c r="B238" t="s">
        <v>571</v>
      </c>
      <c r="C238" t="s">
        <v>589</v>
      </c>
      <c r="D238" s="2" t="b">
        <v>0</v>
      </c>
      <c r="E238" s="2" t="str">
        <f t="shared" si="14"/>
        <v>HBM346.FQHN.263</v>
      </c>
      <c r="F238" t="s">
        <v>625</v>
      </c>
      <c r="J238" t="s">
        <v>626</v>
      </c>
      <c r="K238" t="s">
        <v>20</v>
      </c>
      <c r="L238" t="s">
        <v>21</v>
      </c>
      <c r="M238" t="s">
        <v>22</v>
      </c>
      <c r="N238" s="2" t="b">
        <v>0</v>
      </c>
      <c r="O238" s="2" t="s">
        <v>166</v>
      </c>
      <c r="P238" t="s">
        <v>77</v>
      </c>
      <c r="Q238" t="s">
        <v>183</v>
      </c>
      <c r="R238" t="s">
        <v>184</v>
      </c>
      <c r="S238" t="s">
        <v>169</v>
      </c>
      <c r="T238" s="3">
        <v>45525.66777576389</v>
      </c>
      <c r="U238" s="3">
        <v>45525.66777576389</v>
      </c>
    </row>
    <row r="239" spans="1:21" x14ac:dyDescent="0.2">
      <c r="A239" s="2" t="str">
        <f>HYPERLINK("https://portal.hubmapconsortium.org/browse/sample/16ef974b199ec4d373602e054fc11941", "HBM865.NVWK.885")</f>
        <v>HBM865.NVWK.885</v>
      </c>
      <c r="B239" t="s">
        <v>571</v>
      </c>
      <c r="C239" t="s">
        <v>589</v>
      </c>
      <c r="D239" s="2" t="b">
        <v>0</v>
      </c>
      <c r="E239" s="2" t="str">
        <f t="shared" si="14"/>
        <v>HBM346.FQHN.263</v>
      </c>
      <c r="F239" t="s">
        <v>627</v>
      </c>
      <c r="J239" t="s">
        <v>628</v>
      </c>
      <c r="K239" t="s">
        <v>20</v>
      </c>
      <c r="L239" t="s">
        <v>21</v>
      </c>
      <c r="M239" t="s">
        <v>22</v>
      </c>
      <c r="N239" s="2" t="b">
        <v>0</v>
      </c>
      <c r="O239" s="2" t="s">
        <v>166</v>
      </c>
      <c r="P239" t="s">
        <v>77</v>
      </c>
      <c r="Q239" t="s">
        <v>183</v>
      </c>
      <c r="R239" t="s">
        <v>184</v>
      </c>
      <c r="S239" t="s">
        <v>169</v>
      </c>
      <c r="T239" s="3">
        <v>45525.667792361113</v>
      </c>
      <c r="U239" s="3">
        <v>45525.667792361113</v>
      </c>
    </row>
    <row r="240" spans="1:21" x14ac:dyDescent="0.2">
      <c r="A240" s="2" t="str">
        <f>HYPERLINK("https://portal.hubmapconsortium.org/browse/sample/c90631caffd614d0e0368d3f14a6bb83", "HBM564.HGNS.436")</f>
        <v>HBM564.HGNS.436</v>
      </c>
      <c r="B240" t="s">
        <v>571</v>
      </c>
      <c r="C240" t="s">
        <v>589</v>
      </c>
      <c r="D240" s="2" t="b">
        <v>0</v>
      </c>
      <c r="E240" s="2" t="str">
        <f t="shared" si="14"/>
        <v>HBM346.FQHN.263</v>
      </c>
      <c r="F240" t="s">
        <v>629</v>
      </c>
      <c r="J240" t="s">
        <v>630</v>
      </c>
      <c r="K240" t="s">
        <v>20</v>
      </c>
      <c r="L240" t="s">
        <v>21</v>
      </c>
      <c r="M240" t="s">
        <v>22</v>
      </c>
      <c r="N240" s="2" t="b">
        <v>0</v>
      </c>
      <c r="O240" s="2" t="s">
        <v>166</v>
      </c>
      <c r="P240" t="s">
        <v>24</v>
      </c>
      <c r="Q240" t="s">
        <v>183</v>
      </c>
      <c r="R240" t="s">
        <v>184</v>
      </c>
      <c r="S240" t="s">
        <v>169</v>
      </c>
      <c r="T240" s="3">
        <v>45525.667808449078</v>
      </c>
      <c r="U240" s="3">
        <v>45525.667808449078</v>
      </c>
    </row>
    <row r="241" spans="1:21" x14ac:dyDescent="0.2">
      <c r="A241" s="2" t="str">
        <f>HYPERLINK("https://portal.hubmapconsortium.org/browse/sample/99bac08c034c98314505652c4130802e", "HBM669.WSDL.445")</f>
        <v>HBM669.WSDL.445</v>
      </c>
      <c r="B241" t="s">
        <v>571</v>
      </c>
      <c r="C241" t="s">
        <v>589</v>
      </c>
      <c r="D241" s="2" t="b">
        <v>0</v>
      </c>
      <c r="E241" s="2" t="str">
        <f t="shared" si="14"/>
        <v>HBM346.FQHN.263</v>
      </c>
      <c r="F241" t="s">
        <v>633</v>
      </c>
      <c r="J241" t="s">
        <v>595</v>
      </c>
      <c r="K241" t="s">
        <v>20</v>
      </c>
      <c r="L241" t="s">
        <v>21</v>
      </c>
      <c r="M241" t="s">
        <v>22</v>
      </c>
      <c r="N241" s="2" t="b">
        <v>0</v>
      </c>
      <c r="O241" s="2" t="s">
        <v>166</v>
      </c>
      <c r="P241" t="s">
        <v>77</v>
      </c>
      <c r="Q241" t="s">
        <v>183</v>
      </c>
      <c r="R241" t="s">
        <v>184</v>
      </c>
      <c r="S241" t="s">
        <v>169</v>
      </c>
      <c r="T241" s="3">
        <v>45525.667825879631</v>
      </c>
      <c r="U241" s="3">
        <v>45525.667825879631</v>
      </c>
    </row>
    <row r="242" spans="1:21" x14ac:dyDescent="0.2">
      <c r="A242" s="2" t="str">
        <f>HYPERLINK("https://portal.hubmapconsortium.org/browse/sample/a64cfb0a378533e62376652350d955fa", "HBM587.LSLQ.947")</f>
        <v>HBM587.LSLQ.947</v>
      </c>
      <c r="B242" t="s">
        <v>571</v>
      </c>
      <c r="C242" t="s">
        <v>589</v>
      </c>
      <c r="D242" s="2" t="b">
        <v>0</v>
      </c>
      <c r="E242" s="2" t="str">
        <f t="shared" si="14"/>
        <v>HBM346.FQHN.263</v>
      </c>
      <c r="F242" t="s">
        <v>634</v>
      </c>
      <c r="J242" t="s">
        <v>597</v>
      </c>
      <c r="K242" t="s">
        <v>20</v>
      </c>
      <c r="L242" t="s">
        <v>21</v>
      </c>
      <c r="M242" t="s">
        <v>22</v>
      </c>
      <c r="N242" s="2" t="b">
        <v>0</v>
      </c>
      <c r="O242" s="2" t="s">
        <v>166</v>
      </c>
      <c r="P242" t="s">
        <v>77</v>
      </c>
      <c r="Q242" t="s">
        <v>183</v>
      </c>
      <c r="R242" t="s">
        <v>184</v>
      </c>
      <c r="S242" t="s">
        <v>169</v>
      </c>
      <c r="T242" s="3">
        <v>45525.667842430557</v>
      </c>
      <c r="U242" s="3">
        <v>45525.667842430557</v>
      </c>
    </row>
    <row r="243" spans="1:21" x14ac:dyDescent="0.2">
      <c r="A243" s="2" t="str">
        <f>HYPERLINK("https://portal.hubmapconsortium.org/browse/sample/be5d35cd0338d237c2ee904705d65b03", "HBM763.XPVG.257")</f>
        <v>HBM763.XPVG.257</v>
      </c>
      <c r="B243" t="s">
        <v>571</v>
      </c>
      <c r="C243" t="s">
        <v>589</v>
      </c>
      <c r="D243" s="2" t="b">
        <v>0</v>
      </c>
      <c r="E243" s="2" t="str">
        <f t="shared" si="14"/>
        <v>HBM346.FQHN.263</v>
      </c>
      <c r="F243" t="s">
        <v>635</v>
      </c>
      <c r="J243" t="s">
        <v>599</v>
      </c>
      <c r="K243" t="s">
        <v>20</v>
      </c>
      <c r="L243" t="s">
        <v>21</v>
      </c>
      <c r="M243" t="s">
        <v>22</v>
      </c>
      <c r="N243" s="2" t="b">
        <v>0</v>
      </c>
      <c r="O243" s="2" t="s">
        <v>166</v>
      </c>
      <c r="P243" t="s">
        <v>77</v>
      </c>
      <c r="Q243" t="s">
        <v>183</v>
      </c>
      <c r="R243" t="s">
        <v>184</v>
      </c>
      <c r="S243" t="s">
        <v>169</v>
      </c>
      <c r="T243" s="3">
        <v>45525.667859016197</v>
      </c>
      <c r="U243" s="3">
        <v>45525.667859016197</v>
      </c>
    </row>
    <row r="244" spans="1:21" x14ac:dyDescent="0.2">
      <c r="A244" s="2" t="str">
        <f>HYPERLINK("https://portal.hubmapconsortium.org/browse/sample/3e21f93e7c978923502e077fdc4a1c50", "HBM597.ZSCC.247")</f>
        <v>HBM597.ZSCC.247</v>
      </c>
      <c r="B244" t="s">
        <v>571</v>
      </c>
      <c r="C244" t="s">
        <v>589</v>
      </c>
      <c r="D244" s="2" t="b">
        <v>0</v>
      </c>
      <c r="E244" s="2" t="str">
        <f t="shared" si="14"/>
        <v>HBM346.FQHN.263</v>
      </c>
      <c r="F244" t="s">
        <v>636</v>
      </c>
      <c r="J244" t="s">
        <v>601</v>
      </c>
      <c r="K244" t="s">
        <v>20</v>
      </c>
      <c r="L244" t="s">
        <v>21</v>
      </c>
      <c r="M244" t="s">
        <v>22</v>
      </c>
      <c r="N244" s="2" t="b">
        <v>0</v>
      </c>
      <c r="O244" s="2" t="s">
        <v>166</v>
      </c>
      <c r="P244" t="s">
        <v>24</v>
      </c>
      <c r="Q244" t="s">
        <v>183</v>
      </c>
      <c r="R244" t="s">
        <v>184</v>
      </c>
      <c r="S244" t="s">
        <v>169</v>
      </c>
      <c r="T244" s="3">
        <v>45525.667876284722</v>
      </c>
      <c r="U244" s="3">
        <v>45525.667876284722</v>
      </c>
    </row>
    <row r="245" spans="1:21" x14ac:dyDescent="0.2">
      <c r="A245" s="2" t="str">
        <f>HYPERLINK("https://portal.hubmapconsortium.org/browse/sample/7349bda1038639af79fe20a3333d437c", "HBM425.TWKC.979")</f>
        <v>HBM425.TWKC.979</v>
      </c>
      <c r="B245" t="s">
        <v>571</v>
      </c>
      <c r="C245" t="s">
        <v>589</v>
      </c>
      <c r="D245" s="2" t="b">
        <v>0</v>
      </c>
      <c r="E245" s="2" t="str">
        <f t="shared" si="14"/>
        <v>HBM346.FQHN.263</v>
      </c>
      <c r="F245" t="s">
        <v>639</v>
      </c>
      <c r="J245" t="s">
        <v>605</v>
      </c>
      <c r="K245" t="s">
        <v>20</v>
      </c>
      <c r="L245" t="s">
        <v>21</v>
      </c>
      <c r="M245" t="s">
        <v>22</v>
      </c>
      <c r="N245" s="2" t="b">
        <v>0</v>
      </c>
      <c r="O245" s="2" t="s">
        <v>166</v>
      </c>
      <c r="P245" t="s">
        <v>77</v>
      </c>
      <c r="Q245" t="s">
        <v>183</v>
      </c>
      <c r="R245" t="s">
        <v>184</v>
      </c>
      <c r="S245" t="s">
        <v>169</v>
      </c>
      <c r="T245" s="3">
        <v>45525.667893923608</v>
      </c>
      <c r="U245" s="3">
        <v>45525.667893923608</v>
      </c>
    </row>
    <row r="246" spans="1:21" x14ac:dyDescent="0.2">
      <c r="A246" s="2" t="str">
        <f>HYPERLINK("https://portal.hubmapconsortium.org/browse/sample/606cfe87284e90b4a8a06faaa3d421f7", "HBM697.SCGB.562")</f>
        <v>HBM697.SCGB.562</v>
      </c>
      <c r="B246" t="s">
        <v>571</v>
      </c>
      <c r="C246" t="s">
        <v>589</v>
      </c>
      <c r="D246" s="2" t="b">
        <v>0</v>
      </c>
      <c r="E246" s="2" t="str">
        <f t="shared" si="14"/>
        <v>HBM346.FQHN.263</v>
      </c>
      <c r="F246" t="s">
        <v>640</v>
      </c>
      <c r="J246" t="s">
        <v>607</v>
      </c>
      <c r="K246" t="s">
        <v>20</v>
      </c>
      <c r="L246" t="s">
        <v>21</v>
      </c>
      <c r="M246" t="s">
        <v>22</v>
      </c>
      <c r="N246" s="2" t="b">
        <v>0</v>
      </c>
      <c r="O246" s="2" t="s">
        <v>166</v>
      </c>
      <c r="P246" t="s">
        <v>77</v>
      </c>
      <c r="Q246" t="s">
        <v>183</v>
      </c>
      <c r="R246" t="s">
        <v>184</v>
      </c>
      <c r="S246" t="s">
        <v>169</v>
      </c>
      <c r="T246" s="3">
        <v>45525.667911412027</v>
      </c>
      <c r="U246" s="3">
        <v>45525.667911412027</v>
      </c>
    </row>
    <row r="247" spans="1:21" x14ac:dyDescent="0.2">
      <c r="A247" s="2" t="str">
        <f>HYPERLINK("https://portal.hubmapconsortium.org/browse/sample/6e8bf8ad308142acd0a37aa25b91eb0b", "HBM745.FLGF.644")</f>
        <v>HBM745.FLGF.644</v>
      </c>
      <c r="B247" t="s">
        <v>571</v>
      </c>
      <c r="C247" t="s">
        <v>589</v>
      </c>
      <c r="D247" s="2" t="b">
        <v>0</v>
      </c>
      <c r="E247" s="2" t="str">
        <f t="shared" si="14"/>
        <v>HBM346.FQHN.263</v>
      </c>
      <c r="F247" t="s">
        <v>641</v>
      </c>
      <c r="J247" t="s">
        <v>609</v>
      </c>
      <c r="K247" t="s">
        <v>20</v>
      </c>
      <c r="L247" t="s">
        <v>21</v>
      </c>
      <c r="M247" t="s">
        <v>22</v>
      </c>
      <c r="N247" s="2" t="b">
        <v>0</v>
      </c>
      <c r="O247" s="2" t="s">
        <v>166</v>
      </c>
      <c r="P247" t="s">
        <v>77</v>
      </c>
      <c r="Q247" t="s">
        <v>183</v>
      </c>
      <c r="R247" t="s">
        <v>184</v>
      </c>
      <c r="S247" t="s">
        <v>169</v>
      </c>
      <c r="T247" s="3">
        <v>45525.667928807867</v>
      </c>
      <c r="U247" s="3">
        <v>45525.667928807867</v>
      </c>
    </row>
    <row r="248" spans="1:21" x14ac:dyDescent="0.2">
      <c r="A248" s="2" t="str">
        <f>HYPERLINK("https://portal.hubmapconsortium.org/browse/sample/b01f1885faf3607a7e79bc90e1455184", "HBM828.DQBM.232")</f>
        <v>HBM828.DQBM.232</v>
      </c>
      <c r="B248" t="s">
        <v>571</v>
      </c>
      <c r="C248" t="s">
        <v>589</v>
      </c>
      <c r="D248" s="2" t="b">
        <v>0</v>
      </c>
      <c r="E248" s="2" t="str">
        <f t="shared" si="14"/>
        <v>HBM346.FQHN.263</v>
      </c>
      <c r="F248" t="s">
        <v>642</v>
      </c>
      <c r="J248" t="s">
        <v>611</v>
      </c>
      <c r="K248" t="s">
        <v>20</v>
      </c>
      <c r="L248" t="s">
        <v>21</v>
      </c>
      <c r="M248" t="s">
        <v>22</v>
      </c>
      <c r="N248" s="2" t="b">
        <v>0</v>
      </c>
      <c r="O248" s="2" t="s">
        <v>166</v>
      </c>
      <c r="P248" t="s">
        <v>24</v>
      </c>
      <c r="Q248" t="s">
        <v>183</v>
      </c>
      <c r="R248" t="s">
        <v>184</v>
      </c>
      <c r="S248" t="s">
        <v>169</v>
      </c>
      <c r="T248" s="3">
        <v>45525.667945127323</v>
      </c>
      <c r="U248" s="3">
        <v>45525.667945127323</v>
      </c>
    </row>
    <row r="249" spans="1:21" x14ac:dyDescent="0.2">
      <c r="A249" s="2" t="str">
        <f>HYPERLINK("https://portal.hubmapconsortium.org/browse/sample/ccea03cd5ab03e4408d2b8b88f2afddb", "HBM968.BQXL.338")</f>
        <v>HBM968.BQXL.338</v>
      </c>
      <c r="B249" t="s">
        <v>571</v>
      </c>
      <c r="C249" t="s">
        <v>589</v>
      </c>
      <c r="D249" s="2" t="b">
        <v>0</v>
      </c>
      <c r="E249" s="2" t="str">
        <f t="shared" si="14"/>
        <v>HBM346.FQHN.263</v>
      </c>
      <c r="F249" t="s">
        <v>645</v>
      </c>
      <c r="J249" t="s">
        <v>615</v>
      </c>
      <c r="K249" t="s">
        <v>20</v>
      </c>
      <c r="L249" t="s">
        <v>21</v>
      </c>
      <c r="M249" t="s">
        <v>22</v>
      </c>
      <c r="N249" s="2" t="b">
        <v>0</v>
      </c>
      <c r="O249" s="2" t="s">
        <v>166</v>
      </c>
      <c r="P249" t="s">
        <v>77</v>
      </c>
      <c r="Q249" t="s">
        <v>183</v>
      </c>
      <c r="R249" t="s">
        <v>184</v>
      </c>
      <c r="S249" t="s">
        <v>169</v>
      </c>
      <c r="T249" s="3">
        <v>45525.667967719914</v>
      </c>
      <c r="U249" s="3">
        <v>45525.667967719914</v>
      </c>
    </row>
    <row r="250" spans="1:21" x14ac:dyDescent="0.2">
      <c r="A250" s="2" t="str">
        <f>HYPERLINK("https://portal.hubmapconsortium.org/browse/sample/5b351191addc0a6446631c9fecf91a61", "HBM473.TJXJ.772")</f>
        <v>HBM473.TJXJ.772</v>
      </c>
      <c r="B250" t="s">
        <v>571</v>
      </c>
      <c r="C250" t="s">
        <v>589</v>
      </c>
      <c r="D250" s="2" t="b">
        <v>0</v>
      </c>
      <c r="E250" s="2" t="str">
        <f t="shared" si="14"/>
        <v>HBM346.FQHN.263</v>
      </c>
      <c r="F250" t="s">
        <v>646</v>
      </c>
      <c r="J250" t="s">
        <v>617</v>
      </c>
      <c r="K250" t="s">
        <v>20</v>
      </c>
      <c r="L250" t="s">
        <v>21</v>
      </c>
      <c r="M250" t="s">
        <v>22</v>
      </c>
      <c r="N250" s="2" t="b">
        <v>0</v>
      </c>
      <c r="O250" s="2" t="s">
        <v>166</v>
      </c>
      <c r="P250" t="s">
        <v>77</v>
      </c>
      <c r="Q250" t="s">
        <v>183</v>
      </c>
      <c r="R250" t="s">
        <v>184</v>
      </c>
      <c r="S250" t="s">
        <v>169</v>
      </c>
      <c r="T250" s="3">
        <v>45525.667983530089</v>
      </c>
      <c r="U250" s="3">
        <v>45525.667983530089</v>
      </c>
    </row>
    <row r="251" spans="1:21" x14ac:dyDescent="0.2">
      <c r="A251" s="2" t="str">
        <f>HYPERLINK("https://portal.hubmapconsortium.org/browse/sample/ea3656156f46b75c7a42c286a1191c5b", "HBM696.CCGS.524")</f>
        <v>HBM696.CCGS.524</v>
      </c>
      <c r="B251" t="s">
        <v>571</v>
      </c>
      <c r="C251" t="s">
        <v>589</v>
      </c>
      <c r="D251" s="2" t="b">
        <v>0</v>
      </c>
      <c r="E251" s="2" t="str">
        <f t="shared" si="14"/>
        <v>HBM346.FQHN.263</v>
      </c>
      <c r="F251" t="s">
        <v>647</v>
      </c>
      <c r="J251" t="s">
        <v>619</v>
      </c>
      <c r="K251" t="s">
        <v>20</v>
      </c>
      <c r="L251" t="s">
        <v>21</v>
      </c>
      <c r="M251" t="s">
        <v>22</v>
      </c>
      <c r="N251" s="2" t="b">
        <v>0</v>
      </c>
      <c r="O251" s="2" t="s">
        <v>166</v>
      </c>
      <c r="P251" t="s">
        <v>77</v>
      </c>
      <c r="Q251" t="s">
        <v>183</v>
      </c>
      <c r="R251" t="s">
        <v>184</v>
      </c>
      <c r="S251" t="s">
        <v>169</v>
      </c>
      <c r="T251" s="3">
        <v>45525.667999722224</v>
      </c>
      <c r="U251" s="3">
        <v>45525.667999722224</v>
      </c>
    </row>
    <row r="252" spans="1:21" x14ac:dyDescent="0.2">
      <c r="A252" s="2" t="str">
        <f>HYPERLINK("https://portal.hubmapconsortium.org/browse/sample/8a451ca8b90b421002ffc228b4930e10", "HBM352.KQCX.726")</f>
        <v>HBM352.KQCX.726</v>
      </c>
      <c r="B252" t="s">
        <v>571</v>
      </c>
      <c r="C252" t="s">
        <v>589</v>
      </c>
      <c r="D252" s="2" t="b">
        <v>0</v>
      </c>
      <c r="E252" s="2" t="str">
        <f t="shared" si="14"/>
        <v>HBM346.FQHN.263</v>
      </c>
      <c r="F252" t="s">
        <v>648</v>
      </c>
      <c r="J252" t="s">
        <v>621</v>
      </c>
      <c r="K252" t="s">
        <v>20</v>
      </c>
      <c r="L252" t="s">
        <v>21</v>
      </c>
      <c r="M252" t="s">
        <v>22</v>
      </c>
      <c r="N252" s="2" t="b">
        <v>0</v>
      </c>
      <c r="O252" s="2" t="s">
        <v>166</v>
      </c>
      <c r="P252" t="s">
        <v>24</v>
      </c>
      <c r="Q252" t="s">
        <v>183</v>
      </c>
      <c r="R252" t="s">
        <v>184</v>
      </c>
      <c r="S252" t="s">
        <v>169</v>
      </c>
      <c r="T252" s="3">
        <v>45525.668016875003</v>
      </c>
      <c r="U252" s="3">
        <v>45525.668016875003</v>
      </c>
    </row>
    <row r="253" spans="1:21" x14ac:dyDescent="0.2">
      <c r="A253" s="2" t="str">
        <f>HYPERLINK("https://portal.hubmapconsortium.org/browse/sample/0b106ca7bf9c0b5ae9c578923ca0475a", "HBM574.SXVH.565")</f>
        <v>HBM574.SXVH.565</v>
      </c>
      <c r="B253" t="s">
        <v>571</v>
      </c>
      <c r="C253" t="s">
        <v>589</v>
      </c>
      <c r="D253" s="2" t="b">
        <v>0</v>
      </c>
      <c r="E253" s="2" t="str">
        <f t="shared" si="14"/>
        <v>HBM346.FQHN.263</v>
      </c>
      <c r="F253" t="s">
        <v>650</v>
      </c>
      <c r="J253" t="s">
        <v>624</v>
      </c>
      <c r="K253" t="s">
        <v>20</v>
      </c>
      <c r="L253" t="s">
        <v>21</v>
      </c>
      <c r="M253" t="s">
        <v>22</v>
      </c>
      <c r="N253" s="2" t="b">
        <v>0</v>
      </c>
      <c r="O253" s="2" t="s">
        <v>166</v>
      </c>
      <c r="P253" t="s">
        <v>77</v>
      </c>
      <c r="Q253" t="s">
        <v>183</v>
      </c>
      <c r="R253" t="s">
        <v>184</v>
      </c>
      <c r="S253" t="s">
        <v>169</v>
      </c>
      <c r="T253" s="3">
        <v>45525.668032569447</v>
      </c>
      <c r="U253" s="3">
        <v>45525.668032569447</v>
      </c>
    </row>
    <row r="254" spans="1:21" x14ac:dyDescent="0.2">
      <c r="A254" s="2" t="str">
        <f>HYPERLINK("https://portal.hubmapconsortium.org/browse/sample/810b28b6a58202a5c1c29e0d4c04291e", "HBM453.FZMQ.547")</f>
        <v>HBM453.FZMQ.547</v>
      </c>
      <c r="B254" t="s">
        <v>571</v>
      </c>
      <c r="C254" t="s">
        <v>589</v>
      </c>
      <c r="D254" s="2" t="b">
        <v>0</v>
      </c>
      <c r="E254" s="2" t="str">
        <f t="shared" si="14"/>
        <v>HBM346.FQHN.263</v>
      </c>
      <c r="F254" t="s">
        <v>651</v>
      </c>
      <c r="J254" t="s">
        <v>626</v>
      </c>
      <c r="K254" t="s">
        <v>20</v>
      </c>
      <c r="L254" t="s">
        <v>21</v>
      </c>
      <c r="M254" t="s">
        <v>22</v>
      </c>
      <c r="N254" s="2" t="b">
        <v>0</v>
      </c>
      <c r="O254" s="2" t="s">
        <v>166</v>
      </c>
      <c r="P254" t="s">
        <v>77</v>
      </c>
      <c r="Q254" t="s">
        <v>183</v>
      </c>
      <c r="R254" t="s">
        <v>184</v>
      </c>
      <c r="S254" t="s">
        <v>169</v>
      </c>
      <c r="T254" s="3">
        <v>45525.66804971065</v>
      </c>
      <c r="U254" s="3">
        <v>45525.66804971065</v>
      </c>
    </row>
    <row r="255" spans="1:21" x14ac:dyDescent="0.2">
      <c r="A255" s="2" t="str">
        <f>HYPERLINK("https://portal.hubmapconsortium.org/browse/sample/da6e629541ac1746a4927f8875f85005", "HBM562.MLRF.668")</f>
        <v>HBM562.MLRF.668</v>
      </c>
      <c r="B255" t="s">
        <v>571</v>
      </c>
      <c r="C255" t="s">
        <v>589</v>
      </c>
      <c r="D255" s="2" t="b">
        <v>0</v>
      </c>
      <c r="E255" s="2" t="str">
        <f t="shared" si="14"/>
        <v>HBM346.FQHN.263</v>
      </c>
      <c r="F255" t="s">
        <v>652</v>
      </c>
      <c r="J255" t="s">
        <v>628</v>
      </c>
      <c r="K255" t="s">
        <v>20</v>
      </c>
      <c r="L255" t="s">
        <v>21</v>
      </c>
      <c r="M255" t="s">
        <v>22</v>
      </c>
      <c r="N255" s="2" t="b">
        <v>0</v>
      </c>
      <c r="O255" s="2" t="s">
        <v>166</v>
      </c>
      <c r="P255" t="s">
        <v>77</v>
      </c>
      <c r="Q255" t="s">
        <v>183</v>
      </c>
      <c r="R255" t="s">
        <v>184</v>
      </c>
      <c r="S255" t="s">
        <v>169</v>
      </c>
      <c r="T255" s="3">
        <v>45525.668067997693</v>
      </c>
      <c r="U255" s="3">
        <v>45525.668067997693</v>
      </c>
    </row>
    <row r="256" spans="1:21" x14ac:dyDescent="0.2">
      <c r="A256" s="2" t="str">
        <f>HYPERLINK("https://portal.hubmapconsortium.org/browse/sample/d66382bbb534adfee0d21b8ce6895a9f", "HBM578.CRPX.572")</f>
        <v>HBM578.CRPX.572</v>
      </c>
      <c r="B256" t="s">
        <v>571</v>
      </c>
      <c r="C256" t="s">
        <v>589</v>
      </c>
      <c r="D256" s="2" t="b">
        <v>0</v>
      </c>
      <c r="E256" s="2" t="str">
        <f t="shared" si="14"/>
        <v>HBM346.FQHN.263</v>
      </c>
      <c r="F256" t="s">
        <v>653</v>
      </c>
      <c r="J256" t="s">
        <v>630</v>
      </c>
      <c r="K256" t="s">
        <v>20</v>
      </c>
      <c r="L256" t="s">
        <v>21</v>
      </c>
      <c r="M256" t="s">
        <v>22</v>
      </c>
      <c r="N256" s="2" t="b">
        <v>0</v>
      </c>
      <c r="O256" s="2" t="s">
        <v>166</v>
      </c>
      <c r="P256" t="s">
        <v>24</v>
      </c>
      <c r="Q256" t="s">
        <v>183</v>
      </c>
      <c r="R256" t="s">
        <v>184</v>
      </c>
      <c r="S256" t="s">
        <v>169</v>
      </c>
      <c r="T256" s="3">
        <v>45525.668086064812</v>
      </c>
      <c r="U256" s="3">
        <v>45525.668086064812</v>
      </c>
    </row>
    <row r="257" spans="1:21" x14ac:dyDescent="0.2">
      <c r="A257" s="2" t="str">
        <f>HYPERLINK("https://portal.hubmapconsortium.org/browse/sample/dd6c9a863ee9e85c7617b0d5b2c5f447", "HBM498.DPPB.549")</f>
        <v>HBM498.DPPB.549</v>
      </c>
      <c r="B257" t="s">
        <v>571</v>
      </c>
      <c r="C257" t="s">
        <v>589</v>
      </c>
      <c r="D257" s="2" t="b">
        <v>0</v>
      </c>
      <c r="E257" s="2" t="str">
        <f t="shared" ref="E257:E288" si="15">HYPERLINK("https://portal.hubmapconsortium.org/browse/sample/4037bc931cabe8556ee08b0cc44ccf22", "HBM346.FQHN.263")</f>
        <v>HBM346.FQHN.263</v>
      </c>
      <c r="F257" t="s">
        <v>657</v>
      </c>
      <c r="J257" t="s">
        <v>658</v>
      </c>
      <c r="K257" t="s">
        <v>20</v>
      </c>
      <c r="L257" t="s">
        <v>21</v>
      </c>
      <c r="M257" t="s">
        <v>22</v>
      </c>
      <c r="N257" s="2" t="b">
        <v>0</v>
      </c>
      <c r="O257" s="2" t="s">
        <v>166</v>
      </c>
      <c r="P257" t="s">
        <v>77</v>
      </c>
      <c r="Q257" t="s">
        <v>183</v>
      </c>
      <c r="R257" t="s">
        <v>184</v>
      </c>
      <c r="S257" t="s">
        <v>169</v>
      </c>
      <c r="T257" s="3">
        <v>45525.862404444437</v>
      </c>
      <c r="U257" s="3">
        <v>45525.862404444437</v>
      </c>
    </row>
    <row r="258" spans="1:21" x14ac:dyDescent="0.2">
      <c r="A258" s="2" t="str">
        <f>HYPERLINK("https://portal.hubmapconsortium.org/browse/sample/109c4ea7294267718ec0615a8973c68f", "HBM456.ZNRR.847")</f>
        <v>HBM456.ZNRR.847</v>
      </c>
      <c r="B258" t="s">
        <v>571</v>
      </c>
      <c r="C258" t="s">
        <v>589</v>
      </c>
      <c r="D258" s="2" t="b">
        <v>0</v>
      </c>
      <c r="E258" s="2" t="str">
        <f t="shared" si="15"/>
        <v>HBM346.FQHN.263</v>
      </c>
      <c r="F258" t="s">
        <v>659</v>
      </c>
      <c r="J258" t="s">
        <v>660</v>
      </c>
      <c r="K258" t="s">
        <v>20</v>
      </c>
      <c r="L258" t="s">
        <v>21</v>
      </c>
      <c r="M258" t="s">
        <v>22</v>
      </c>
      <c r="N258" s="2" t="b">
        <v>0</v>
      </c>
      <c r="O258" s="2" t="s">
        <v>166</v>
      </c>
      <c r="P258" t="s">
        <v>77</v>
      </c>
      <c r="Q258" t="s">
        <v>183</v>
      </c>
      <c r="R258" t="s">
        <v>184</v>
      </c>
      <c r="S258" t="s">
        <v>169</v>
      </c>
      <c r="T258" s="3">
        <v>45525.862423749997</v>
      </c>
      <c r="U258" s="3">
        <v>45525.862423749997</v>
      </c>
    </row>
    <row r="259" spans="1:21" x14ac:dyDescent="0.2">
      <c r="A259" s="2" t="str">
        <f>HYPERLINK("https://portal.hubmapconsortium.org/browse/sample/5a9e77ce56d478f419a92a6534a3c3e8", "HBM244.WPNV.324")</f>
        <v>HBM244.WPNV.324</v>
      </c>
      <c r="B259" t="s">
        <v>571</v>
      </c>
      <c r="C259" t="s">
        <v>589</v>
      </c>
      <c r="D259" s="2" t="b">
        <v>0</v>
      </c>
      <c r="E259" s="2" t="str">
        <f t="shared" si="15"/>
        <v>HBM346.FQHN.263</v>
      </c>
      <c r="F259" t="s">
        <v>661</v>
      </c>
      <c r="J259" t="s">
        <v>662</v>
      </c>
      <c r="K259" t="s">
        <v>20</v>
      </c>
      <c r="L259" t="s">
        <v>21</v>
      </c>
      <c r="M259" t="s">
        <v>22</v>
      </c>
      <c r="N259" s="2" t="b">
        <v>0</v>
      </c>
      <c r="O259" s="2" t="s">
        <v>166</v>
      </c>
      <c r="P259" t="s">
        <v>77</v>
      </c>
      <c r="Q259" t="s">
        <v>183</v>
      </c>
      <c r="R259" t="s">
        <v>184</v>
      </c>
      <c r="S259" t="s">
        <v>169</v>
      </c>
      <c r="T259" s="3">
        <v>45525.862439027776</v>
      </c>
      <c r="U259" s="3">
        <v>45525.862439027776</v>
      </c>
    </row>
    <row r="260" spans="1:21" x14ac:dyDescent="0.2">
      <c r="A260" s="2" t="str">
        <f>HYPERLINK("https://portal.hubmapconsortium.org/browse/sample/43eb7747464adc3c8395d72545abdcdb", "HBM446.ZHHB.753")</f>
        <v>HBM446.ZHHB.753</v>
      </c>
      <c r="B260" t="s">
        <v>571</v>
      </c>
      <c r="C260" t="s">
        <v>589</v>
      </c>
      <c r="D260" s="2" t="b">
        <v>0</v>
      </c>
      <c r="E260" s="2" t="str">
        <f t="shared" si="15"/>
        <v>HBM346.FQHN.263</v>
      </c>
      <c r="F260" t="s">
        <v>663</v>
      </c>
      <c r="J260" t="s">
        <v>664</v>
      </c>
      <c r="K260" t="s">
        <v>20</v>
      </c>
      <c r="L260" t="s">
        <v>21</v>
      </c>
      <c r="M260" t="s">
        <v>22</v>
      </c>
      <c r="N260" s="2" t="b">
        <v>0</v>
      </c>
      <c r="O260" s="2" t="s">
        <v>166</v>
      </c>
      <c r="P260" t="s">
        <v>24</v>
      </c>
      <c r="Q260" t="s">
        <v>183</v>
      </c>
      <c r="R260" t="s">
        <v>184</v>
      </c>
      <c r="S260" t="s">
        <v>169</v>
      </c>
      <c r="T260" s="3">
        <v>45525.862453807873</v>
      </c>
      <c r="U260" s="3">
        <v>45525.862453807873</v>
      </c>
    </row>
    <row r="261" spans="1:21" x14ac:dyDescent="0.2">
      <c r="A261" s="2" t="str">
        <f>HYPERLINK("https://portal.hubmapconsortium.org/browse/sample/9be5f9454457d5325301fcef59c1dcc7", "HBM777.NLZM.834")</f>
        <v>HBM777.NLZM.834</v>
      </c>
      <c r="B261" t="s">
        <v>571</v>
      </c>
      <c r="C261" t="s">
        <v>589</v>
      </c>
      <c r="D261" s="2" t="b">
        <v>0</v>
      </c>
      <c r="E261" s="2" t="str">
        <f t="shared" si="15"/>
        <v>HBM346.FQHN.263</v>
      </c>
      <c r="F261" t="s">
        <v>667</v>
      </c>
      <c r="J261" t="s">
        <v>668</v>
      </c>
      <c r="K261" t="s">
        <v>20</v>
      </c>
      <c r="L261" t="s">
        <v>21</v>
      </c>
      <c r="M261" t="s">
        <v>22</v>
      </c>
      <c r="N261" s="2" t="b">
        <v>0</v>
      </c>
      <c r="O261" s="2" t="s">
        <v>166</v>
      </c>
      <c r="P261" t="s">
        <v>77</v>
      </c>
      <c r="Q261" t="s">
        <v>183</v>
      </c>
      <c r="R261" t="s">
        <v>184</v>
      </c>
      <c r="S261" t="s">
        <v>169</v>
      </c>
      <c r="T261" s="3">
        <v>45525.862480011572</v>
      </c>
      <c r="U261" s="3">
        <v>45525.862480011572</v>
      </c>
    </row>
    <row r="262" spans="1:21" x14ac:dyDescent="0.2">
      <c r="A262" s="2" t="str">
        <f>HYPERLINK("https://portal.hubmapconsortium.org/browse/sample/d6696fda60bbd67c487095f791ba82f6", "HBM868.RCKQ.673")</f>
        <v>HBM868.RCKQ.673</v>
      </c>
      <c r="B262" t="s">
        <v>571</v>
      </c>
      <c r="C262" t="s">
        <v>589</v>
      </c>
      <c r="D262" s="2" t="b">
        <v>0</v>
      </c>
      <c r="E262" s="2" t="str">
        <f t="shared" si="15"/>
        <v>HBM346.FQHN.263</v>
      </c>
      <c r="F262" t="s">
        <v>669</v>
      </c>
      <c r="J262" t="s">
        <v>670</v>
      </c>
      <c r="K262" t="s">
        <v>20</v>
      </c>
      <c r="L262" t="s">
        <v>21</v>
      </c>
      <c r="M262" t="s">
        <v>22</v>
      </c>
      <c r="N262" s="2" t="b">
        <v>0</v>
      </c>
      <c r="O262" s="2" t="s">
        <v>166</v>
      </c>
      <c r="P262" t="s">
        <v>77</v>
      </c>
      <c r="Q262" t="s">
        <v>183</v>
      </c>
      <c r="R262" t="s">
        <v>184</v>
      </c>
      <c r="S262" t="s">
        <v>169</v>
      </c>
      <c r="T262" s="3">
        <v>45525.862501099538</v>
      </c>
      <c r="U262" s="3">
        <v>45525.862501099538</v>
      </c>
    </row>
    <row r="263" spans="1:21" x14ac:dyDescent="0.2">
      <c r="A263" s="2" t="str">
        <f>HYPERLINK("https://portal.hubmapconsortium.org/browse/sample/f6ba3731828fa0c017934f5bc498fa1c", "HBM686.TJKJ.879")</f>
        <v>HBM686.TJKJ.879</v>
      </c>
      <c r="B263" t="s">
        <v>571</v>
      </c>
      <c r="C263" t="s">
        <v>589</v>
      </c>
      <c r="D263" s="2" t="b">
        <v>0</v>
      </c>
      <c r="E263" s="2" t="str">
        <f t="shared" si="15"/>
        <v>HBM346.FQHN.263</v>
      </c>
      <c r="F263" t="s">
        <v>671</v>
      </c>
      <c r="J263" t="s">
        <v>672</v>
      </c>
      <c r="K263" t="s">
        <v>20</v>
      </c>
      <c r="L263" t="s">
        <v>21</v>
      </c>
      <c r="M263" t="s">
        <v>22</v>
      </c>
      <c r="N263" s="2" t="b">
        <v>0</v>
      </c>
      <c r="O263" s="2" t="s">
        <v>166</v>
      </c>
      <c r="P263" t="s">
        <v>77</v>
      </c>
      <c r="Q263" t="s">
        <v>183</v>
      </c>
      <c r="R263" t="s">
        <v>184</v>
      </c>
      <c r="S263" t="s">
        <v>169</v>
      </c>
      <c r="T263" s="3">
        <v>45525.862520219911</v>
      </c>
      <c r="U263" s="3">
        <v>45525.862520219911</v>
      </c>
    </row>
    <row r="264" spans="1:21" x14ac:dyDescent="0.2">
      <c r="A264" s="2" t="str">
        <f>HYPERLINK("https://portal.hubmapconsortium.org/browse/sample/ed6814988259e8bb3ffe2d08bebaa286", "HBM564.DWVW.457")</f>
        <v>HBM564.DWVW.457</v>
      </c>
      <c r="B264" t="s">
        <v>571</v>
      </c>
      <c r="C264" t="s">
        <v>589</v>
      </c>
      <c r="D264" s="2" t="b">
        <v>0</v>
      </c>
      <c r="E264" s="2" t="str">
        <f t="shared" si="15"/>
        <v>HBM346.FQHN.263</v>
      </c>
      <c r="F264" t="s">
        <v>673</v>
      </c>
      <c r="J264" t="s">
        <v>674</v>
      </c>
      <c r="K264" t="s">
        <v>20</v>
      </c>
      <c r="L264" t="s">
        <v>21</v>
      </c>
      <c r="M264" t="s">
        <v>22</v>
      </c>
      <c r="N264" s="2" t="b">
        <v>0</v>
      </c>
      <c r="O264" s="2" t="s">
        <v>166</v>
      </c>
      <c r="P264" t="s">
        <v>24</v>
      </c>
      <c r="Q264" t="s">
        <v>183</v>
      </c>
      <c r="R264" t="s">
        <v>184</v>
      </c>
      <c r="S264" t="s">
        <v>169</v>
      </c>
      <c r="T264" s="3">
        <v>45525.862540532413</v>
      </c>
      <c r="U264" s="3">
        <v>45525.862540532413</v>
      </c>
    </row>
    <row r="265" spans="1:21" x14ac:dyDescent="0.2">
      <c r="A265" s="2" t="str">
        <f>HYPERLINK("https://portal.hubmapconsortium.org/browse/sample/75efde37f26c8036084822ad55262369", "HBM939.WMMT.889")</f>
        <v>HBM939.WMMT.889</v>
      </c>
      <c r="B265" t="s">
        <v>571</v>
      </c>
      <c r="C265" t="s">
        <v>589</v>
      </c>
      <c r="D265" s="2" t="b">
        <v>0</v>
      </c>
      <c r="E265" s="2" t="str">
        <f t="shared" si="15"/>
        <v>HBM346.FQHN.263</v>
      </c>
      <c r="F265" t="s">
        <v>677</v>
      </c>
      <c r="J265" t="s">
        <v>678</v>
      </c>
      <c r="K265" t="s">
        <v>20</v>
      </c>
      <c r="L265" t="s">
        <v>21</v>
      </c>
      <c r="M265" t="s">
        <v>22</v>
      </c>
      <c r="N265" s="2" t="b">
        <v>0</v>
      </c>
      <c r="O265" s="2" t="s">
        <v>166</v>
      </c>
      <c r="P265" t="s">
        <v>77</v>
      </c>
      <c r="Q265" t="s">
        <v>183</v>
      </c>
      <c r="R265" t="s">
        <v>184</v>
      </c>
      <c r="S265" t="s">
        <v>169</v>
      </c>
      <c r="T265" s="3">
        <v>45525.862565300929</v>
      </c>
      <c r="U265" s="3">
        <v>45525.862565300929</v>
      </c>
    </row>
    <row r="266" spans="1:21" x14ac:dyDescent="0.2">
      <c r="A266" s="2" t="str">
        <f>HYPERLINK("https://portal.hubmapconsortium.org/browse/sample/323e5aa8d84e76210201ffaa904adf29", "HBM542.MWXT.557")</f>
        <v>HBM542.MWXT.557</v>
      </c>
      <c r="B266" t="s">
        <v>571</v>
      </c>
      <c r="C266" t="s">
        <v>589</v>
      </c>
      <c r="D266" s="2" t="b">
        <v>0</v>
      </c>
      <c r="E266" s="2" t="str">
        <f t="shared" si="15"/>
        <v>HBM346.FQHN.263</v>
      </c>
      <c r="F266" t="s">
        <v>679</v>
      </c>
      <c r="J266" t="s">
        <v>680</v>
      </c>
      <c r="K266" t="s">
        <v>20</v>
      </c>
      <c r="L266" t="s">
        <v>21</v>
      </c>
      <c r="M266" t="s">
        <v>22</v>
      </c>
      <c r="N266" s="2" t="b">
        <v>0</v>
      </c>
      <c r="O266" s="2" t="s">
        <v>166</v>
      </c>
      <c r="P266" t="s">
        <v>77</v>
      </c>
      <c r="Q266" t="s">
        <v>183</v>
      </c>
      <c r="R266" t="s">
        <v>184</v>
      </c>
      <c r="S266" t="s">
        <v>169</v>
      </c>
      <c r="T266" s="3">
        <v>45525.8625828125</v>
      </c>
      <c r="U266" s="3">
        <v>45525.8625828125</v>
      </c>
    </row>
    <row r="267" spans="1:21" x14ac:dyDescent="0.2">
      <c r="A267" s="2" t="str">
        <f>HYPERLINK("https://portal.hubmapconsortium.org/browse/sample/ddb75c2a23fea20f4cbf3e45f9a8ea3b", "HBM668.FJTV.369")</f>
        <v>HBM668.FJTV.369</v>
      </c>
      <c r="B267" t="s">
        <v>571</v>
      </c>
      <c r="C267" t="s">
        <v>589</v>
      </c>
      <c r="D267" s="2" t="b">
        <v>0</v>
      </c>
      <c r="E267" s="2" t="str">
        <f t="shared" si="15"/>
        <v>HBM346.FQHN.263</v>
      </c>
      <c r="F267" t="s">
        <v>681</v>
      </c>
      <c r="J267" t="s">
        <v>682</v>
      </c>
      <c r="K267" t="s">
        <v>20</v>
      </c>
      <c r="L267" t="s">
        <v>21</v>
      </c>
      <c r="M267" t="s">
        <v>22</v>
      </c>
      <c r="N267" s="2" t="b">
        <v>0</v>
      </c>
      <c r="O267" s="2" t="s">
        <v>166</v>
      </c>
      <c r="P267" t="s">
        <v>77</v>
      </c>
      <c r="Q267" t="s">
        <v>183</v>
      </c>
      <c r="R267" t="s">
        <v>184</v>
      </c>
      <c r="S267" t="s">
        <v>169</v>
      </c>
      <c r="T267" s="3">
        <v>45525.862599652777</v>
      </c>
      <c r="U267" s="3">
        <v>45525.862599652777</v>
      </c>
    </row>
    <row r="268" spans="1:21" x14ac:dyDescent="0.2">
      <c r="A268" s="2" t="str">
        <f>HYPERLINK("https://portal.hubmapconsortium.org/browse/sample/97e464bf5d81cd958026886d012be43f", "HBM278.TXBC.735")</f>
        <v>HBM278.TXBC.735</v>
      </c>
      <c r="B268" t="s">
        <v>571</v>
      </c>
      <c r="C268" t="s">
        <v>589</v>
      </c>
      <c r="D268" s="2" t="b">
        <v>0</v>
      </c>
      <c r="E268" s="2" t="str">
        <f t="shared" si="15"/>
        <v>HBM346.FQHN.263</v>
      </c>
      <c r="F268" t="s">
        <v>683</v>
      </c>
      <c r="J268" t="s">
        <v>684</v>
      </c>
      <c r="K268" t="s">
        <v>20</v>
      </c>
      <c r="L268" t="s">
        <v>21</v>
      </c>
      <c r="M268" t="s">
        <v>22</v>
      </c>
      <c r="N268" s="2" t="b">
        <v>0</v>
      </c>
      <c r="O268" s="2" t="s">
        <v>166</v>
      </c>
      <c r="P268" t="s">
        <v>24</v>
      </c>
      <c r="Q268" t="s">
        <v>183</v>
      </c>
      <c r="R268" t="s">
        <v>184</v>
      </c>
      <c r="S268" t="s">
        <v>169</v>
      </c>
      <c r="T268" s="3">
        <v>45525.862616261576</v>
      </c>
      <c r="U268" s="3">
        <v>45525.862616261576</v>
      </c>
    </row>
    <row r="269" spans="1:21" x14ac:dyDescent="0.2">
      <c r="A269" s="2" t="str">
        <f>HYPERLINK("https://portal.hubmapconsortium.org/browse/sample/d3923c07f10d56fe7f0abfb28493f38d", "HBM972.KNVG.942")</f>
        <v>HBM972.KNVG.942</v>
      </c>
      <c r="B269" t="s">
        <v>571</v>
      </c>
      <c r="C269" t="s">
        <v>589</v>
      </c>
      <c r="D269" s="2" t="b">
        <v>0</v>
      </c>
      <c r="E269" s="2" t="str">
        <f t="shared" si="15"/>
        <v>HBM346.FQHN.263</v>
      </c>
      <c r="F269" t="s">
        <v>686</v>
      </c>
      <c r="J269" t="s">
        <v>687</v>
      </c>
      <c r="K269" t="s">
        <v>20</v>
      </c>
      <c r="L269" t="s">
        <v>21</v>
      </c>
      <c r="M269" t="s">
        <v>22</v>
      </c>
      <c r="N269" s="2" t="b">
        <v>0</v>
      </c>
      <c r="O269" s="2" t="s">
        <v>166</v>
      </c>
      <c r="P269" t="s">
        <v>77</v>
      </c>
      <c r="Q269" t="s">
        <v>183</v>
      </c>
      <c r="R269" t="s">
        <v>184</v>
      </c>
      <c r="S269" t="s">
        <v>169</v>
      </c>
      <c r="T269" s="3">
        <v>45525.862631793978</v>
      </c>
      <c r="U269" s="3">
        <v>45525.862631793978</v>
      </c>
    </row>
    <row r="270" spans="1:21" x14ac:dyDescent="0.2">
      <c r="A270" s="2" t="str">
        <f>HYPERLINK("https://portal.hubmapconsortium.org/browse/sample/8930b53e62e5df172e92c3b19f3e6c8d", "HBM757.BPQX.328")</f>
        <v>HBM757.BPQX.328</v>
      </c>
      <c r="B270" t="s">
        <v>571</v>
      </c>
      <c r="C270" t="s">
        <v>589</v>
      </c>
      <c r="D270" s="2" t="b">
        <v>0</v>
      </c>
      <c r="E270" s="2" t="str">
        <f t="shared" si="15"/>
        <v>HBM346.FQHN.263</v>
      </c>
      <c r="F270" t="s">
        <v>688</v>
      </c>
      <c r="J270" t="s">
        <v>689</v>
      </c>
      <c r="K270" t="s">
        <v>20</v>
      </c>
      <c r="L270" t="s">
        <v>21</v>
      </c>
      <c r="M270" t="s">
        <v>22</v>
      </c>
      <c r="N270" s="2" t="b">
        <v>0</v>
      </c>
      <c r="O270" s="2" t="s">
        <v>166</v>
      </c>
      <c r="P270" t="s">
        <v>77</v>
      </c>
      <c r="Q270" t="s">
        <v>183</v>
      </c>
      <c r="R270" t="s">
        <v>184</v>
      </c>
      <c r="S270" t="s">
        <v>169</v>
      </c>
      <c r="T270" s="3">
        <v>45525.862646481481</v>
      </c>
      <c r="U270" s="3">
        <v>45525.862646481481</v>
      </c>
    </row>
    <row r="271" spans="1:21" x14ac:dyDescent="0.2">
      <c r="A271" s="2" t="str">
        <f>HYPERLINK("https://portal.hubmapconsortium.org/browse/sample/d5631e1ef643fa91c37aef14c4b1af2a", "HBM698.WDQF.956")</f>
        <v>HBM698.WDQF.956</v>
      </c>
      <c r="B271" t="s">
        <v>571</v>
      </c>
      <c r="C271" t="s">
        <v>589</v>
      </c>
      <c r="D271" s="2" t="b">
        <v>0</v>
      </c>
      <c r="E271" s="2" t="str">
        <f t="shared" si="15"/>
        <v>HBM346.FQHN.263</v>
      </c>
      <c r="F271" t="s">
        <v>690</v>
      </c>
      <c r="J271" t="s">
        <v>691</v>
      </c>
      <c r="K271" t="s">
        <v>20</v>
      </c>
      <c r="L271" t="s">
        <v>21</v>
      </c>
      <c r="M271" t="s">
        <v>22</v>
      </c>
      <c r="N271" s="2" t="b">
        <v>0</v>
      </c>
      <c r="O271" s="2" t="s">
        <v>166</v>
      </c>
      <c r="P271" t="s">
        <v>77</v>
      </c>
      <c r="Q271" t="s">
        <v>183</v>
      </c>
      <c r="R271" t="s">
        <v>184</v>
      </c>
      <c r="S271" t="s">
        <v>169</v>
      </c>
      <c r="T271" s="3">
        <v>45525.862663310189</v>
      </c>
      <c r="U271" s="3">
        <v>45525.862663310189</v>
      </c>
    </row>
    <row r="272" spans="1:21" x14ac:dyDescent="0.2">
      <c r="A272" s="2" t="str">
        <f>HYPERLINK("https://portal.hubmapconsortium.org/browse/sample/ab0315ceb502a4f1e679620f0b7e80e2", "HBM632.FZQV.254")</f>
        <v>HBM632.FZQV.254</v>
      </c>
      <c r="B272" t="s">
        <v>571</v>
      </c>
      <c r="C272" t="s">
        <v>589</v>
      </c>
      <c r="D272" s="2" t="b">
        <v>0</v>
      </c>
      <c r="E272" s="2" t="str">
        <f t="shared" si="15"/>
        <v>HBM346.FQHN.263</v>
      </c>
      <c r="F272" t="s">
        <v>692</v>
      </c>
      <c r="J272" t="s">
        <v>693</v>
      </c>
      <c r="K272" t="s">
        <v>20</v>
      </c>
      <c r="L272" t="s">
        <v>21</v>
      </c>
      <c r="M272" t="s">
        <v>22</v>
      </c>
      <c r="N272" s="2" t="b">
        <v>0</v>
      </c>
      <c r="O272" s="2" t="s">
        <v>166</v>
      </c>
      <c r="P272" t="s">
        <v>24</v>
      </c>
      <c r="Q272" t="s">
        <v>183</v>
      </c>
      <c r="R272" t="s">
        <v>184</v>
      </c>
      <c r="S272" t="s">
        <v>169</v>
      </c>
      <c r="T272" s="3">
        <v>45525.862677303237</v>
      </c>
      <c r="U272" s="3">
        <v>45525.862677303237</v>
      </c>
    </row>
    <row r="273" spans="1:21" x14ac:dyDescent="0.2">
      <c r="A273" s="2" t="str">
        <f>HYPERLINK("https://portal.hubmapconsortium.org/browse/sample/4f8008e57011ca6ae9d636dd8d26cc2c", "HBM389.NGSC.975")</f>
        <v>HBM389.NGSC.975</v>
      </c>
      <c r="B273" t="s">
        <v>571</v>
      </c>
      <c r="C273" t="s">
        <v>589</v>
      </c>
      <c r="D273" s="2" t="b">
        <v>0</v>
      </c>
      <c r="E273" s="2" t="str">
        <f t="shared" si="15"/>
        <v>HBM346.FQHN.263</v>
      </c>
      <c r="F273" t="s">
        <v>695</v>
      </c>
      <c r="J273" t="s">
        <v>658</v>
      </c>
      <c r="K273" t="s">
        <v>20</v>
      </c>
      <c r="L273" t="s">
        <v>21</v>
      </c>
      <c r="M273" t="s">
        <v>22</v>
      </c>
      <c r="N273" s="2" t="b">
        <v>0</v>
      </c>
      <c r="O273" s="2" t="s">
        <v>166</v>
      </c>
      <c r="P273" t="s">
        <v>77</v>
      </c>
      <c r="Q273" t="s">
        <v>183</v>
      </c>
      <c r="R273" t="s">
        <v>184</v>
      </c>
      <c r="S273" t="s">
        <v>169</v>
      </c>
      <c r="T273" s="3">
        <v>45525.862691342591</v>
      </c>
      <c r="U273" s="3">
        <v>45525.862691342591</v>
      </c>
    </row>
    <row r="274" spans="1:21" x14ac:dyDescent="0.2">
      <c r="A274" s="2" t="str">
        <f>HYPERLINK("https://portal.hubmapconsortium.org/browse/sample/7b004dcf148a2738caa9587106d99eca", "HBM668.CMGP.298")</f>
        <v>HBM668.CMGP.298</v>
      </c>
      <c r="B274" t="s">
        <v>571</v>
      </c>
      <c r="C274" t="s">
        <v>589</v>
      </c>
      <c r="D274" s="2" t="b">
        <v>0</v>
      </c>
      <c r="E274" s="2" t="str">
        <f t="shared" si="15"/>
        <v>HBM346.FQHN.263</v>
      </c>
      <c r="F274" t="s">
        <v>696</v>
      </c>
      <c r="J274" t="s">
        <v>660</v>
      </c>
      <c r="K274" t="s">
        <v>20</v>
      </c>
      <c r="L274" t="s">
        <v>21</v>
      </c>
      <c r="M274" t="s">
        <v>22</v>
      </c>
      <c r="N274" s="2" t="b">
        <v>0</v>
      </c>
      <c r="O274" s="2" t="s">
        <v>166</v>
      </c>
      <c r="P274" t="s">
        <v>77</v>
      </c>
      <c r="Q274" t="s">
        <v>183</v>
      </c>
      <c r="R274" t="s">
        <v>184</v>
      </c>
      <c r="S274" t="s">
        <v>169</v>
      </c>
      <c r="T274" s="3">
        <v>45525.862706967593</v>
      </c>
      <c r="U274" s="3">
        <v>45525.862706967593</v>
      </c>
    </row>
    <row r="275" spans="1:21" x14ac:dyDescent="0.2">
      <c r="A275" s="2" t="str">
        <f>HYPERLINK("https://portal.hubmapconsortium.org/browse/sample/7d12fd946764d321001dc3e42b3005bc", "HBM887.WWSS.927")</f>
        <v>HBM887.WWSS.927</v>
      </c>
      <c r="B275" t="s">
        <v>571</v>
      </c>
      <c r="C275" t="s">
        <v>589</v>
      </c>
      <c r="D275" s="2" t="b">
        <v>0</v>
      </c>
      <c r="E275" s="2" t="str">
        <f t="shared" si="15"/>
        <v>HBM346.FQHN.263</v>
      </c>
      <c r="F275" t="s">
        <v>697</v>
      </c>
      <c r="J275" t="s">
        <v>662</v>
      </c>
      <c r="K275" t="s">
        <v>20</v>
      </c>
      <c r="L275" t="s">
        <v>21</v>
      </c>
      <c r="M275" t="s">
        <v>22</v>
      </c>
      <c r="N275" s="2" t="b">
        <v>0</v>
      </c>
      <c r="O275" s="2" t="s">
        <v>166</v>
      </c>
      <c r="P275" t="s">
        <v>77</v>
      </c>
      <c r="Q275" t="s">
        <v>183</v>
      </c>
      <c r="R275" t="s">
        <v>184</v>
      </c>
      <c r="S275" t="s">
        <v>169</v>
      </c>
      <c r="T275" s="3">
        <v>45525.862721597223</v>
      </c>
      <c r="U275" s="3">
        <v>45525.862721597223</v>
      </c>
    </row>
    <row r="276" spans="1:21" x14ac:dyDescent="0.2">
      <c r="A276" s="2" t="str">
        <f>HYPERLINK("https://portal.hubmapconsortium.org/browse/sample/1e5fcf755e7020baf1bf6e1699558af6", "HBM336.VSWC.334")</f>
        <v>HBM336.VSWC.334</v>
      </c>
      <c r="B276" t="s">
        <v>571</v>
      </c>
      <c r="C276" t="s">
        <v>589</v>
      </c>
      <c r="D276" s="2" t="b">
        <v>0</v>
      </c>
      <c r="E276" s="2" t="str">
        <f t="shared" si="15"/>
        <v>HBM346.FQHN.263</v>
      </c>
      <c r="F276" t="s">
        <v>698</v>
      </c>
      <c r="J276" t="s">
        <v>664</v>
      </c>
      <c r="K276" t="s">
        <v>20</v>
      </c>
      <c r="L276" t="s">
        <v>21</v>
      </c>
      <c r="M276" t="s">
        <v>22</v>
      </c>
      <c r="N276" s="2" t="b">
        <v>0</v>
      </c>
      <c r="O276" s="2" t="s">
        <v>166</v>
      </c>
      <c r="P276" t="s">
        <v>24</v>
      </c>
      <c r="Q276" t="s">
        <v>183</v>
      </c>
      <c r="R276" t="s">
        <v>184</v>
      </c>
      <c r="S276" t="s">
        <v>169</v>
      </c>
      <c r="T276" s="3">
        <v>45525.862736863433</v>
      </c>
      <c r="U276" s="3">
        <v>45525.862736863433</v>
      </c>
    </row>
    <row r="277" spans="1:21" x14ac:dyDescent="0.2">
      <c r="A277" s="2" t="str">
        <f>HYPERLINK("https://portal.hubmapconsortium.org/browse/sample/0e3adca918f7d1dc7c003979ce5f1e82", "HBM947.FGLW.954")</f>
        <v>HBM947.FGLW.954</v>
      </c>
      <c r="B277" t="s">
        <v>571</v>
      </c>
      <c r="C277" t="s">
        <v>589</v>
      </c>
      <c r="D277" s="2" t="b">
        <v>0</v>
      </c>
      <c r="E277" s="2" t="str">
        <f t="shared" si="15"/>
        <v>HBM346.FQHN.263</v>
      </c>
      <c r="F277" t="s">
        <v>701</v>
      </c>
      <c r="J277" t="s">
        <v>668</v>
      </c>
      <c r="K277" t="s">
        <v>20</v>
      </c>
      <c r="L277" t="s">
        <v>21</v>
      </c>
      <c r="M277" t="s">
        <v>22</v>
      </c>
      <c r="N277" s="2" t="b">
        <v>0</v>
      </c>
      <c r="O277" s="2" t="s">
        <v>166</v>
      </c>
      <c r="P277" t="s">
        <v>77</v>
      </c>
      <c r="Q277" t="s">
        <v>183</v>
      </c>
      <c r="R277" t="s">
        <v>184</v>
      </c>
      <c r="S277" t="s">
        <v>169</v>
      </c>
      <c r="T277" s="3">
        <v>45525.862751319437</v>
      </c>
      <c r="U277" s="3">
        <v>45525.862751319437</v>
      </c>
    </row>
    <row r="278" spans="1:21" x14ac:dyDescent="0.2">
      <c r="A278" s="2" t="str">
        <f>HYPERLINK("https://portal.hubmapconsortium.org/browse/sample/5a8ca0505264257403c90b19813254fc", "HBM378.QJTZ.669")</f>
        <v>HBM378.QJTZ.669</v>
      </c>
      <c r="B278" t="s">
        <v>571</v>
      </c>
      <c r="C278" t="s">
        <v>589</v>
      </c>
      <c r="D278" s="2" t="b">
        <v>0</v>
      </c>
      <c r="E278" s="2" t="str">
        <f t="shared" si="15"/>
        <v>HBM346.FQHN.263</v>
      </c>
      <c r="F278" t="s">
        <v>702</v>
      </c>
      <c r="J278" t="s">
        <v>670</v>
      </c>
      <c r="K278" t="s">
        <v>20</v>
      </c>
      <c r="L278" t="s">
        <v>21</v>
      </c>
      <c r="M278" t="s">
        <v>22</v>
      </c>
      <c r="N278" s="2" t="b">
        <v>0</v>
      </c>
      <c r="O278" s="2" t="s">
        <v>166</v>
      </c>
      <c r="P278" t="s">
        <v>77</v>
      </c>
      <c r="Q278" t="s">
        <v>183</v>
      </c>
      <c r="R278" t="s">
        <v>184</v>
      </c>
      <c r="S278" t="s">
        <v>169</v>
      </c>
      <c r="T278" s="3">
        <v>45525.862765891201</v>
      </c>
      <c r="U278" s="3">
        <v>45525.862765891201</v>
      </c>
    </row>
    <row r="279" spans="1:21" x14ac:dyDescent="0.2">
      <c r="A279" s="2" t="str">
        <f>HYPERLINK("https://portal.hubmapconsortium.org/browse/sample/5554643e5a9c37a6bb8dd3839df15390", "HBM976.TVDQ.854")</f>
        <v>HBM976.TVDQ.854</v>
      </c>
      <c r="B279" t="s">
        <v>571</v>
      </c>
      <c r="C279" t="s">
        <v>589</v>
      </c>
      <c r="D279" s="2" t="b">
        <v>0</v>
      </c>
      <c r="E279" s="2" t="str">
        <f t="shared" si="15"/>
        <v>HBM346.FQHN.263</v>
      </c>
      <c r="F279" t="s">
        <v>703</v>
      </c>
      <c r="J279" t="s">
        <v>672</v>
      </c>
      <c r="K279" t="s">
        <v>20</v>
      </c>
      <c r="L279" t="s">
        <v>21</v>
      </c>
      <c r="M279" t="s">
        <v>22</v>
      </c>
      <c r="N279" s="2" t="b">
        <v>0</v>
      </c>
      <c r="O279" s="2" t="s">
        <v>166</v>
      </c>
      <c r="P279" t="s">
        <v>77</v>
      </c>
      <c r="Q279" t="s">
        <v>183</v>
      </c>
      <c r="R279" t="s">
        <v>184</v>
      </c>
      <c r="S279" t="s">
        <v>169</v>
      </c>
      <c r="T279" s="3">
        <v>45525.862781863427</v>
      </c>
      <c r="U279" s="3">
        <v>45525.862781863427</v>
      </c>
    </row>
    <row r="280" spans="1:21" x14ac:dyDescent="0.2">
      <c r="A280" s="2" t="str">
        <f>HYPERLINK("https://portal.hubmapconsortium.org/browse/sample/e4303392e3d25cb9dc31a80c18313322", "HBM322.DVSQ.546")</f>
        <v>HBM322.DVSQ.546</v>
      </c>
      <c r="B280" t="s">
        <v>571</v>
      </c>
      <c r="C280" t="s">
        <v>589</v>
      </c>
      <c r="D280" s="2" t="b">
        <v>0</v>
      </c>
      <c r="E280" s="2" t="str">
        <f t="shared" si="15"/>
        <v>HBM346.FQHN.263</v>
      </c>
      <c r="F280" t="s">
        <v>704</v>
      </c>
      <c r="J280" t="s">
        <v>674</v>
      </c>
      <c r="K280" t="s">
        <v>20</v>
      </c>
      <c r="L280" t="s">
        <v>21</v>
      </c>
      <c r="M280" t="s">
        <v>22</v>
      </c>
      <c r="N280" s="2" t="b">
        <v>0</v>
      </c>
      <c r="O280" s="2" t="s">
        <v>166</v>
      </c>
      <c r="P280" t="s">
        <v>24</v>
      </c>
      <c r="Q280" t="s">
        <v>183</v>
      </c>
      <c r="R280" t="s">
        <v>184</v>
      </c>
      <c r="S280" t="s">
        <v>169</v>
      </c>
      <c r="T280" s="3">
        <v>45525.862796168978</v>
      </c>
      <c r="U280" s="3">
        <v>45525.862796168978</v>
      </c>
    </row>
    <row r="281" spans="1:21" x14ac:dyDescent="0.2">
      <c r="A281" s="2" t="str">
        <f>HYPERLINK("https://portal.hubmapconsortium.org/browse/sample/e0902efe2ca7c297ee568e6e58268f2c", "HBM838.DSBC.869")</f>
        <v>HBM838.DSBC.869</v>
      </c>
      <c r="B281" t="s">
        <v>571</v>
      </c>
      <c r="C281" t="s">
        <v>589</v>
      </c>
      <c r="D281" s="2" t="b">
        <v>0</v>
      </c>
      <c r="E281" s="2" t="str">
        <f t="shared" si="15"/>
        <v>HBM346.FQHN.263</v>
      </c>
      <c r="F281" t="s">
        <v>707</v>
      </c>
      <c r="J281" t="s">
        <v>678</v>
      </c>
      <c r="K281" t="s">
        <v>20</v>
      </c>
      <c r="L281" t="s">
        <v>21</v>
      </c>
      <c r="M281" t="s">
        <v>22</v>
      </c>
      <c r="N281" s="2" t="b">
        <v>0</v>
      </c>
      <c r="O281" s="2" t="s">
        <v>166</v>
      </c>
      <c r="P281" t="s">
        <v>77</v>
      </c>
      <c r="Q281" t="s">
        <v>183</v>
      </c>
      <c r="R281" t="s">
        <v>184</v>
      </c>
      <c r="S281" t="s">
        <v>169</v>
      </c>
      <c r="T281" s="3">
        <v>45525.862811354164</v>
      </c>
      <c r="U281" s="3">
        <v>45525.862811354164</v>
      </c>
    </row>
    <row r="282" spans="1:21" x14ac:dyDescent="0.2">
      <c r="A282" s="2" t="str">
        <f>HYPERLINK("https://portal.hubmapconsortium.org/browse/sample/c6648612006af36390855cce2f3220cc", "HBM645.TVFK.956")</f>
        <v>HBM645.TVFK.956</v>
      </c>
      <c r="B282" t="s">
        <v>571</v>
      </c>
      <c r="C282" t="s">
        <v>589</v>
      </c>
      <c r="D282" s="2" t="b">
        <v>0</v>
      </c>
      <c r="E282" s="2" t="str">
        <f t="shared" si="15"/>
        <v>HBM346.FQHN.263</v>
      </c>
      <c r="F282" t="s">
        <v>708</v>
      </c>
      <c r="J282" t="s">
        <v>680</v>
      </c>
      <c r="K282" t="s">
        <v>20</v>
      </c>
      <c r="L282" t="s">
        <v>21</v>
      </c>
      <c r="M282" t="s">
        <v>22</v>
      </c>
      <c r="N282" s="2" t="b">
        <v>0</v>
      </c>
      <c r="O282" s="2" t="s">
        <v>166</v>
      </c>
      <c r="P282" t="s">
        <v>77</v>
      </c>
      <c r="Q282" t="s">
        <v>183</v>
      </c>
      <c r="R282" t="s">
        <v>184</v>
      </c>
      <c r="S282" t="s">
        <v>169</v>
      </c>
      <c r="T282" s="3">
        <v>45525.862826296303</v>
      </c>
      <c r="U282" s="3">
        <v>45525.862826296303</v>
      </c>
    </row>
    <row r="283" spans="1:21" x14ac:dyDescent="0.2">
      <c r="A283" s="2" t="str">
        <f>HYPERLINK("https://portal.hubmapconsortium.org/browse/sample/d1af776b3f262477d7c6ae64133f7093", "HBM989.FFXK.849")</f>
        <v>HBM989.FFXK.849</v>
      </c>
      <c r="B283" t="s">
        <v>571</v>
      </c>
      <c r="C283" t="s">
        <v>589</v>
      </c>
      <c r="D283" s="2" t="b">
        <v>0</v>
      </c>
      <c r="E283" s="2" t="str">
        <f t="shared" si="15"/>
        <v>HBM346.FQHN.263</v>
      </c>
      <c r="F283" t="s">
        <v>709</v>
      </c>
      <c r="J283" t="s">
        <v>682</v>
      </c>
      <c r="K283" t="s">
        <v>20</v>
      </c>
      <c r="L283" t="s">
        <v>21</v>
      </c>
      <c r="M283" t="s">
        <v>22</v>
      </c>
      <c r="N283" s="2" t="b">
        <v>0</v>
      </c>
      <c r="O283" s="2" t="s">
        <v>166</v>
      </c>
      <c r="P283" t="s">
        <v>77</v>
      </c>
      <c r="Q283" t="s">
        <v>183</v>
      </c>
      <c r="R283" t="s">
        <v>184</v>
      </c>
      <c r="S283" t="s">
        <v>169</v>
      </c>
      <c r="T283" s="3">
        <v>45525.862840787027</v>
      </c>
      <c r="U283" s="3">
        <v>45525.862840787027</v>
      </c>
    </row>
    <row r="284" spans="1:21" x14ac:dyDescent="0.2">
      <c r="A284" s="2" t="str">
        <f>HYPERLINK("https://portal.hubmapconsortium.org/browse/sample/384645539bd17c181e6cddd390c56552", "HBM734.RCCN.968")</f>
        <v>HBM734.RCCN.968</v>
      </c>
      <c r="B284" t="s">
        <v>571</v>
      </c>
      <c r="C284" t="s">
        <v>589</v>
      </c>
      <c r="D284" s="2" t="b">
        <v>0</v>
      </c>
      <c r="E284" s="2" t="str">
        <f t="shared" si="15"/>
        <v>HBM346.FQHN.263</v>
      </c>
      <c r="F284" t="s">
        <v>710</v>
      </c>
      <c r="J284" t="s">
        <v>684</v>
      </c>
      <c r="K284" t="s">
        <v>20</v>
      </c>
      <c r="L284" t="s">
        <v>21</v>
      </c>
      <c r="M284" t="s">
        <v>22</v>
      </c>
      <c r="N284" s="2" t="b">
        <v>0</v>
      </c>
      <c r="O284" s="2" t="s">
        <v>166</v>
      </c>
      <c r="P284" t="s">
        <v>24</v>
      </c>
      <c r="Q284" t="s">
        <v>183</v>
      </c>
      <c r="R284" t="s">
        <v>184</v>
      </c>
      <c r="S284" t="s">
        <v>169</v>
      </c>
      <c r="T284" s="3">
        <v>45525.862858252323</v>
      </c>
      <c r="U284" s="3">
        <v>45525.862858252323</v>
      </c>
    </row>
    <row r="285" spans="1:21" x14ac:dyDescent="0.2">
      <c r="A285" s="2" t="str">
        <f>HYPERLINK("https://portal.hubmapconsortium.org/browse/sample/4d5e930f024b6f1e46e6358dce374d56", "HBM624.LRHN.453")</f>
        <v>HBM624.LRHN.453</v>
      </c>
      <c r="B285" t="s">
        <v>571</v>
      </c>
      <c r="C285" t="s">
        <v>589</v>
      </c>
      <c r="D285" s="2" t="b">
        <v>0</v>
      </c>
      <c r="E285" s="2" t="str">
        <f t="shared" si="15"/>
        <v>HBM346.FQHN.263</v>
      </c>
      <c r="F285" t="s">
        <v>712</v>
      </c>
      <c r="J285" t="s">
        <v>687</v>
      </c>
      <c r="K285" t="s">
        <v>20</v>
      </c>
      <c r="L285" t="s">
        <v>21</v>
      </c>
      <c r="M285" t="s">
        <v>22</v>
      </c>
      <c r="N285" s="2" t="b">
        <v>0</v>
      </c>
      <c r="O285" s="2" t="s">
        <v>166</v>
      </c>
      <c r="P285" t="s">
        <v>77</v>
      </c>
      <c r="Q285" t="s">
        <v>183</v>
      </c>
      <c r="R285" t="s">
        <v>184</v>
      </c>
      <c r="S285" t="s">
        <v>169</v>
      </c>
      <c r="T285" s="3">
        <v>45525.86287384259</v>
      </c>
      <c r="U285" s="3">
        <v>45525.86287384259</v>
      </c>
    </row>
    <row r="286" spans="1:21" x14ac:dyDescent="0.2">
      <c r="A286" s="2" t="str">
        <f>HYPERLINK("https://portal.hubmapconsortium.org/browse/sample/75478c0b40acf1546ab78e18c9beab51", "HBM625.WMWR.747")</f>
        <v>HBM625.WMWR.747</v>
      </c>
      <c r="B286" t="s">
        <v>571</v>
      </c>
      <c r="C286" t="s">
        <v>589</v>
      </c>
      <c r="D286" s="2" t="b">
        <v>0</v>
      </c>
      <c r="E286" s="2" t="str">
        <f t="shared" si="15"/>
        <v>HBM346.FQHN.263</v>
      </c>
      <c r="F286" t="s">
        <v>713</v>
      </c>
      <c r="J286" t="s">
        <v>689</v>
      </c>
      <c r="K286" t="s">
        <v>20</v>
      </c>
      <c r="L286" t="s">
        <v>21</v>
      </c>
      <c r="M286" t="s">
        <v>22</v>
      </c>
      <c r="N286" s="2" t="b">
        <v>0</v>
      </c>
      <c r="O286" s="2" t="s">
        <v>166</v>
      </c>
      <c r="P286" t="s">
        <v>77</v>
      </c>
      <c r="Q286" t="s">
        <v>183</v>
      </c>
      <c r="R286" t="s">
        <v>184</v>
      </c>
      <c r="S286" t="s">
        <v>169</v>
      </c>
      <c r="T286" s="3">
        <v>45525.862888518517</v>
      </c>
      <c r="U286" s="3">
        <v>45525.862888518517</v>
      </c>
    </row>
    <row r="287" spans="1:21" x14ac:dyDescent="0.2">
      <c r="A287" s="2" t="str">
        <f>HYPERLINK("https://portal.hubmapconsortium.org/browse/sample/d3c167b2ae62f5b3f89e072452e24d0d", "HBM666.PPTZ.923")</f>
        <v>HBM666.PPTZ.923</v>
      </c>
      <c r="B287" t="s">
        <v>571</v>
      </c>
      <c r="C287" t="s">
        <v>589</v>
      </c>
      <c r="D287" s="2" t="b">
        <v>0</v>
      </c>
      <c r="E287" s="2" t="str">
        <f t="shared" si="15"/>
        <v>HBM346.FQHN.263</v>
      </c>
      <c r="F287" t="s">
        <v>714</v>
      </c>
      <c r="J287" t="s">
        <v>691</v>
      </c>
      <c r="K287" t="s">
        <v>20</v>
      </c>
      <c r="L287" t="s">
        <v>21</v>
      </c>
      <c r="M287" t="s">
        <v>22</v>
      </c>
      <c r="N287" s="2" t="b">
        <v>0</v>
      </c>
      <c r="O287" s="2" t="s">
        <v>166</v>
      </c>
      <c r="P287" t="s">
        <v>77</v>
      </c>
      <c r="Q287" t="s">
        <v>183</v>
      </c>
      <c r="R287" t="s">
        <v>184</v>
      </c>
      <c r="S287" t="s">
        <v>169</v>
      </c>
      <c r="T287" s="3">
        <v>45525.862903009263</v>
      </c>
      <c r="U287" s="3">
        <v>45525.862903009263</v>
      </c>
    </row>
    <row r="288" spans="1:21" x14ac:dyDescent="0.2">
      <c r="A288" s="2" t="str">
        <f>HYPERLINK("https://portal.hubmapconsortium.org/browse/sample/bfe6a2bab87767e529b742a16e2bdaf9", "HBM439.JMHH.997")</f>
        <v>HBM439.JMHH.997</v>
      </c>
      <c r="B288" t="s">
        <v>571</v>
      </c>
      <c r="C288" t="s">
        <v>589</v>
      </c>
      <c r="D288" s="2" t="b">
        <v>0</v>
      </c>
      <c r="E288" s="2" t="str">
        <f t="shared" si="15"/>
        <v>HBM346.FQHN.263</v>
      </c>
      <c r="F288" t="s">
        <v>715</v>
      </c>
      <c r="J288" t="s">
        <v>693</v>
      </c>
      <c r="K288" t="s">
        <v>20</v>
      </c>
      <c r="L288" t="s">
        <v>21</v>
      </c>
      <c r="M288" t="s">
        <v>22</v>
      </c>
      <c r="N288" s="2" t="b">
        <v>0</v>
      </c>
      <c r="O288" s="2" t="s">
        <v>166</v>
      </c>
      <c r="P288" t="s">
        <v>24</v>
      </c>
      <c r="Q288" t="s">
        <v>183</v>
      </c>
      <c r="R288" t="s">
        <v>184</v>
      </c>
      <c r="S288" t="s">
        <v>169</v>
      </c>
      <c r="T288" s="3">
        <v>45525.862917939812</v>
      </c>
      <c r="U288" s="3">
        <v>45525.862917939812</v>
      </c>
    </row>
    <row r="289" spans="1:21" x14ac:dyDescent="0.2">
      <c r="A289" s="2" t="str">
        <f>HYPERLINK("https://portal.hubmapconsortium.org/browse/sample/00bc747eec44be6bb67fb5f9a841f851", "HBM229.NVST.455")</f>
        <v>HBM229.NVST.455</v>
      </c>
      <c r="B289" t="s">
        <v>571</v>
      </c>
      <c r="C289" t="s">
        <v>716</v>
      </c>
      <c r="D289" s="2" t="b">
        <v>0</v>
      </c>
      <c r="E289" s="2" t="str">
        <f t="shared" ref="E289:E296" si="16">HYPERLINK("https://portal.hubmapconsortium.org/browse/sample/7f7f6faf1ed24ed62109de031b99a555", "HBM876.WSJF.893")</f>
        <v>HBM876.WSJF.893</v>
      </c>
      <c r="F289" t="s">
        <v>721</v>
      </c>
      <c r="J289" t="s">
        <v>722</v>
      </c>
      <c r="K289" t="s">
        <v>20</v>
      </c>
      <c r="L289" t="s">
        <v>21</v>
      </c>
      <c r="M289" t="s">
        <v>22</v>
      </c>
      <c r="N289" s="2" t="b">
        <v>0</v>
      </c>
      <c r="O289" s="2" t="s">
        <v>166</v>
      </c>
      <c r="P289" t="s">
        <v>77</v>
      </c>
      <c r="Q289" t="s">
        <v>183</v>
      </c>
      <c r="R289" t="s">
        <v>184</v>
      </c>
      <c r="S289" t="s">
        <v>169</v>
      </c>
      <c r="T289" s="3">
        <v>45848.84245113426</v>
      </c>
      <c r="U289" s="3">
        <v>45848.84245113426</v>
      </c>
    </row>
    <row r="290" spans="1:21" x14ac:dyDescent="0.2">
      <c r="A290" s="2" t="str">
        <f>HYPERLINK("https://portal.hubmapconsortium.org/browse/sample/9246748c828bfb3acd9e987ff32c7ff3", "HBM239.GSPH.578")</f>
        <v>HBM239.GSPH.578</v>
      </c>
      <c r="B290" t="s">
        <v>571</v>
      </c>
      <c r="C290" t="s">
        <v>716</v>
      </c>
      <c r="D290" s="2" t="b">
        <v>0</v>
      </c>
      <c r="E290" s="2" t="str">
        <f t="shared" si="16"/>
        <v>HBM876.WSJF.893</v>
      </c>
      <c r="F290" t="s">
        <v>724</v>
      </c>
      <c r="J290" t="s">
        <v>722</v>
      </c>
      <c r="K290" t="s">
        <v>20</v>
      </c>
      <c r="L290" t="s">
        <v>21</v>
      </c>
      <c r="M290" t="s">
        <v>22</v>
      </c>
      <c r="N290" s="2" t="b">
        <v>0</v>
      </c>
      <c r="O290" s="2" t="s">
        <v>166</v>
      </c>
      <c r="P290" t="s">
        <v>77</v>
      </c>
      <c r="Q290" t="s">
        <v>183</v>
      </c>
      <c r="R290" t="s">
        <v>184</v>
      </c>
      <c r="S290" t="s">
        <v>169</v>
      </c>
      <c r="T290" s="3">
        <v>45848.842465833332</v>
      </c>
      <c r="U290" s="3">
        <v>45848.842465833332</v>
      </c>
    </row>
    <row r="291" spans="1:21" x14ac:dyDescent="0.2">
      <c r="A291" s="2" t="str">
        <f>HYPERLINK("https://portal.hubmapconsortium.org/browse/sample/1c0797b0b9cb354d812fb7bf7d81e003", "HBM326.ZQZP.668")</f>
        <v>HBM326.ZQZP.668</v>
      </c>
      <c r="B291" t="s">
        <v>571</v>
      </c>
      <c r="C291" t="s">
        <v>716</v>
      </c>
      <c r="D291" s="2" t="b">
        <v>0</v>
      </c>
      <c r="E291" s="2" t="str">
        <f t="shared" si="16"/>
        <v>HBM876.WSJF.893</v>
      </c>
      <c r="F291" t="s">
        <v>727</v>
      </c>
      <c r="J291" t="s">
        <v>728</v>
      </c>
      <c r="K291" t="s">
        <v>20</v>
      </c>
      <c r="L291" t="s">
        <v>21</v>
      </c>
      <c r="M291" t="s">
        <v>22</v>
      </c>
      <c r="N291" s="2" t="b">
        <v>0</v>
      </c>
      <c r="O291" s="2" t="s">
        <v>166</v>
      </c>
      <c r="P291" t="s">
        <v>77</v>
      </c>
      <c r="Q291" t="s">
        <v>183</v>
      </c>
      <c r="R291" t="s">
        <v>184</v>
      </c>
      <c r="S291" t="s">
        <v>169</v>
      </c>
      <c r="T291" s="3">
        <v>45819.778546817128</v>
      </c>
      <c r="U291" s="3">
        <v>45819.778546817128</v>
      </c>
    </row>
    <row r="292" spans="1:21" x14ac:dyDescent="0.2">
      <c r="A292" s="2" t="str">
        <f>HYPERLINK("https://portal.hubmapconsortium.org/browse/sample/0ac64586cd00faf117880a12baadd946", "HBM769.RDML.796")</f>
        <v>HBM769.RDML.796</v>
      </c>
      <c r="B292" t="s">
        <v>571</v>
      </c>
      <c r="C292" t="s">
        <v>716</v>
      </c>
      <c r="D292" s="2" t="b">
        <v>0</v>
      </c>
      <c r="E292" s="2" t="str">
        <f t="shared" si="16"/>
        <v>HBM876.WSJF.893</v>
      </c>
      <c r="F292" t="s">
        <v>730</v>
      </c>
      <c r="J292" t="s">
        <v>728</v>
      </c>
      <c r="K292" t="s">
        <v>20</v>
      </c>
      <c r="L292" t="s">
        <v>21</v>
      </c>
      <c r="M292" t="s">
        <v>22</v>
      </c>
      <c r="N292" s="2" t="b">
        <v>0</v>
      </c>
      <c r="O292" s="2" t="s">
        <v>166</v>
      </c>
      <c r="P292" t="s">
        <v>77</v>
      </c>
      <c r="Q292" t="s">
        <v>183</v>
      </c>
      <c r="R292" t="s">
        <v>184</v>
      </c>
      <c r="S292" t="s">
        <v>169</v>
      </c>
      <c r="T292" s="3">
        <v>45819.778557291669</v>
      </c>
      <c r="U292" s="3">
        <v>45819.778557291669</v>
      </c>
    </row>
    <row r="293" spans="1:21" x14ac:dyDescent="0.2">
      <c r="A293" s="2" t="str">
        <f>HYPERLINK("https://portal.hubmapconsortium.org/browse/sample/988a627172a8c6a0f1907cca2f58c705", "HBM859.FBZR.568")</f>
        <v>HBM859.FBZR.568</v>
      </c>
      <c r="B293" t="s">
        <v>571</v>
      </c>
      <c r="C293" t="s">
        <v>716</v>
      </c>
      <c r="D293" s="2" t="b">
        <v>0</v>
      </c>
      <c r="E293" s="2" t="str">
        <f t="shared" si="16"/>
        <v>HBM876.WSJF.893</v>
      </c>
      <c r="F293" t="s">
        <v>736</v>
      </c>
      <c r="J293" t="s">
        <v>737</v>
      </c>
      <c r="K293" t="s">
        <v>20</v>
      </c>
      <c r="L293" t="s">
        <v>21</v>
      </c>
      <c r="M293" t="s">
        <v>22</v>
      </c>
      <c r="N293" s="2" t="b">
        <v>0</v>
      </c>
      <c r="O293" s="2" t="s">
        <v>166</v>
      </c>
      <c r="P293" t="s">
        <v>77</v>
      </c>
      <c r="Q293" t="s">
        <v>183</v>
      </c>
      <c r="R293" t="s">
        <v>184</v>
      </c>
      <c r="S293" t="s">
        <v>169</v>
      </c>
      <c r="T293" s="3">
        <v>45848.842524467589</v>
      </c>
      <c r="U293" s="3">
        <v>45848.842524467589</v>
      </c>
    </row>
    <row r="294" spans="1:21" x14ac:dyDescent="0.2">
      <c r="A294" s="2" t="str">
        <f>HYPERLINK("https://portal.hubmapconsortium.org/browse/sample/3424d8ee4f3b0bc8ea5050550bd26bd3", "HBM978.QDDG.272")</f>
        <v>HBM978.QDDG.272</v>
      </c>
      <c r="B294" t="s">
        <v>571</v>
      </c>
      <c r="C294" t="s">
        <v>716</v>
      </c>
      <c r="D294" s="2" t="b">
        <v>0</v>
      </c>
      <c r="E294" s="2" t="str">
        <f t="shared" si="16"/>
        <v>HBM876.WSJF.893</v>
      </c>
      <c r="F294" t="s">
        <v>740</v>
      </c>
      <c r="J294" t="s">
        <v>737</v>
      </c>
      <c r="K294" t="s">
        <v>20</v>
      </c>
      <c r="L294" t="s">
        <v>21</v>
      </c>
      <c r="M294" t="s">
        <v>22</v>
      </c>
      <c r="N294" s="2" t="b">
        <v>0</v>
      </c>
      <c r="O294" s="2" t="s">
        <v>166</v>
      </c>
      <c r="P294" t="s">
        <v>77</v>
      </c>
      <c r="Q294" t="s">
        <v>183</v>
      </c>
      <c r="R294" t="s">
        <v>184</v>
      </c>
      <c r="S294" t="s">
        <v>169</v>
      </c>
      <c r="T294" s="3">
        <v>45848.842681863433</v>
      </c>
      <c r="U294" s="3">
        <v>45848.842681863433</v>
      </c>
    </row>
    <row r="295" spans="1:21" x14ac:dyDescent="0.2">
      <c r="A295" s="2" t="str">
        <f>HYPERLINK("https://portal.hubmapconsortium.org/browse/sample/9a8431409db2e840fd4d0d3dfb2d1681", "HBM873.DTZL.227")</f>
        <v>HBM873.DTZL.227</v>
      </c>
      <c r="B295" t="s">
        <v>571</v>
      </c>
      <c r="C295" t="s">
        <v>716</v>
      </c>
      <c r="D295" s="2" t="b">
        <v>0</v>
      </c>
      <c r="E295" s="2" t="str">
        <f t="shared" si="16"/>
        <v>HBM876.WSJF.893</v>
      </c>
      <c r="F295" t="s">
        <v>742</v>
      </c>
      <c r="J295" t="s">
        <v>737</v>
      </c>
      <c r="K295" t="s">
        <v>20</v>
      </c>
      <c r="L295" t="s">
        <v>21</v>
      </c>
      <c r="M295" t="s">
        <v>22</v>
      </c>
      <c r="N295" s="2" t="b">
        <v>0</v>
      </c>
      <c r="O295" s="2" t="s">
        <v>166</v>
      </c>
      <c r="P295" t="s">
        <v>77</v>
      </c>
      <c r="Q295" t="s">
        <v>183</v>
      </c>
      <c r="R295" t="s">
        <v>184</v>
      </c>
      <c r="S295" t="s">
        <v>169</v>
      </c>
      <c r="T295" s="3">
        <v>45848.842759189807</v>
      </c>
      <c r="U295" s="3">
        <v>45848.842759189807</v>
      </c>
    </row>
    <row r="296" spans="1:21" x14ac:dyDescent="0.2">
      <c r="A296" s="2" t="str">
        <f>HYPERLINK("https://portal.hubmapconsortium.org/browse/sample/ae029e006d6a79c90160a4f73134cbfb", "HBM734.PQPM.854")</f>
        <v>HBM734.PQPM.854</v>
      </c>
      <c r="B296" t="s">
        <v>571</v>
      </c>
      <c r="C296" t="s">
        <v>716</v>
      </c>
      <c r="D296" s="2" t="b">
        <v>0</v>
      </c>
      <c r="E296" s="2" t="str">
        <f t="shared" si="16"/>
        <v>HBM876.WSJF.893</v>
      </c>
      <c r="F296" t="s">
        <v>744</v>
      </c>
      <c r="J296" t="s">
        <v>737</v>
      </c>
      <c r="K296" t="s">
        <v>20</v>
      </c>
      <c r="L296" t="s">
        <v>21</v>
      </c>
      <c r="M296" t="s">
        <v>22</v>
      </c>
      <c r="N296" s="2" t="b">
        <v>0</v>
      </c>
      <c r="O296" s="2" t="s">
        <v>166</v>
      </c>
      <c r="P296" t="s">
        <v>77</v>
      </c>
      <c r="Q296" t="s">
        <v>183</v>
      </c>
      <c r="R296" t="s">
        <v>184</v>
      </c>
      <c r="S296" t="s">
        <v>169</v>
      </c>
      <c r="T296" s="3">
        <v>45848.842851597219</v>
      </c>
      <c r="U296" s="3">
        <v>45848.842851597219</v>
      </c>
    </row>
    <row r="297" spans="1:21" x14ac:dyDescent="0.2">
      <c r="A297" s="2" t="str">
        <f>HYPERLINK("https://portal.hubmapconsortium.org/browse/sample/580a16770fe2cc9683e9f5beaeda66f1", "HBM529.BBLJ.439")</f>
        <v>HBM529.BBLJ.439</v>
      </c>
      <c r="B297" t="s">
        <v>571</v>
      </c>
      <c r="C297" t="s">
        <v>746</v>
      </c>
      <c r="D297" s="2" t="b">
        <v>0</v>
      </c>
      <c r="E297" s="2" t="str">
        <f t="shared" ref="E297:E304" si="17">HYPERLINK("https://portal.hubmapconsortium.org/browse/sample/a71ec2c3319d3c6e51febfd5f115347d", "HBM797.FCBQ.962")</f>
        <v>HBM797.FCBQ.962</v>
      </c>
      <c r="F297" t="s">
        <v>749</v>
      </c>
      <c r="J297" t="s">
        <v>750</v>
      </c>
      <c r="K297" t="s">
        <v>20</v>
      </c>
      <c r="L297" t="s">
        <v>21</v>
      </c>
      <c r="M297" t="s">
        <v>22</v>
      </c>
      <c r="N297" s="2" t="b">
        <v>0</v>
      </c>
      <c r="O297" s="2" t="s">
        <v>166</v>
      </c>
      <c r="P297" t="s">
        <v>77</v>
      </c>
      <c r="Q297" t="s">
        <v>183</v>
      </c>
      <c r="R297" t="s">
        <v>184</v>
      </c>
      <c r="S297" t="s">
        <v>169</v>
      </c>
      <c r="T297" s="3">
        <v>45525.651484756941</v>
      </c>
      <c r="U297" s="3">
        <v>45525.651484756941</v>
      </c>
    </row>
    <row r="298" spans="1:21" x14ac:dyDescent="0.2">
      <c r="A298" s="2" t="str">
        <f>HYPERLINK("https://portal.hubmapconsortium.org/browse/sample/8be5f9740b71062d3eeb420ea07b4a9c", "HBM244.DSWJ.575")</f>
        <v>HBM244.DSWJ.575</v>
      </c>
      <c r="B298" t="s">
        <v>571</v>
      </c>
      <c r="C298" t="s">
        <v>746</v>
      </c>
      <c r="D298" s="2" t="b">
        <v>0</v>
      </c>
      <c r="E298" s="2" t="str">
        <f t="shared" si="17"/>
        <v>HBM797.FCBQ.962</v>
      </c>
      <c r="F298" t="s">
        <v>751</v>
      </c>
      <c r="J298" t="s">
        <v>752</v>
      </c>
      <c r="K298" t="s">
        <v>20</v>
      </c>
      <c r="L298" t="s">
        <v>21</v>
      </c>
      <c r="M298" t="s">
        <v>22</v>
      </c>
      <c r="N298" s="2" t="b">
        <v>0</v>
      </c>
      <c r="O298" s="2" t="s">
        <v>166</v>
      </c>
      <c r="P298" t="s">
        <v>77</v>
      </c>
      <c r="Q298" t="s">
        <v>183</v>
      </c>
      <c r="R298" t="s">
        <v>184</v>
      </c>
      <c r="S298" t="s">
        <v>169</v>
      </c>
      <c r="T298" s="3">
        <v>45525.651499178239</v>
      </c>
      <c r="U298" s="3">
        <v>45525.651499178239</v>
      </c>
    </row>
    <row r="299" spans="1:21" x14ac:dyDescent="0.2">
      <c r="A299" s="2" t="str">
        <f>HYPERLINK("https://portal.hubmapconsortium.org/browse/sample/5e0cab49161c5499d7c47e17b8017152", "HBM788.CXRT.572")</f>
        <v>HBM788.CXRT.572</v>
      </c>
      <c r="B299" t="s">
        <v>571</v>
      </c>
      <c r="C299" t="s">
        <v>746</v>
      </c>
      <c r="D299" s="2" t="b">
        <v>0</v>
      </c>
      <c r="E299" s="2" t="str">
        <f t="shared" si="17"/>
        <v>HBM797.FCBQ.962</v>
      </c>
      <c r="F299" t="s">
        <v>753</v>
      </c>
      <c r="J299" t="s">
        <v>754</v>
      </c>
      <c r="K299" t="s">
        <v>20</v>
      </c>
      <c r="L299" t="s">
        <v>21</v>
      </c>
      <c r="M299" t="s">
        <v>22</v>
      </c>
      <c r="N299" s="2" t="b">
        <v>0</v>
      </c>
      <c r="O299" s="2" t="s">
        <v>166</v>
      </c>
      <c r="P299" t="s">
        <v>77</v>
      </c>
      <c r="Q299" t="s">
        <v>183</v>
      </c>
      <c r="R299" t="s">
        <v>184</v>
      </c>
      <c r="S299" t="s">
        <v>169</v>
      </c>
      <c r="T299" s="3">
        <v>45525.651513912038</v>
      </c>
      <c r="U299" s="3">
        <v>45525.651513912038</v>
      </c>
    </row>
    <row r="300" spans="1:21" x14ac:dyDescent="0.2">
      <c r="A300" s="2" t="str">
        <f>HYPERLINK("https://portal.hubmapconsortium.org/browse/sample/e181c390484e43f492ad4c86b54a2d63", "HBM298.ZKZV.772")</f>
        <v>HBM298.ZKZV.772</v>
      </c>
      <c r="B300" t="s">
        <v>571</v>
      </c>
      <c r="C300" t="s">
        <v>746</v>
      </c>
      <c r="D300" s="2" t="b">
        <v>0</v>
      </c>
      <c r="E300" s="2" t="str">
        <f t="shared" si="17"/>
        <v>HBM797.FCBQ.962</v>
      </c>
      <c r="F300" t="s">
        <v>755</v>
      </c>
      <c r="J300" t="s">
        <v>756</v>
      </c>
      <c r="K300" t="s">
        <v>20</v>
      </c>
      <c r="L300" t="s">
        <v>21</v>
      </c>
      <c r="M300" t="s">
        <v>22</v>
      </c>
      <c r="N300" s="2" t="b">
        <v>0</v>
      </c>
      <c r="O300" s="2" t="s">
        <v>166</v>
      </c>
      <c r="P300" t="s">
        <v>24</v>
      </c>
      <c r="Q300" t="s">
        <v>183</v>
      </c>
      <c r="R300" t="s">
        <v>184</v>
      </c>
      <c r="S300" t="s">
        <v>169</v>
      </c>
      <c r="T300" s="3">
        <v>45525.651527974544</v>
      </c>
      <c r="U300" s="3">
        <v>45525.651527974544</v>
      </c>
    </row>
    <row r="301" spans="1:21" x14ac:dyDescent="0.2">
      <c r="A301" s="2" t="str">
        <f>HYPERLINK("https://portal.hubmapconsortium.org/browse/sample/4c70bbe9355e0f22791f2e76f8c9256d", "HBM554.RJKT.329")</f>
        <v>HBM554.RJKT.329</v>
      </c>
      <c r="B301" t="s">
        <v>571</v>
      </c>
      <c r="C301" t="s">
        <v>746</v>
      </c>
      <c r="D301" s="2" t="b">
        <v>0</v>
      </c>
      <c r="E301" s="2" t="str">
        <f t="shared" si="17"/>
        <v>HBM797.FCBQ.962</v>
      </c>
      <c r="F301" t="s">
        <v>759</v>
      </c>
      <c r="J301" t="s">
        <v>750</v>
      </c>
      <c r="K301" t="s">
        <v>20</v>
      </c>
      <c r="L301" t="s">
        <v>21</v>
      </c>
      <c r="M301" t="s">
        <v>22</v>
      </c>
      <c r="N301" s="2" t="b">
        <v>0</v>
      </c>
      <c r="O301" s="2" t="s">
        <v>166</v>
      </c>
      <c r="P301" t="s">
        <v>77</v>
      </c>
      <c r="Q301" t="s">
        <v>183</v>
      </c>
      <c r="R301" t="s">
        <v>184</v>
      </c>
      <c r="S301" t="s">
        <v>169</v>
      </c>
      <c r="T301" s="3">
        <v>45525.651542037027</v>
      </c>
      <c r="U301" s="3">
        <v>45525.651542037027</v>
      </c>
    </row>
    <row r="302" spans="1:21" x14ac:dyDescent="0.2">
      <c r="A302" s="2" t="str">
        <f>HYPERLINK("https://portal.hubmapconsortium.org/browse/sample/a25d84c923f37f9803cac9d6641ae78f", "HBM884.WGFX.556")</f>
        <v>HBM884.WGFX.556</v>
      </c>
      <c r="B302" t="s">
        <v>571</v>
      </c>
      <c r="C302" t="s">
        <v>746</v>
      </c>
      <c r="D302" s="2" t="b">
        <v>0</v>
      </c>
      <c r="E302" s="2" t="str">
        <f t="shared" si="17"/>
        <v>HBM797.FCBQ.962</v>
      </c>
      <c r="F302" t="s">
        <v>760</v>
      </c>
      <c r="J302" t="s">
        <v>752</v>
      </c>
      <c r="K302" t="s">
        <v>20</v>
      </c>
      <c r="L302" t="s">
        <v>21</v>
      </c>
      <c r="M302" t="s">
        <v>22</v>
      </c>
      <c r="N302" s="2" t="b">
        <v>0</v>
      </c>
      <c r="O302" s="2" t="s">
        <v>166</v>
      </c>
      <c r="P302" t="s">
        <v>77</v>
      </c>
      <c r="Q302" t="s">
        <v>183</v>
      </c>
      <c r="R302" t="s">
        <v>184</v>
      </c>
      <c r="S302" t="s">
        <v>169</v>
      </c>
      <c r="T302" s="3">
        <v>45525.651556817131</v>
      </c>
      <c r="U302" s="3">
        <v>45525.651556817131</v>
      </c>
    </row>
    <row r="303" spans="1:21" x14ac:dyDescent="0.2">
      <c r="A303" s="2" t="str">
        <f>HYPERLINK("https://portal.hubmapconsortium.org/browse/sample/83ea151ecde7529b21628c5454dcadf9", "HBM383.NJXL.495")</f>
        <v>HBM383.NJXL.495</v>
      </c>
      <c r="B303" t="s">
        <v>571</v>
      </c>
      <c r="C303" t="s">
        <v>746</v>
      </c>
      <c r="D303" s="2" t="b">
        <v>0</v>
      </c>
      <c r="E303" s="2" t="str">
        <f t="shared" si="17"/>
        <v>HBM797.FCBQ.962</v>
      </c>
      <c r="F303" t="s">
        <v>761</v>
      </c>
      <c r="J303" t="s">
        <v>754</v>
      </c>
      <c r="K303" t="s">
        <v>20</v>
      </c>
      <c r="L303" t="s">
        <v>21</v>
      </c>
      <c r="M303" t="s">
        <v>22</v>
      </c>
      <c r="N303" s="2" t="b">
        <v>0</v>
      </c>
      <c r="O303" s="2" t="s">
        <v>166</v>
      </c>
      <c r="P303" t="s">
        <v>77</v>
      </c>
      <c r="Q303" t="s">
        <v>183</v>
      </c>
      <c r="R303" t="s">
        <v>184</v>
      </c>
      <c r="S303" t="s">
        <v>169</v>
      </c>
      <c r="T303" s="3">
        <v>45525.651571782408</v>
      </c>
      <c r="U303" s="3">
        <v>45525.651571782408</v>
      </c>
    </row>
    <row r="304" spans="1:21" x14ac:dyDescent="0.2">
      <c r="A304" s="2" t="str">
        <f>HYPERLINK("https://portal.hubmapconsortium.org/browse/sample/611e232869eb92c748ae35367c8e7750", "HBM923.NPJQ.767")</f>
        <v>HBM923.NPJQ.767</v>
      </c>
      <c r="B304" t="s">
        <v>571</v>
      </c>
      <c r="C304" t="s">
        <v>746</v>
      </c>
      <c r="D304" s="2" t="b">
        <v>0</v>
      </c>
      <c r="E304" s="2" t="str">
        <f t="shared" si="17"/>
        <v>HBM797.FCBQ.962</v>
      </c>
      <c r="F304" t="s">
        <v>762</v>
      </c>
      <c r="J304" t="s">
        <v>756</v>
      </c>
      <c r="K304" t="s">
        <v>20</v>
      </c>
      <c r="L304" t="s">
        <v>21</v>
      </c>
      <c r="M304" t="s">
        <v>22</v>
      </c>
      <c r="N304" s="2" t="b">
        <v>0</v>
      </c>
      <c r="O304" s="2" t="s">
        <v>166</v>
      </c>
      <c r="P304" t="s">
        <v>24</v>
      </c>
      <c r="Q304" t="s">
        <v>183</v>
      </c>
      <c r="R304" t="s">
        <v>184</v>
      </c>
      <c r="S304" t="s">
        <v>169</v>
      </c>
      <c r="T304" s="3">
        <v>45525.651585879627</v>
      </c>
      <c r="U304" s="3">
        <v>45525.651585879627</v>
      </c>
    </row>
    <row r="305" spans="1:21" x14ac:dyDescent="0.2">
      <c r="A305" s="2" t="str">
        <f>HYPERLINK("https://portal.hubmapconsortium.org/browse/sample/d270d79b5a50c411851607fa9d53a12a", "HBM894.LLTJ.532")</f>
        <v>HBM894.LLTJ.532</v>
      </c>
      <c r="B305" t="s">
        <v>763</v>
      </c>
      <c r="C305" t="s">
        <v>764</v>
      </c>
      <c r="D305" s="2" t="b">
        <v>0</v>
      </c>
      <c r="E305" s="2" t="str">
        <f t="shared" ref="E305:E312" si="18">HYPERLINK("https://portal.hubmapconsortium.org/browse/sample/fbc0f117563df0ca324dd2001e9b7df6", "HBM387.FLPV.658")</f>
        <v>HBM387.FLPV.658</v>
      </c>
      <c r="F305" t="s">
        <v>767</v>
      </c>
      <c r="J305" t="s">
        <v>768</v>
      </c>
      <c r="K305" t="s">
        <v>20</v>
      </c>
      <c r="L305" t="s">
        <v>21</v>
      </c>
      <c r="M305" t="s">
        <v>22</v>
      </c>
      <c r="N305" s="2" t="b">
        <v>0</v>
      </c>
      <c r="O305" s="2" t="s">
        <v>766</v>
      </c>
      <c r="P305" t="s">
        <v>77</v>
      </c>
      <c r="Q305" t="s">
        <v>167</v>
      </c>
      <c r="R305" t="s">
        <v>168</v>
      </c>
      <c r="S305" t="s">
        <v>169</v>
      </c>
      <c r="T305" s="3">
        <v>45726.685606284722</v>
      </c>
      <c r="U305" s="3">
        <v>45726.685606284722</v>
      </c>
    </row>
    <row r="306" spans="1:21" x14ac:dyDescent="0.2">
      <c r="A306" s="2" t="str">
        <f>HYPERLINK("https://portal.hubmapconsortium.org/browse/sample/0a191f77274786ff4f4f5a404a46c798", "HBM867.VBNC.459")</f>
        <v>HBM867.VBNC.459</v>
      </c>
      <c r="B306" t="s">
        <v>763</v>
      </c>
      <c r="C306" t="s">
        <v>764</v>
      </c>
      <c r="D306" s="2" t="b">
        <v>0</v>
      </c>
      <c r="E306" s="2" t="str">
        <f t="shared" si="18"/>
        <v>HBM387.FLPV.658</v>
      </c>
      <c r="F306" t="s">
        <v>769</v>
      </c>
      <c r="J306" t="s">
        <v>770</v>
      </c>
      <c r="K306" t="s">
        <v>20</v>
      </c>
      <c r="L306" t="s">
        <v>21</v>
      </c>
      <c r="M306" t="s">
        <v>22</v>
      </c>
      <c r="N306" s="2" t="b">
        <v>0</v>
      </c>
      <c r="O306" s="2" t="s">
        <v>766</v>
      </c>
      <c r="P306" t="s">
        <v>77</v>
      </c>
      <c r="Q306" t="s">
        <v>167</v>
      </c>
      <c r="R306" t="s">
        <v>168</v>
      </c>
      <c r="S306" t="s">
        <v>169</v>
      </c>
      <c r="T306" s="3">
        <v>45726.685629722233</v>
      </c>
      <c r="U306" s="3">
        <v>45726.685629722233</v>
      </c>
    </row>
    <row r="307" spans="1:21" x14ac:dyDescent="0.2">
      <c r="A307" s="2" t="str">
        <f>HYPERLINK("https://portal.hubmapconsortium.org/browse/sample/b41a28fe7ed4d547f2844a556171c020", "HBM834.DTLS.928")</f>
        <v>HBM834.DTLS.928</v>
      </c>
      <c r="B307" t="s">
        <v>763</v>
      </c>
      <c r="C307" t="s">
        <v>764</v>
      </c>
      <c r="D307" s="2" t="b">
        <v>0</v>
      </c>
      <c r="E307" s="2" t="str">
        <f t="shared" si="18"/>
        <v>HBM387.FLPV.658</v>
      </c>
      <c r="F307" t="s">
        <v>771</v>
      </c>
      <c r="J307" t="s">
        <v>772</v>
      </c>
      <c r="K307" t="s">
        <v>20</v>
      </c>
      <c r="L307" t="s">
        <v>21</v>
      </c>
      <c r="M307" t="s">
        <v>22</v>
      </c>
      <c r="N307" s="2" t="b">
        <v>0</v>
      </c>
      <c r="O307" s="2" t="s">
        <v>766</v>
      </c>
      <c r="P307" t="s">
        <v>77</v>
      </c>
      <c r="Q307" t="s">
        <v>167</v>
      </c>
      <c r="R307" t="s">
        <v>168</v>
      </c>
      <c r="S307" t="s">
        <v>169</v>
      </c>
      <c r="T307" s="3">
        <v>45726.685652430548</v>
      </c>
      <c r="U307" s="3">
        <v>45726.685652430548</v>
      </c>
    </row>
    <row r="308" spans="1:21" x14ac:dyDescent="0.2">
      <c r="A308" s="2" t="str">
        <f>HYPERLINK("https://portal.hubmapconsortium.org/browse/sample/db2d21f65dea4cdb41fff83df2c37481", "HBM323.VXCD.463")</f>
        <v>HBM323.VXCD.463</v>
      </c>
      <c r="B308" t="s">
        <v>763</v>
      </c>
      <c r="C308" t="s">
        <v>764</v>
      </c>
      <c r="D308" s="2" t="b">
        <v>0</v>
      </c>
      <c r="E308" s="2" t="str">
        <f t="shared" si="18"/>
        <v>HBM387.FLPV.658</v>
      </c>
      <c r="F308" t="s">
        <v>773</v>
      </c>
      <c r="J308" t="s">
        <v>401</v>
      </c>
      <c r="K308" t="s">
        <v>20</v>
      </c>
      <c r="L308" t="s">
        <v>21</v>
      </c>
      <c r="M308" t="s">
        <v>22</v>
      </c>
      <c r="N308" s="2" t="b">
        <v>0</v>
      </c>
      <c r="O308" s="2" t="s">
        <v>766</v>
      </c>
      <c r="P308" t="s">
        <v>24</v>
      </c>
      <c r="Q308" t="s">
        <v>167</v>
      </c>
      <c r="R308" t="s">
        <v>168</v>
      </c>
      <c r="S308" t="s">
        <v>169</v>
      </c>
      <c r="T308" s="3">
        <v>45726.685672372689</v>
      </c>
      <c r="U308" s="3">
        <v>45726.685672372689</v>
      </c>
    </row>
    <row r="309" spans="1:21" x14ac:dyDescent="0.2">
      <c r="A309" s="2" t="str">
        <f>HYPERLINK("https://portal.hubmapconsortium.org/browse/sample/164b4a33fdbfcb47dbd716dcfec19835", "HBM579.BCKS.947")</f>
        <v>HBM579.BCKS.947</v>
      </c>
      <c r="B309" t="s">
        <v>763</v>
      </c>
      <c r="C309" t="s">
        <v>764</v>
      </c>
      <c r="D309" s="2" t="b">
        <v>0</v>
      </c>
      <c r="E309" s="2" t="str">
        <f t="shared" si="18"/>
        <v>HBM387.FLPV.658</v>
      </c>
      <c r="F309" t="s">
        <v>775</v>
      </c>
      <c r="J309" t="s">
        <v>768</v>
      </c>
      <c r="K309" t="s">
        <v>20</v>
      </c>
      <c r="L309" t="s">
        <v>21</v>
      </c>
      <c r="M309" t="s">
        <v>22</v>
      </c>
      <c r="N309" s="2" t="b">
        <v>0</v>
      </c>
      <c r="O309" s="2" t="s">
        <v>766</v>
      </c>
      <c r="P309" t="s">
        <v>77</v>
      </c>
      <c r="Q309" t="s">
        <v>167</v>
      </c>
      <c r="R309" t="s">
        <v>168</v>
      </c>
      <c r="S309" t="s">
        <v>169</v>
      </c>
      <c r="T309" s="3">
        <v>45726.685696412038</v>
      </c>
      <c r="U309" s="3">
        <v>45726.685696412038</v>
      </c>
    </row>
    <row r="310" spans="1:21" x14ac:dyDescent="0.2">
      <c r="A310" s="2" t="str">
        <f>HYPERLINK("https://portal.hubmapconsortium.org/browse/sample/8ce8e3ded04746345a6feb8000ba8d63", "HBM839.WPFM.642")</f>
        <v>HBM839.WPFM.642</v>
      </c>
      <c r="B310" t="s">
        <v>763</v>
      </c>
      <c r="C310" t="s">
        <v>764</v>
      </c>
      <c r="D310" s="2" t="b">
        <v>0</v>
      </c>
      <c r="E310" s="2" t="str">
        <f t="shared" si="18"/>
        <v>HBM387.FLPV.658</v>
      </c>
      <c r="F310" t="s">
        <v>776</v>
      </c>
      <c r="J310" t="s">
        <v>770</v>
      </c>
      <c r="K310" t="s">
        <v>20</v>
      </c>
      <c r="L310" t="s">
        <v>21</v>
      </c>
      <c r="M310" t="s">
        <v>22</v>
      </c>
      <c r="N310" s="2" t="b">
        <v>0</v>
      </c>
      <c r="O310" s="2" t="s">
        <v>766</v>
      </c>
      <c r="P310" t="s">
        <v>77</v>
      </c>
      <c r="Q310" t="s">
        <v>167</v>
      </c>
      <c r="R310" t="s">
        <v>168</v>
      </c>
      <c r="S310" t="s">
        <v>169</v>
      </c>
      <c r="T310" s="3">
        <v>45726.685720879628</v>
      </c>
      <c r="U310" s="3">
        <v>45726.685720879628</v>
      </c>
    </row>
    <row r="311" spans="1:21" x14ac:dyDescent="0.2">
      <c r="A311" s="2" t="str">
        <f>HYPERLINK("https://portal.hubmapconsortium.org/browse/sample/88f8b551dcb06d979c380e5b45767963", "HBM977.RVNW.268")</f>
        <v>HBM977.RVNW.268</v>
      </c>
      <c r="B311" t="s">
        <v>763</v>
      </c>
      <c r="C311" t="s">
        <v>764</v>
      </c>
      <c r="D311" s="2" t="b">
        <v>0</v>
      </c>
      <c r="E311" s="2" t="str">
        <f t="shared" si="18"/>
        <v>HBM387.FLPV.658</v>
      </c>
      <c r="F311" t="s">
        <v>777</v>
      </c>
      <c r="J311" t="s">
        <v>772</v>
      </c>
      <c r="K311" t="s">
        <v>20</v>
      </c>
      <c r="L311" t="s">
        <v>21</v>
      </c>
      <c r="M311" t="s">
        <v>22</v>
      </c>
      <c r="N311" s="2" t="b">
        <v>0</v>
      </c>
      <c r="O311" s="2" t="s">
        <v>766</v>
      </c>
      <c r="P311" t="s">
        <v>77</v>
      </c>
      <c r="Q311" t="s">
        <v>167</v>
      </c>
      <c r="R311" t="s">
        <v>168</v>
      </c>
      <c r="S311" t="s">
        <v>169</v>
      </c>
      <c r="T311" s="3">
        <v>45726.685746423609</v>
      </c>
      <c r="U311" s="3">
        <v>45726.685746423609</v>
      </c>
    </row>
    <row r="312" spans="1:21" x14ac:dyDescent="0.2">
      <c r="A312" s="2" t="str">
        <f>HYPERLINK("https://portal.hubmapconsortium.org/browse/sample/474e2a00aed43002bda1c22a75e7a4b3", "HBM392.XTCF.759")</f>
        <v>HBM392.XTCF.759</v>
      </c>
      <c r="B312" t="s">
        <v>763</v>
      </c>
      <c r="C312" t="s">
        <v>764</v>
      </c>
      <c r="D312" s="2" t="b">
        <v>0</v>
      </c>
      <c r="E312" s="2" t="str">
        <f t="shared" si="18"/>
        <v>HBM387.FLPV.658</v>
      </c>
      <c r="F312" t="s">
        <v>778</v>
      </c>
      <c r="J312" t="s">
        <v>401</v>
      </c>
      <c r="K312" t="s">
        <v>20</v>
      </c>
      <c r="L312" t="s">
        <v>21</v>
      </c>
      <c r="M312" t="s">
        <v>22</v>
      </c>
      <c r="N312" s="2" t="b">
        <v>0</v>
      </c>
      <c r="O312" s="2" t="s">
        <v>766</v>
      </c>
      <c r="P312" t="s">
        <v>24</v>
      </c>
      <c r="Q312" t="s">
        <v>167</v>
      </c>
      <c r="R312" t="s">
        <v>168</v>
      </c>
      <c r="S312" t="s">
        <v>169</v>
      </c>
      <c r="T312" s="3">
        <v>45726.68577142361</v>
      </c>
      <c r="U312" s="3">
        <v>45726.68577142361</v>
      </c>
    </row>
    <row r="313" spans="1:21" x14ac:dyDescent="0.2">
      <c r="A313" s="2" t="str">
        <f>HYPERLINK("https://portal.hubmapconsortium.org/browse/sample/f583c88f020fdd3fdd5e78e47d0af716", "HBM632.LPKH.747")</f>
        <v>HBM632.LPKH.747</v>
      </c>
      <c r="B313" t="s">
        <v>763</v>
      </c>
      <c r="C313" t="s">
        <v>779</v>
      </c>
      <c r="D313" s="2" t="b">
        <v>0</v>
      </c>
      <c r="E313" s="2" t="str">
        <f t="shared" ref="E313:E344" si="19">HYPERLINK("https://portal.hubmapconsortium.org/browse/sample/76b132346676d19ecc52dd0e7f6ec220", "HBM758.PXTF.453")</f>
        <v>HBM758.PXTF.453</v>
      </c>
      <c r="F313" t="s">
        <v>783</v>
      </c>
      <c r="J313" t="s">
        <v>784</v>
      </c>
      <c r="K313" t="s">
        <v>20</v>
      </c>
      <c r="L313" t="s">
        <v>21</v>
      </c>
      <c r="M313" t="s">
        <v>22</v>
      </c>
      <c r="N313" s="2" t="b">
        <v>0</v>
      </c>
      <c r="O313" s="2" t="s">
        <v>766</v>
      </c>
      <c r="P313" t="s">
        <v>77</v>
      </c>
      <c r="Q313" t="s">
        <v>167</v>
      </c>
      <c r="R313" t="s">
        <v>168</v>
      </c>
      <c r="S313" t="s">
        <v>169</v>
      </c>
      <c r="T313" s="3">
        <v>45726.700840532409</v>
      </c>
      <c r="U313" s="3">
        <v>45726.700840532409</v>
      </c>
    </row>
    <row r="314" spans="1:21" x14ac:dyDescent="0.2">
      <c r="A314" s="2" t="str">
        <f>HYPERLINK("https://portal.hubmapconsortium.org/browse/sample/fdc84e6caf3816718f1070120d65bec5", "HBM879.WFZP.765")</f>
        <v>HBM879.WFZP.765</v>
      </c>
      <c r="B314" t="s">
        <v>763</v>
      </c>
      <c r="C314" t="s">
        <v>779</v>
      </c>
      <c r="D314" s="2" t="b">
        <v>0</v>
      </c>
      <c r="E314" s="2" t="str">
        <f t="shared" si="19"/>
        <v>HBM758.PXTF.453</v>
      </c>
      <c r="F314" t="s">
        <v>785</v>
      </c>
      <c r="J314" t="s">
        <v>786</v>
      </c>
      <c r="K314" t="s">
        <v>20</v>
      </c>
      <c r="L314" t="s">
        <v>21</v>
      </c>
      <c r="M314" t="s">
        <v>22</v>
      </c>
      <c r="N314" s="2" t="b">
        <v>0</v>
      </c>
      <c r="O314" s="2" t="s">
        <v>766</v>
      </c>
      <c r="P314" t="s">
        <v>77</v>
      </c>
      <c r="Q314" t="s">
        <v>167</v>
      </c>
      <c r="R314" t="s">
        <v>168</v>
      </c>
      <c r="S314" t="s">
        <v>169</v>
      </c>
      <c r="T314" s="3">
        <v>45726.700859780103</v>
      </c>
      <c r="U314" s="3">
        <v>45726.700859780103</v>
      </c>
    </row>
    <row r="315" spans="1:21" x14ac:dyDescent="0.2">
      <c r="A315" s="2" t="str">
        <f>HYPERLINK("https://portal.hubmapconsortium.org/browse/sample/b498c0d33b7c4b96eecebdf59bb51002", "HBM294.CDRV.327")</f>
        <v>HBM294.CDRV.327</v>
      </c>
      <c r="B315" t="s">
        <v>763</v>
      </c>
      <c r="C315" t="s">
        <v>779</v>
      </c>
      <c r="D315" s="2" t="b">
        <v>0</v>
      </c>
      <c r="E315" s="2" t="str">
        <f t="shared" si="19"/>
        <v>HBM758.PXTF.453</v>
      </c>
      <c r="F315" t="s">
        <v>787</v>
      </c>
      <c r="J315" t="s">
        <v>788</v>
      </c>
      <c r="K315" t="s">
        <v>20</v>
      </c>
      <c r="L315" t="s">
        <v>21</v>
      </c>
      <c r="M315" t="s">
        <v>22</v>
      </c>
      <c r="N315" s="2" t="b">
        <v>0</v>
      </c>
      <c r="O315" s="2" t="s">
        <v>766</v>
      </c>
      <c r="P315" t="s">
        <v>77</v>
      </c>
      <c r="Q315" t="s">
        <v>167</v>
      </c>
      <c r="R315" t="s">
        <v>168</v>
      </c>
      <c r="S315" t="s">
        <v>169</v>
      </c>
      <c r="T315" s="3">
        <v>45726.700879849537</v>
      </c>
      <c r="U315" s="3">
        <v>45726.700879849537</v>
      </c>
    </row>
    <row r="316" spans="1:21" x14ac:dyDescent="0.2">
      <c r="A316" s="2" t="str">
        <f>HYPERLINK("https://portal.hubmapconsortium.org/browse/sample/029031d89e3a9a22f357f23ad7ad8569", "HBM733.GHHT.994")</f>
        <v>HBM733.GHHT.994</v>
      </c>
      <c r="B316" t="s">
        <v>763</v>
      </c>
      <c r="C316" t="s">
        <v>779</v>
      </c>
      <c r="D316" s="2" t="b">
        <v>0</v>
      </c>
      <c r="E316" s="2" t="str">
        <f t="shared" si="19"/>
        <v>HBM758.PXTF.453</v>
      </c>
      <c r="F316" t="s">
        <v>789</v>
      </c>
      <c r="J316" t="s">
        <v>420</v>
      </c>
      <c r="K316" t="s">
        <v>20</v>
      </c>
      <c r="L316" t="s">
        <v>21</v>
      </c>
      <c r="M316" t="s">
        <v>22</v>
      </c>
      <c r="N316" s="2" t="b">
        <v>0</v>
      </c>
      <c r="O316" s="2" t="s">
        <v>766</v>
      </c>
      <c r="P316" t="s">
        <v>24</v>
      </c>
      <c r="Q316" t="s">
        <v>167</v>
      </c>
      <c r="R316" t="s">
        <v>168</v>
      </c>
      <c r="S316" t="s">
        <v>169</v>
      </c>
      <c r="T316" s="3">
        <v>45726.700899479169</v>
      </c>
      <c r="U316" s="3">
        <v>45726.700899479169</v>
      </c>
    </row>
    <row r="317" spans="1:21" x14ac:dyDescent="0.2">
      <c r="A317" s="2" t="str">
        <f>HYPERLINK("https://portal.hubmapconsortium.org/browse/sample/0c7972676e993c59f7d3facaa6bff018", "HBM259.LLGN.592")</f>
        <v>HBM259.LLGN.592</v>
      </c>
      <c r="B317" t="s">
        <v>763</v>
      </c>
      <c r="C317" t="s">
        <v>779</v>
      </c>
      <c r="D317" s="2" t="b">
        <v>0</v>
      </c>
      <c r="E317" s="2" t="str">
        <f t="shared" si="19"/>
        <v>HBM758.PXTF.453</v>
      </c>
      <c r="F317" t="s">
        <v>791</v>
      </c>
      <c r="J317" t="s">
        <v>792</v>
      </c>
      <c r="K317" t="s">
        <v>20</v>
      </c>
      <c r="L317" t="s">
        <v>21</v>
      </c>
      <c r="M317" t="s">
        <v>22</v>
      </c>
      <c r="N317" s="2" t="b">
        <v>0</v>
      </c>
      <c r="O317" s="2" t="s">
        <v>766</v>
      </c>
      <c r="P317" t="s">
        <v>77</v>
      </c>
      <c r="Q317" t="s">
        <v>167</v>
      </c>
      <c r="R317" t="s">
        <v>168</v>
      </c>
      <c r="S317" t="s">
        <v>169</v>
      </c>
      <c r="T317" s="3">
        <v>45726.700919849543</v>
      </c>
      <c r="U317" s="3">
        <v>45726.700919849543</v>
      </c>
    </row>
    <row r="318" spans="1:21" x14ac:dyDescent="0.2">
      <c r="A318" s="2" t="str">
        <f>HYPERLINK("https://portal.hubmapconsortium.org/browse/sample/4077db05f9ff4097a1dbe5d4eb0632ef", "HBM275.LTQX.937")</f>
        <v>HBM275.LTQX.937</v>
      </c>
      <c r="B318" t="s">
        <v>763</v>
      </c>
      <c r="C318" t="s">
        <v>779</v>
      </c>
      <c r="D318" s="2" t="b">
        <v>0</v>
      </c>
      <c r="E318" s="2" t="str">
        <f t="shared" si="19"/>
        <v>HBM758.PXTF.453</v>
      </c>
      <c r="F318" t="s">
        <v>793</v>
      </c>
      <c r="J318" t="s">
        <v>794</v>
      </c>
      <c r="K318" t="s">
        <v>20</v>
      </c>
      <c r="L318" t="s">
        <v>21</v>
      </c>
      <c r="M318" t="s">
        <v>22</v>
      </c>
      <c r="N318" s="2" t="b">
        <v>0</v>
      </c>
      <c r="O318" s="2" t="s">
        <v>766</v>
      </c>
      <c r="P318" t="s">
        <v>77</v>
      </c>
      <c r="Q318" t="s">
        <v>167</v>
      </c>
      <c r="R318" t="s">
        <v>168</v>
      </c>
      <c r="S318" t="s">
        <v>169</v>
      </c>
      <c r="T318" s="3">
        <v>45726.70094130787</v>
      </c>
      <c r="U318" s="3">
        <v>45726.70094130787</v>
      </c>
    </row>
    <row r="319" spans="1:21" x14ac:dyDescent="0.2">
      <c r="A319" s="2" t="str">
        <f>HYPERLINK("https://portal.hubmapconsortium.org/browse/sample/f3c0a28837ee674382eee501d40bef71", "HBM767.DTRP.663")</f>
        <v>HBM767.DTRP.663</v>
      </c>
      <c r="B319" t="s">
        <v>763</v>
      </c>
      <c r="C319" t="s">
        <v>779</v>
      </c>
      <c r="D319" s="2" t="b">
        <v>0</v>
      </c>
      <c r="E319" s="2" t="str">
        <f t="shared" si="19"/>
        <v>HBM758.PXTF.453</v>
      </c>
      <c r="F319" t="s">
        <v>795</v>
      </c>
      <c r="J319" t="s">
        <v>796</v>
      </c>
      <c r="K319" t="s">
        <v>20</v>
      </c>
      <c r="L319" t="s">
        <v>21</v>
      </c>
      <c r="M319" t="s">
        <v>22</v>
      </c>
      <c r="N319" s="2" t="b">
        <v>0</v>
      </c>
      <c r="O319" s="2" t="s">
        <v>766</v>
      </c>
      <c r="P319" t="s">
        <v>77</v>
      </c>
      <c r="Q319" t="s">
        <v>167</v>
      </c>
      <c r="R319" t="s">
        <v>168</v>
      </c>
      <c r="S319" t="s">
        <v>169</v>
      </c>
      <c r="T319" s="3">
        <v>45726.700959953712</v>
      </c>
      <c r="U319" s="3">
        <v>45726.700959953712</v>
      </c>
    </row>
    <row r="320" spans="1:21" x14ac:dyDescent="0.2">
      <c r="A320" s="2" t="str">
        <f>HYPERLINK("https://portal.hubmapconsortium.org/browse/sample/9e4a2e02b51dd46978ff15f246cd5646", "HBM498.LZHN.484")</f>
        <v>HBM498.LZHN.484</v>
      </c>
      <c r="B320" t="s">
        <v>763</v>
      </c>
      <c r="C320" t="s">
        <v>779</v>
      </c>
      <c r="D320" s="2" t="b">
        <v>0</v>
      </c>
      <c r="E320" s="2" t="str">
        <f t="shared" si="19"/>
        <v>HBM758.PXTF.453</v>
      </c>
      <c r="F320" t="s">
        <v>797</v>
      </c>
      <c r="J320" t="s">
        <v>430</v>
      </c>
      <c r="K320" t="s">
        <v>20</v>
      </c>
      <c r="L320" t="s">
        <v>21</v>
      </c>
      <c r="M320" t="s">
        <v>22</v>
      </c>
      <c r="N320" s="2" t="b">
        <v>0</v>
      </c>
      <c r="O320" s="2" t="s">
        <v>766</v>
      </c>
      <c r="P320" t="s">
        <v>24</v>
      </c>
      <c r="Q320" t="s">
        <v>167</v>
      </c>
      <c r="R320" t="s">
        <v>168</v>
      </c>
      <c r="S320" t="s">
        <v>169</v>
      </c>
      <c r="T320" s="3">
        <v>45726.700981018519</v>
      </c>
      <c r="U320" s="3">
        <v>45726.700981018519</v>
      </c>
    </row>
    <row r="321" spans="1:21" x14ac:dyDescent="0.2">
      <c r="A321" s="2" t="str">
        <f>HYPERLINK("https://portal.hubmapconsortium.org/browse/sample/6310ad325bb162a5d081114758fd6c4c", "HBM797.VMLR.565")</f>
        <v>HBM797.VMLR.565</v>
      </c>
      <c r="B321" t="s">
        <v>763</v>
      </c>
      <c r="C321" t="s">
        <v>779</v>
      </c>
      <c r="D321" s="2" t="b">
        <v>0</v>
      </c>
      <c r="E321" s="2" t="str">
        <f t="shared" si="19"/>
        <v>HBM758.PXTF.453</v>
      </c>
      <c r="F321" t="s">
        <v>799</v>
      </c>
      <c r="J321" t="s">
        <v>800</v>
      </c>
      <c r="K321" t="s">
        <v>20</v>
      </c>
      <c r="L321" t="s">
        <v>21</v>
      </c>
      <c r="M321" t="s">
        <v>22</v>
      </c>
      <c r="N321" s="2" t="b">
        <v>0</v>
      </c>
      <c r="O321" s="2" t="s">
        <v>766</v>
      </c>
      <c r="P321" t="s">
        <v>77</v>
      </c>
      <c r="Q321" t="s">
        <v>167</v>
      </c>
      <c r="R321" t="s">
        <v>168</v>
      </c>
      <c r="S321" t="s">
        <v>169</v>
      </c>
      <c r="T321" s="3">
        <v>45726.701000949077</v>
      </c>
      <c r="U321" s="3">
        <v>45726.701000949077</v>
      </c>
    </row>
    <row r="322" spans="1:21" x14ac:dyDescent="0.2">
      <c r="A322" s="2" t="str">
        <f>HYPERLINK("https://portal.hubmapconsortium.org/browse/sample/f1f74418f040a5def71636970ae0284c", "HBM645.LMSN.866")</f>
        <v>HBM645.LMSN.866</v>
      </c>
      <c r="B322" t="s">
        <v>763</v>
      </c>
      <c r="C322" t="s">
        <v>779</v>
      </c>
      <c r="D322" s="2" t="b">
        <v>0</v>
      </c>
      <c r="E322" s="2" t="str">
        <f t="shared" si="19"/>
        <v>HBM758.PXTF.453</v>
      </c>
      <c r="F322" t="s">
        <v>801</v>
      </c>
      <c r="J322" t="s">
        <v>802</v>
      </c>
      <c r="K322" t="s">
        <v>20</v>
      </c>
      <c r="L322" t="s">
        <v>21</v>
      </c>
      <c r="M322" t="s">
        <v>22</v>
      </c>
      <c r="N322" s="2" t="b">
        <v>0</v>
      </c>
      <c r="O322" s="2" t="s">
        <v>766</v>
      </c>
      <c r="P322" t="s">
        <v>77</v>
      </c>
      <c r="Q322" t="s">
        <v>167</v>
      </c>
      <c r="R322" t="s">
        <v>168</v>
      </c>
      <c r="S322" t="s">
        <v>169</v>
      </c>
      <c r="T322" s="3">
        <v>45726.70101946759</v>
      </c>
      <c r="U322" s="3">
        <v>45726.70101946759</v>
      </c>
    </row>
    <row r="323" spans="1:21" x14ac:dyDescent="0.2">
      <c r="A323" s="2" t="str">
        <f>HYPERLINK("https://portal.hubmapconsortium.org/browse/sample/085b8ca54946d7017eac6d2fc191e0dc", "HBM572.FVCS.756")</f>
        <v>HBM572.FVCS.756</v>
      </c>
      <c r="B323" t="s">
        <v>763</v>
      </c>
      <c r="C323" t="s">
        <v>779</v>
      </c>
      <c r="D323" s="2" t="b">
        <v>0</v>
      </c>
      <c r="E323" s="2" t="str">
        <f t="shared" si="19"/>
        <v>HBM758.PXTF.453</v>
      </c>
      <c r="F323" t="s">
        <v>803</v>
      </c>
      <c r="J323" t="s">
        <v>804</v>
      </c>
      <c r="K323" t="s">
        <v>20</v>
      </c>
      <c r="L323" t="s">
        <v>21</v>
      </c>
      <c r="M323" t="s">
        <v>22</v>
      </c>
      <c r="N323" s="2" t="b">
        <v>0</v>
      </c>
      <c r="O323" s="2" t="s">
        <v>766</v>
      </c>
      <c r="P323" t="s">
        <v>77</v>
      </c>
      <c r="Q323" t="s">
        <v>167</v>
      </c>
      <c r="R323" t="s">
        <v>168</v>
      </c>
      <c r="S323" t="s">
        <v>169</v>
      </c>
      <c r="T323" s="3">
        <v>45726.701036921288</v>
      </c>
      <c r="U323" s="3">
        <v>45726.701036921288</v>
      </c>
    </row>
    <row r="324" spans="1:21" x14ac:dyDescent="0.2">
      <c r="A324" s="2" t="str">
        <f>HYPERLINK("https://portal.hubmapconsortium.org/browse/sample/33b97402e4d0a8f1d6d2ddeb9d603504", "HBM838.HWXK.327")</f>
        <v>HBM838.HWXK.327</v>
      </c>
      <c r="B324" t="s">
        <v>763</v>
      </c>
      <c r="C324" t="s">
        <v>779</v>
      </c>
      <c r="D324" s="2" t="b">
        <v>0</v>
      </c>
      <c r="E324" s="2" t="str">
        <f t="shared" si="19"/>
        <v>HBM758.PXTF.453</v>
      </c>
      <c r="F324" t="s">
        <v>805</v>
      </c>
      <c r="J324" t="s">
        <v>440</v>
      </c>
      <c r="K324" t="s">
        <v>20</v>
      </c>
      <c r="L324" t="s">
        <v>21</v>
      </c>
      <c r="M324" t="s">
        <v>22</v>
      </c>
      <c r="N324" s="2" t="b">
        <v>0</v>
      </c>
      <c r="O324" s="2" t="s">
        <v>766</v>
      </c>
      <c r="P324" t="s">
        <v>24</v>
      </c>
      <c r="Q324" t="s">
        <v>167</v>
      </c>
      <c r="R324" t="s">
        <v>168</v>
      </c>
      <c r="S324" t="s">
        <v>169</v>
      </c>
      <c r="T324" s="3">
        <v>45726.701057569437</v>
      </c>
      <c r="U324" s="3">
        <v>45726.701057569437</v>
      </c>
    </row>
    <row r="325" spans="1:21" x14ac:dyDescent="0.2">
      <c r="A325" s="2" t="str">
        <f>HYPERLINK("https://portal.hubmapconsortium.org/browse/sample/1052760ecb2e2d1ac2bb2d3412012652", "HBM372.BHKD.438")</f>
        <v>HBM372.BHKD.438</v>
      </c>
      <c r="B325" t="s">
        <v>763</v>
      </c>
      <c r="C325" t="s">
        <v>779</v>
      </c>
      <c r="D325" s="2" t="b">
        <v>0</v>
      </c>
      <c r="E325" s="2" t="str">
        <f t="shared" si="19"/>
        <v>HBM758.PXTF.453</v>
      </c>
      <c r="F325" t="s">
        <v>807</v>
      </c>
      <c r="J325" t="s">
        <v>808</v>
      </c>
      <c r="K325" t="s">
        <v>20</v>
      </c>
      <c r="L325" t="s">
        <v>21</v>
      </c>
      <c r="M325" t="s">
        <v>22</v>
      </c>
      <c r="N325" s="2" t="b">
        <v>0</v>
      </c>
      <c r="O325" s="2" t="s">
        <v>766</v>
      </c>
      <c r="P325" t="s">
        <v>77</v>
      </c>
      <c r="Q325" t="s">
        <v>167</v>
      </c>
      <c r="R325" t="s">
        <v>168</v>
      </c>
      <c r="S325" t="s">
        <v>169</v>
      </c>
      <c r="T325" s="3">
        <v>45726.701076828707</v>
      </c>
      <c r="U325" s="3">
        <v>45726.701076828707</v>
      </c>
    </row>
    <row r="326" spans="1:21" x14ac:dyDescent="0.2">
      <c r="A326" s="2" t="str">
        <f>HYPERLINK("https://portal.hubmapconsortium.org/browse/sample/5e6e8101528bb82c9f85d15601736e93", "HBM657.FDRV.875")</f>
        <v>HBM657.FDRV.875</v>
      </c>
      <c r="B326" t="s">
        <v>763</v>
      </c>
      <c r="C326" t="s">
        <v>779</v>
      </c>
      <c r="D326" s="2" t="b">
        <v>0</v>
      </c>
      <c r="E326" s="2" t="str">
        <f t="shared" si="19"/>
        <v>HBM758.PXTF.453</v>
      </c>
      <c r="F326" t="s">
        <v>809</v>
      </c>
      <c r="J326" t="s">
        <v>810</v>
      </c>
      <c r="K326" t="s">
        <v>20</v>
      </c>
      <c r="L326" t="s">
        <v>21</v>
      </c>
      <c r="M326" t="s">
        <v>22</v>
      </c>
      <c r="N326" s="2" t="b">
        <v>0</v>
      </c>
      <c r="O326" s="2" t="s">
        <v>766</v>
      </c>
      <c r="P326" t="s">
        <v>77</v>
      </c>
      <c r="Q326" t="s">
        <v>167</v>
      </c>
      <c r="R326" t="s">
        <v>168</v>
      </c>
      <c r="S326" t="s">
        <v>169</v>
      </c>
      <c r="T326" s="3">
        <v>45726.70109771991</v>
      </c>
      <c r="U326" s="3">
        <v>45726.70109771991</v>
      </c>
    </row>
    <row r="327" spans="1:21" x14ac:dyDescent="0.2">
      <c r="A327" s="2" t="str">
        <f>HYPERLINK("https://portal.hubmapconsortium.org/browse/sample/5bbb2d61384d2cb2cd1e77e86261792f", "HBM395.CCCZ.997")</f>
        <v>HBM395.CCCZ.997</v>
      </c>
      <c r="B327" t="s">
        <v>763</v>
      </c>
      <c r="C327" t="s">
        <v>779</v>
      </c>
      <c r="D327" s="2" t="b">
        <v>0</v>
      </c>
      <c r="E327" s="2" t="str">
        <f t="shared" si="19"/>
        <v>HBM758.PXTF.453</v>
      </c>
      <c r="F327" t="s">
        <v>811</v>
      </c>
      <c r="J327" t="s">
        <v>812</v>
      </c>
      <c r="K327" t="s">
        <v>20</v>
      </c>
      <c r="L327" t="s">
        <v>21</v>
      </c>
      <c r="M327" t="s">
        <v>22</v>
      </c>
      <c r="N327" s="2" t="b">
        <v>0</v>
      </c>
      <c r="O327" s="2" t="s">
        <v>766</v>
      </c>
      <c r="P327" t="s">
        <v>77</v>
      </c>
      <c r="Q327" t="s">
        <v>167</v>
      </c>
      <c r="R327" t="s">
        <v>168</v>
      </c>
      <c r="S327" t="s">
        <v>169</v>
      </c>
      <c r="T327" s="3">
        <v>45726.701118379628</v>
      </c>
      <c r="U327" s="3">
        <v>45726.701118379628</v>
      </c>
    </row>
    <row r="328" spans="1:21" x14ac:dyDescent="0.2">
      <c r="A328" s="2" t="str">
        <f>HYPERLINK("https://portal.hubmapconsortium.org/browse/sample/b31afcbae826467cb08bb9570b68ebfa", "HBM838.LCGG.839")</f>
        <v>HBM838.LCGG.839</v>
      </c>
      <c r="B328" t="s">
        <v>763</v>
      </c>
      <c r="C328" t="s">
        <v>779</v>
      </c>
      <c r="D328" s="2" t="b">
        <v>0</v>
      </c>
      <c r="E328" s="2" t="str">
        <f t="shared" si="19"/>
        <v>HBM758.PXTF.453</v>
      </c>
      <c r="F328" t="s">
        <v>813</v>
      </c>
      <c r="J328" t="s">
        <v>450</v>
      </c>
      <c r="K328" t="s">
        <v>20</v>
      </c>
      <c r="L328" t="s">
        <v>21</v>
      </c>
      <c r="M328" t="s">
        <v>22</v>
      </c>
      <c r="N328" s="2" t="b">
        <v>0</v>
      </c>
      <c r="O328" s="2" t="s">
        <v>766</v>
      </c>
      <c r="P328" t="s">
        <v>24</v>
      </c>
      <c r="Q328" t="s">
        <v>167</v>
      </c>
      <c r="R328" t="s">
        <v>168</v>
      </c>
      <c r="S328" t="s">
        <v>169</v>
      </c>
      <c r="T328" s="3">
        <v>45726.701138472221</v>
      </c>
      <c r="U328" s="3">
        <v>45726.701138472221</v>
      </c>
    </row>
    <row r="329" spans="1:21" x14ac:dyDescent="0.2">
      <c r="A329" s="2" t="str">
        <f>HYPERLINK("https://portal.hubmapconsortium.org/browse/sample/bc9f34ae876a1c145a4b59ac8d6d872d", "HBM624.JGBB.838")</f>
        <v>HBM624.JGBB.838</v>
      </c>
      <c r="B329" t="s">
        <v>763</v>
      </c>
      <c r="C329" t="s">
        <v>779</v>
      </c>
      <c r="D329" s="2" t="b">
        <v>0</v>
      </c>
      <c r="E329" s="2" t="str">
        <f t="shared" si="19"/>
        <v>HBM758.PXTF.453</v>
      </c>
      <c r="F329" t="s">
        <v>815</v>
      </c>
      <c r="J329" t="s">
        <v>784</v>
      </c>
      <c r="K329" t="s">
        <v>20</v>
      </c>
      <c r="L329" t="s">
        <v>21</v>
      </c>
      <c r="M329" t="s">
        <v>22</v>
      </c>
      <c r="N329" s="2" t="b">
        <v>0</v>
      </c>
      <c r="O329" s="2" t="s">
        <v>766</v>
      </c>
      <c r="P329" t="s">
        <v>77</v>
      </c>
      <c r="Q329" t="s">
        <v>167</v>
      </c>
      <c r="R329" t="s">
        <v>168</v>
      </c>
      <c r="S329" t="s">
        <v>169</v>
      </c>
      <c r="T329" s="3">
        <v>45726.701159930562</v>
      </c>
      <c r="U329" s="3">
        <v>45726.701159930562</v>
      </c>
    </row>
    <row r="330" spans="1:21" x14ac:dyDescent="0.2">
      <c r="A330" s="2" t="str">
        <f>HYPERLINK("https://portal.hubmapconsortium.org/browse/sample/fc137d3e9ab7321045a16cd49ad867b3", "HBM369.KKCB.279")</f>
        <v>HBM369.KKCB.279</v>
      </c>
      <c r="B330" t="s">
        <v>763</v>
      </c>
      <c r="C330" t="s">
        <v>779</v>
      </c>
      <c r="D330" s="2" t="b">
        <v>0</v>
      </c>
      <c r="E330" s="2" t="str">
        <f t="shared" si="19"/>
        <v>HBM758.PXTF.453</v>
      </c>
      <c r="F330" t="s">
        <v>816</v>
      </c>
      <c r="J330" t="s">
        <v>786</v>
      </c>
      <c r="K330" t="s">
        <v>20</v>
      </c>
      <c r="L330" t="s">
        <v>21</v>
      </c>
      <c r="M330" t="s">
        <v>22</v>
      </c>
      <c r="N330" s="2" t="b">
        <v>0</v>
      </c>
      <c r="O330" s="2" t="s">
        <v>766</v>
      </c>
      <c r="P330" t="s">
        <v>77</v>
      </c>
      <c r="Q330" t="s">
        <v>167</v>
      </c>
      <c r="R330" t="s">
        <v>168</v>
      </c>
      <c r="S330" t="s">
        <v>169</v>
      </c>
      <c r="T330" s="3">
        <v>45726.701179074073</v>
      </c>
      <c r="U330" s="3">
        <v>45726.701179074073</v>
      </c>
    </row>
    <row r="331" spans="1:21" x14ac:dyDescent="0.2">
      <c r="A331" s="2" t="str">
        <f>HYPERLINK("https://portal.hubmapconsortium.org/browse/sample/da1d44f6dd31b7c651c04315baedcae4", "HBM739.DZTS.746")</f>
        <v>HBM739.DZTS.746</v>
      </c>
      <c r="B331" t="s">
        <v>763</v>
      </c>
      <c r="C331" t="s">
        <v>779</v>
      </c>
      <c r="D331" s="2" t="b">
        <v>0</v>
      </c>
      <c r="E331" s="2" t="str">
        <f t="shared" si="19"/>
        <v>HBM758.PXTF.453</v>
      </c>
      <c r="F331" t="s">
        <v>817</v>
      </c>
      <c r="J331" t="s">
        <v>788</v>
      </c>
      <c r="K331" t="s">
        <v>20</v>
      </c>
      <c r="L331" t="s">
        <v>21</v>
      </c>
      <c r="M331" t="s">
        <v>22</v>
      </c>
      <c r="N331" s="2" t="b">
        <v>0</v>
      </c>
      <c r="O331" s="2" t="s">
        <v>766</v>
      </c>
      <c r="P331" t="s">
        <v>77</v>
      </c>
      <c r="Q331" t="s">
        <v>167</v>
      </c>
      <c r="R331" t="s">
        <v>168</v>
      </c>
      <c r="S331" t="s">
        <v>169</v>
      </c>
      <c r="T331" s="3">
        <v>45726.701200173608</v>
      </c>
      <c r="U331" s="3">
        <v>45726.701200173608</v>
      </c>
    </row>
    <row r="332" spans="1:21" x14ac:dyDescent="0.2">
      <c r="A332" s="2" t="str">
        <f>HYPERLINK("https://portal.hubmapconsortium.org/browse/sample/e20f8a04b5c410fb2fbf7edd9f3f8f25", "HBM392.MBWR.547")</f>
        <v>HBM392.MBWR.547</v>
      </c>
      <c r="B332" t="s">
        <v>763</v>
      </c>
      <c r="C332" t="s">
        <v>779</v>
      </c>
      <c r="D332" s="2" t="b">
        <v>0</v>
      </c>
      <c r="E332" s="2" t="str">
        <f t="shared" si="19"/>
        <v>HBM758.PXTF.453</v>
      </c>
      <c r="F332" t="s">
        <v>818</v>
      </c>
      <c r="J332" t="s">
        <v>420</v>
      </c>
      <c r="K332" t="s">
        <v>20</v>
      </c>
      <c r="L332" t="s">
        <v>21</v>
      </c>
      <c r="M332" t="s">
        <v>22</v>
      </c>
      <c r="N332" s="2" t="b">
        <v>0</v>
      </c>
      <c r="O332" s="2" t="s">
        <v>766</v>
      </c>
      <c r="P332" t="s">
        <v>24</v>
      </c>
      <c r="Q332" t="s">
        <v>167</v>
      </c>
      <c r="R332" t="s">
        <v>168</v>
      </c>
      <c r="S332" t="s">
        <v>169</v>
      </c>
      <c r="T332" s="3">
        <v>45726.70121835648</v>
      </c>
      <c r="U332" s="3">
        <v>45726.70121835648</v>
      </c>
    </row>
    <row r="333" spans="1:21" x14ac:dyDescent="0.2">
      <c r="A333" s="2" t="str">
        <f>HYPERLINK("https://portal.hubmapconsortium.org/browse/sample/ae754d2047e1e46c83b25c4eab9c9919", "HBM397.JJXL.374")</f>
        <v>HBM397.JJXL.374</v>
      </c>
      <c r="B333" t="s">
        <v>763</v>
      </c>
      <c r="C333" t="s">
        <v>779</v>
      </c>
      <c r="D333" s="2" t="b">
        <v>0</v>
      </c>
      <c r="E333" s="2" t="str">
        <f t="shared" si="19"/>
        <v>HBM758.PXTF.453</v>
      </c>
      <c r="F333" t="s">
        <v>820</v>
      </c>
      <c r="J333" t="s">
        <v>792</v>
      </c>
      <c r="K333" t="s">
        <v>20</v>
      </c>
      <c r="L333" t="s">
        <v>21</v>
      </c>
      <c r="M333" t="s">
        <v>22</v>
      </c>
      <c r="N333" s="2" t="b">
        <v>0</v>
      </c>
      <c r="O333" s="2" t="s">
        <v>766</v>
      </c>
      <c r="P333" t="s">
        <v>77</v>
      </c>
      <c r="Q333" t="s">
        <v>167</v>
      </c>
      <c r="R333" t="s">
        <v>168</v>
      </c>
      <c r="S333" t="s">
        <v>169</v>
      </c>
      <c r="T333" s="3">
        <v>45726.70123770833</v>
      </c>
      <c r="U333" s="3">
        <v>45726.70123770833</v>
      </c>
    </row>
    <row r="334" spans="1:21" x14ac:dyDescent="0.2">
      <c r="A334" s="2" t="str">
        <f>HYPERLINK("https://portal.hubmapconsortium.org/browse/sample/6d694df002685d64b4e69eb3acd8d058", "HBM889.PCQD.535")</f>
        <v>HBM889.PCQD.535</v>
      </c>
      <c r="B334" t="s">
        <v>763</v>
      </c>
      <c r="C334" t="s">
        <v>779</v>
      </c>
      <c r="D334" s="2" t="b">
        <v>0</v>
      </c>
      <c r="E334" s="2" t="str">
        <f t="shared" si="19"/>
        <v>HBM758.PXTF.453</v>
      </c>
      <c r="F334" t="s">
        <v>821</v>
      </c>
      <c r="J334" t="s">
        <v>794</v>
      </c>
      <c r="K334" t="s">
        <v>20</v>
      </c>
      <c r="L334" t="s">
        <v>21</v>
      </c>
      <c r="M334" t="s">
        <v>22</v>
      </c>
      <c r="N334" s="2" t="b">
        <v>0</v>
      </c>
      <c r="O334" s="2" t="s">
        <v>766</v>
      </c>
      <c r="P334" t="s">
        <v>77</v>
      </c>
      <c r="Q334" t="s">
        <v>167</v>
      </c>
      <c r="R334" t="s">
        <v>168</v>
      </c>
      <c r="S334" t="s">
        <v>169</v>
      </c>
      <c r="T334" s="3">
        <v>45726.701258981477</v>
      </c>
      <c r="U334" s="3">
        <v>45726.701258981477</v>
      </c>
    </row>
    <row r="335" spans="1:21" x14ac:dyDescent="0.2">
      <c r="A335" s="2" t="str">
        <f>HYPERLINK("https://portal.hubmapconsortium.org/browse/sample/146015660ca74408564b0ad1be502e3b", "HBM637.BPSB.287")</f>
        <v>HBM637.BPSB.287</v>
      </c>
      <c r="B335" t="s">
        <v>763</v>
      </c>
      <c r="C335" t="s">
        <v>779</v>
      </c>
      <c r="D335" s="2" t="b">
        <v>0</v>
      </c>
      <c r="E335" s="2" t="str">
        <f t="shared" si="19"/>
        <v>HBM758.PXTF.453</v>
      </c>
      <c r="F335" t="s">
        <v>822</v>
      </c>
      <c r="J335" t="s">
        <v>796</v>
      </c>
      <c r="K335" t="s">
        <v>20</v>
      </c>
      <c r="L335" t="s">
        <v>21</v>
      </c>
      <c r="M335" t="s">
        <v>22</v>
      </c>
      <c r="N335" s="2" t="b">
        <v>0</v>
      </c>
      <c r="O335" s="2" t="s">
        <v>766</v>
      </c>
      <c r="P335" t="s">
        <v>77</v>
      </c>
      <c r="Q335" t="s">
        <v>167</v>
      </c>
      <c r="R335" t="s">
        <v>168</v>
      </c>
      <c r="S335" t="s">
        <v>169</v>
      </c>
      <c r="T335" s="3">
        <v>45726.701280104156</v>
      </c>
      <c r="U335" s="3">
        <v>45726.701280104156</v>
      </c>
    </row>
    <row r="336" spans="1:21" x14ac:dyDescent="0.2">
      <c r="A336" s="2" t="str">
        <f>HYPERLINK("https://portal.hubmapconsortium.org/browse/sample/3582e6228a4b56ae713760813c12e65b", "HBM695.WRHD.967")</f>
        <v>HBM695.WRHD.967</v>
      </c>
      <c r="B336" t="s">
        <v>763</v>
      </c>
      <c r="C336" t="s">
        <v>779</v>
      </c>
      <c r="D336" s="2" t="b">
        <v>0</v>
      </c>
      <c r="E336" s="2" t="str">
        <f t="shared" si="19"/>
        <v>HBM758.PXTF.453</v>
      </c>
      <c r="F336" t="s">
        <v>823</v>
      </c>
      <c r="J336" t="s">
        <v>430</v>
      </c>
      <c r="K336" t="s">
        <v>20</v>
      </c>
      <c r="L336" t="s">
        <v>21</v>
      </c>
      <c r="M336" t="s">
        <v>22</v>
      </c>
      <c r="N336" s="2" t="b">
        <v>0</v>
      </c>
      <c r="O336" s="2" t="s">
        <v>766</v>
      </c>
      <c r="P336" t="s">
        <v>24</v>
      </c>
      <c r="Q336" t="s">
        <v>167</v>
      </c>
      <c r="R336" t="s">
        <v>168</v>
      </c>
      <c r="S336" t="s">
        <v>169</v>
      </c>
      <c r="T336" s="3">
        <v>45726.701305358787</v>
      </c>
      <c r="U336" s="3">
        <v>45726.701305358787</v>
      </c>
    </row>
    <row r="337" spans="1:21" x14ac:dyDescent="0.2">
      <c r="A337" s="2" t="str">
        <f>HYPERLINK("https://portal.hubmapconsortium.org/browse/sample/d6e37bdab2f6d714f8a000b976776e4e", "HBM886.RDCK.722")</f>
        <v>HBM886.RDCK.722</v>
      </c>
      <c r="B337" t="s">
        <v>763</v>
      </c>
      <c r="C337" t="s">
        <v>779</v>
      </c>
      <c r="D337" s="2" t="b">
        <v>0</v>
      </c>
      <c r="E337" s="2" t="str">
        <f t="shared" si="19"/>
        <v>HBM758.PXTF.453</v>
      </c>
      <c r="F337" t="s">
        <v>825</v>
      </c>
      <c r="J337" t="s">
        <v>800</v>
      </c>
      <c r="K337" t="s">
        <v>20</v>
      </c>
      <c r="L337" t="s">
        <v>21</v>
      </c>
      <c r="M337" t="s">
        <v>22</v>
      </c>
      <c r="N337" s="2" t="b">
        <v>0</v>
      </c>
      <c r="O337" s="2" t="s">
        <v>766</v>
      </c>
      <c r="P337" t="s">
        <v>77</v>
      </c>
      <c r="Q337" t="s">
        <v>167</v>
      </c>
      <c r="R337" t="s">
        <v>168</v>
      </c>
      <c r="S337" t="s">
        <v>169</v>
      </c>
      <c r="T337" s="3">
        <v>45726.701323715279</v>
      </c>
      <c r="U337" s="3">
        <v>45726.701323715279</v>
      </c>
    </row>
    <row r="338" spans="1:21" x14ac:dyDescent="0.2">
      <c r="A338" s="2" t="str">
        <f>HYPERLINK("https://portal.hubmapconsortium.org/browse/sample/5e8465a4355e7a2a20cfa7ae09b7b52c", "HBM996.HBHN.528")</f>
        <v>HBM996.HBHN.528</v>
      </c>
      <c r="B338" t="s">
        <v>763</v>
      </c>
      <c r="C338" t="s">
        <v>779</v>
      </c>
      <c r="D338" s="2" t="b">
        <v>0</v>
      </c>
      <c r="E338" s="2" t="str">
        <f t="shared" si="19"/>
        <v>HBM758.PXTF.453</v>
      </c>
      <c r="F338" t="s">
        <v>826</v>
      </c>
      <c r="J338" t="s">
        <v>802</v>
      </c>
      <c r="K338" t="s">
        <v>20</v>
      </c>
      <c r="L338" t="s">
        <v>21</v>
      </c>
      <c r="M338" t="s">
        <v>22</v>
      </c>
      <c r="N338" s="2" t="b">
        <v>0</v>
      </c>
      <c r="O338" s="2" t="s">
        <v>766</v>
      </c>
      <c r="P338" t="s">
        <v>77</v>
      </c>
      <c r="Q338" t="s">
        <v>167</v>
      </c>
      <c r="R338" t="s">
        <v>168</v>
      </c>
      <c r="S338" t="s">
        <v>169</v>
      </c>
      <c r="T338" s="3">
        <v>45726.70134388889</v>
      </c>
      <c r="U338" s="3">
        <v>45726.70134388889</v>
      </c>
    </row>
    <row r="339" spans="1:21" x14ac:dyDescent="0.2">
      <c r="A339" s="2" t="str">
        <f>HYPERLINK("https://portal.hubmapconsortium.org/browse/sample/e982278e8863bfa5a0b480ae6fa63637", "HBM526.LMZW.847")</f>
        <v>HBM526.LMZW.847</v>
      </c>
      <c r="B339" t="s">
        <v>763</v>
      </c>
      <c r="C339" t="s">
        <v>779</v>
      </c>
      <c r="D339" s="2" t="b">
        <v>0</v>
      </c>
      <c r="E339" s="2" t="str">
        <f t="shared" si="19"/>
        <v>HBM758.PXTF.453</v>
      </c>
      <c r="F339" t="s">
        <v>827</v>
      </c>
      <c r="J339" t="s">
        <v>804</v>
      </c>
      <c r="K339" t="s">
        <v>20</v>
      </c>
      <c r="L339" t="s">
        <v>21</v>
      </c>
      <c r="M339" t="s">
        <v>22</v>
      </c>
      <c r="N339" s="2" t="b">
        <v>0</v>
      </c>
      <c r="O339" s="2" t="s">
        <v>766</v>
      </c>
      <c r="P339" t="s">
        <v>77</v>
      </c>
      <c r="Q339" t="s">
        <v>167</v>
      </c>
      <c r="R339" t="s">
        <v>168</v>
      </c>
      <c r="S339" t="s">
        <v>169</v>
      </c>
      <c r="T339" s="3">
        <v>45726.701362905093</v>
      </c>
      <c r="U339" s="3">
        <v>45726.701362905093</v>
      </c>
    </row>
    <row r="340" spans="1:21" x14ac:dyDescent="0.2">
      <c r="A340" s="2" t="str">
        <f>HYPERLINK("https://portal.hubmapconsortium.org/browse/sample/5e429cd3236d7b493849779056f3abbb", "HBM928.JSSN.243")</f>
        <v>HBM928.JSSN.243</v>
      </c>
      <c r="B340" t="s">
        <v>763</v>
      </c>
      <c r="C340" t="s">
        <v>779</v>
      </c>
      <c r="D340" s="2" t="b">
        <v>0</v>
      </c>
      <c r="E340" s="2" t="str">
        <f t="shared" si="19"/>
        <v>HBM758.PXTF.453</v>
      </c>
      <c r="F340" t="s">
        <v>828</v>
      </c>
      <c r="J340" t="s">
        <v>440</v>
      </c>
      <c r="K340" t="s">
        <v>20</v>
      </c>
      <c r="L340" t="s">
        <v>21</v>
      </c>
      <c r="M340" t="s">
        <v>22</v>
      </c>
      <c r="N340" s="2" t="b">
        <v>0</v>
      </c>
      <c r="O340" s="2" t="s">
        <v>766</v>
      </c>
      <c r="P340" t="s">
        <v>24</v>
      </c>
      <c r="Q340" t="s">
        <v>167</v>
      </c>
      <c r="R340" t="s">
        <v>168</v>
      </c>
      <c r="S340" t="s">
        <v>169</v>
      </c>
      <c r="T340" s="3">
        <v>45726.701381608793</v>
      </c>
      <c r="U340" s="3">
        <v>45726.701381608793</v>
      </c>
    </row>
    <row r="341" spans="1:21" x14ac:dyDescent="0.2">
      <c r="A341" s="2" t="str">
        <f>HYPERLINK("https://portal.hubmapconsortium.org/browse/sample/71777cfdc0b03dd52523787c447645be", "HBM896.VNGQ.329")</f>
        <v>HBM896.VNGQ.329</v>
      </c>
      <c r="B341" t="s">
        <v>763</v>
      </c>
      <c r="C341" t="s">
        <v>779</v>
      </c>
      <c r="D341" s="2" t="b">
        <v>0</v>
      </c>
      <c r="E341" s="2" t="str">
        <f t="shared" si="19"/>
        <v>HBM758.PXTF.453</v>
      </c>
      <c r="F341" t="s">
        <v>830</v>
      </c>
      <c r="J341" t="s">
        <v>808</v>
      </c>
      <c r="K341" t="s">
        <v>20</v>
      </c>
      <c r="L341" t="s">
        <v>21</v>
      </c>
      <c r="M341" t="s">
        <v>22</v>
      </c>
      <c r="N341" s="2" t="b">
        <v>0</v>
      </c>
      <c r="O341" s="2" t="s">
        <v>766</v>
      </c>
      <c r="P341" t="s">
        <v>77</v>
      </c>
      <c r="Q341" t="s">
        <v>167</v>
      </c>
      <c r="R341" t="s">
        <v>168</v>
      </c>
      <c r="S341" t="s">
        <v>169</v>
      </c>
      <c r="T341" s="3">
        <v>45726.701402164363</v>
      </c>
      <c r="U341" s="3">
        <v>45726.701402164363</v>
      </c>
    </row>
    <row r="342" spans="1:21" x14ac:dyDescent="0.2">
      <c r="A342" s="2" t="str">
        <f>HYPERLINK("https://portal.hubmapconsortium.org/browse/sample/bcc81c54566950e15f79c246bcbceb51", "HBM985.THXL.898")</f>
        <v>HBM985.THXL.898</v>
      </c>
      <c r="B342" t="s">
        <v>763</v>
      </c>
      <c r="C342" t="s">
        <v>779</v>
      </c>
      <c r="D342" s="2" t="b">
        <v>0</v>
      </c>
      <c r="E342" s="2" t="str">
        <f t="shared" si="19"/>
        <v>HBM758.PXTF.453</v>
      </c>
      <c r="F342" t="s">
        <v>831</v>
      </c>
      <c r="J342" t="s">
        <v>810</v>
      </c>
      <c r="K342" t="s">
        <v>20</v>
      </c>
      <c r="L342" t="s">
        <v>21</v>
      </c>
      <c r="M342" t="s">
        <v>22</v>
      </c>
      <c r="N342" s="2" t="b">
        <v>0</v>
      </c>
      <c r="O342" s="2" t="s">
        <v>766</v>
      </c>
      <c r="P342" t="s">
        <v>77</v>
      </c>
      <c r="Q342" t="s">
        <v>167</v>
      </c>
      <c r="R342" t="s">
        <v>168</v>
      </c>
      <c r="S342" t="s">
        <v>169</v>
      </c>
      <c r="T342" s="3">
        <v>45726.701423194441</v>
      </c>
      <c r="U342" s="3">
        <v>45726.701423194441</v>
      </c>
    </row>
    <row r="343" spans="1:21" x14ac:dyDescent="0.2">
      <c r="A343" s="2" t="str">
        <f>HYPERLINK("https://portal.hubmapconsortium.org/browse/sample/2dc3050efbb28093ff0391842bc5c7a6", "HBM323.SMBF.993")</f>
        <v>HBM323.SMBF.993</v>
      </c>
      <c r="B343" t="s">
        <v>763</v>
      </c>
      <c r="C343" t="s">
        <v>779</v>
      </c>
      <c r="D343" s="2" t="b">
        <v>0</v>
      </c>
      <c r="E343" s="2" t="str">
        <f t="shared" si="19"/>
        <v>HBM758.PXTF.453</v>
      </c>
      <c r="F343" t="s">
        <v>832</v>
      </c>
      <c r="J343" t="s">
        <v>812</v>
      </c>
      <c r="K343" t="s">
        <v>20</v>
      </c>
      <c r="L343" t="s">
        <v>21</v>
      </c>
      <c r="M343" t="s">
        <v>22</v>
      </c>
      <c r="N343" s="2" t="b">
        <v>0</v>
      </c>
      <c r="O343" s="2" t="s">
        <v>766</v>
      </c>
      <c r="P343" t="s">
        <v>77</v>
      </c>
      <c r="Q343" t="s">
        <v>167</v>
      </c>
      <c r="R343" t="s">
        <v>168</v>
      </c>
      <c r="S343" t="s">
        <v>169</v>
      </c>
      <c r="T343" s="3">
        <v>45726.701444178238</v>
      </c>
      <c r="U343" s="3">
        <v>45726.701444178238</v>
      </c>
    </row>
    <row r="344" spans="1:21" x14ac:dyDescent="0.2">
      <c r="A344" s="2" t="str">
        <f>HYPERLINK("https://portal.hubmapconsortium.org/browse/sample/fe74aa5bf2e9cf74caa08d068182d6bb", "HBM288.HMLN.437")</f>
        <v>HBM288.HMLN.437</v>
      </c>
      <c r="B344" t="s">
        <v>763</v>
      </c>
      <c r="C344" t="s">
        <v>779</v>
      </c>
      <c r="D344" s="2" t="b">
        <v>0</v>
      </c>
      <c r="E344" s="2" t="str">
        <f t="shared" si="19"/>
        <v>HBM758.PXTF.453</v>
      </c>
      <c r="F344" t="s">
        <v>833</v>
      </c>
      <c r="J344" t="s">
        <v>450</v>
      </c>
      <c r="K344" t="s">
        <v>20</v>
      </c>
      <c r="L344" t="s">
        <v>21</v>
      </c>
      <c r="M344" t="s">
        <v>22</v>
      </c>
      <c r="N344" s="2" t="b">
        <v>0</v>
      </c>
      <c r="O344" s="2" t="s">
        <v>766</v>
      </c>
      <c r="P344" t="s">
        <v>24</v>
      </c>
      <c r="Q344" t="s">
        <v>167</v>
      </c>
      <c r="R344" t="s">
        <v>168</v>
      </c>
      <c r="S344" t="s">
        <v>169</v>
      </c>
      <c r="T344" s="3">
        <v>45726.701463958343</v>
      </c>
      <c r="U344" s="3">
        <v>45726.701463958343</v>
      </c>
    </row>
    <row r="345" spans="1:21" x14ac:dyDescent="0.2">
      <c r="A345" s="2" t="str">
        <f>HYPERLINK("https://portal.hubmapconsortium.org/browse/sample/7dad5940848bcc0847ea545511849485", "HBM333.HWPG.777")</f>
        <v>HBM333.HWPG.777</v>
      </c>
      <c r="B345" t="s">
        <v>763</v>
      </c>
      <c r="C345" t="s">
        <v>779</v>
      </c>
      <c r="D345" s="2" t="b">
        <v>0</v>
      </c>
      <c r="E345" s="2" t="str">
        <f t="shared" ref="E345:E376" si="20">HYPERLINK("https://portal.hubmapconsortium.org/browse/sample/76b132346676d19ecc52dd0e7f6ec220", "HBM758.PXTF.453")</f>
        <v>HBM758.PXTF.453</v>
      </c>
      <c r="F345" t="s">
        <v>837</v>
      </c>
      <c r="J345" t="s">
        <v>838</v>
      </c>
      <c r="K345" t="s">
        <v>20</v>
      </c>
      <c r="L345" t="s">
        <v>21</v>
      </c>
      <c r="M345" t="s">
        <v>22</v>
      </c>
      <c r="N345" s="2" t="b">
        <v>0</v>
      </c>
      <c r="O345" s="2" t="s">
        <v>766</v>
      </c>
      <c r="P345" t="s">
        <v>77</v>
      </c>
      <c r="Q345" t="s">
        <v>167</v>
      </c>
      <c r="R345" t="s">
        <v>168</v>
      </c>
      <c r="S345" t="s">
        <v>169</v>
      </c>
      <c r="T345" s="3">
        <v>45726.690333599538</v>
      </c>
      <c r="U345" s="3">
        <v>45726.690333599538</v>
      </c>
    </row>
    <row r="346" spans="1:21" x14ac:dyDescent="0.2">
      <c r="A346" s="2" t="str">
        <f>HYPERLINK("https://portal.hubmapconsortium.org/browse/sample/6acb0c4de309282c607a714994e64bac", "HBM366.XMHW.964")</f>
        <v>HBM366.XMHW.964</v>
      </c>
      <c r="B346" t="s">
        <v>763</v>
      </c>
      <c r="C346" t="s">
        <v>779</v>
      </c>
      <c r="D346" s="2" t="b">
        <v>0</v>
      </c>
      <c r="E346" s="2" t="str">
        <f t="shared" si="20"/>
        <v>HBM758.PXTF.453</v>
      </c>
      <c r="F346" t="s">
        <v>839</v>
      </c>
      <c r="J346" t="s">
        <v>840</v>
      </c>
      <c r="K346" t="s">
        <v>20</v>
      </c>
      <c r="L346" t="s">
        <v>21</v>
      </c>
      <c r="M346" t="s">
        <v>22</v>
      </c>
      <c r="N346" s="2" t="b">
        <v>0</v>
      </c>
      <c r="O346" s="2" t="s">
        <v>766</v>
      </c>
      <c r="P346" t="s">
        <v>77</v>
      </c>
      <c r="Q346" t="s">
        <v>167</v>
      </c>
      <c r="R346" t="s">
        <v>168</v>
      </c>
      <c r="S346" t="s">
        <v>169</v>
      </c>
      <c r="T346" s="3">
        <v>45726.690353136582</v>
      </c>
      <c r="U346" s="3">
        <v>45726.690353136582</v>
      </c>
    </row>
    <row r="347" spans="1:21" x14ac:dyDescent="0.2">
      <c r="A347" s="2" t="str">
        <f>HYPERLINK("https://portal.hubmapconsortium.org/browse/sample/90c8496e727ca7840570706029ae49f4", "HBM972.CWQZ.485")</f>
        <v>HBM972.CWQZ.485</v>
      </c>
      <c r="B347" t="s">
        <v>763</v>
      </c>
      <c r="C347" t="s">
        <v>779</v>
      </c>
      <c r="D347" s="2" t="b">
        <v>0</v>
      </c>
      <c r="E347" s="2" t="str">
        <f t="shared" si="20"/>
        <v>HBM758.PXTF.453</v>
      </c>
      <c r="F347" t="s">
        <v>841</v>
      </c>
      <c r="J347" t="s">
        <v>842</v>
      </c>
      <c r="K347" t="s">
        <v>20</v>
      </c>
      <c r="L347" t="s">
        <v>21</v>
      </c>
      <c r="M347" t="s">
        <v>22</v>
      </c>
      <c r="N347" s="2" t="b">
        <v>0</v>
      </c>
      <c r="O347" s="2" t="s">
        <v>766</v>
      </c>
      <c r="P347" t="s">
        <v>77</v>
      </c>
      <c r="Q347" t="s">
        <v>167</v>
      </c>
      <c r="R347" t="s">
        <v>168</v>
      </c>
      <c r="S347" t="s">
        <v>169</v>
      </c>
      <c r="T347" s="3">
        <v>45726.690373206016</v>
      </c>
      <c r="U347" s="3">
        <v>45726.690373206016</v>
      </c>
    </row>
    <row r="348" spans="1:21" x14ac:dyDescent="0.2">
      <c r="A348" s="2" t="str">
        <f>HYPERLINK("https://portal.hubmapconsortium.org/browse/sample/bd10944c087c8fa7f6b5a81c3d8d8382", "HBM882.QGHQ.643")</f>
        <v>HBM882.QGHQ.643</v>
      </c>
      <c r="B348" t="s">
        <v>763</v>
      </c>
      <c r="C348" t="s">
        <v>779</v>
      </c>
      <c r="D348" s="2" t="b">
        <v>0</v>
      </c>
      <c r="E348" s="2" t="str">
        <f t="shared" si="20"/>
        <v>HBM758.PXTF.453</v>
      </c>
      <c r="F348" t="s">
        <v>843</v>
      </c>
      <c r="J348" t="s">
        <v>486</v>
      </c>
      <c r="K348" t="s">
        <v>20</v>
      </c>
      <c r="L348" t="s">
        <v>21</v>
      </c>
      <c r="M348" t="s">
        <v>22</v>
      </c>
      <c r="N348" s="2" t="b">
        <v>0</v>
      </c>
      <c r="O348" s="2" t="s">
        <v>766</v>
      </c>
      <c r="P348" t="s">
        <v>24</v>
      </c>
      <c r="Q348" t="s">
        <v>167</v>
      </c>
      <c r="R348" t="s">
        <v>168</v>
      </c>
      <c r="S348" t="s">
        <v>169</v>
      </c>
      <c r="T348" s="3">
        <v>45726.690394189813</v>
      </c>
      <c r="U348" s="3">
        <v>45726.690394189813</v>
      </c>
    </row>
    <row r="349" spans="1:21" x14ac:dyDescent="0.2">
      <c r="A349" s="2" t="str">
        <f>HYPERLINK("https://portal.hubmapconsortium.org/browse/sample/20acbc758407319f570d44bbba50e50f", "HBM967.MQMM.678")</f>
        <v>HBM967.MQMM.678</v>
      </c>
      <c r="B349" t="s">
        <v>763</v>
      </c>
      <c r="C349" t="s">
        <v>779</v>
      </c>
      <c r="D349" s="2" t="b">
        <v>0</v>
      </c>
      <c r="E349" s="2" t="str">
        <f t="shared" si="20"/>
        <v>HBM758.PXTF.453</v>
      </c>
      <c r="F349" t="s">
        <v>845</v>
      </c>
      <c r="J349" t="s">
        <v>846</v>
      </c>
      <c r="K349" t="s">
        <v>20</v>
      </c>
      <c r="L349" t="s">
        <v>21</v>
      </c>
      <c r="M349" t="s">
        <v>22</v>
      </c>
      <c r="N349" s="2" t="b">
        <v>0</v>
      </c>
      <c r="O349" s="2" t="s">
        <v>766</v>
      </c>
      <c r="P349" t="s">
        <v>77</v>
      </c>
      <c r="Q349" t="s">
        <v>167</v>
      </c>
      <c r="R349" t="s">
        <v>168</v>
      </c>
      <c r="S349" t="s">
        <v>169</v>
      </c>
      <c r="T349" s="3">
        <v>45726.690417337973</v>
      </c>
      <c r="U349" s="3">
        <v>45726.690417337973</v>
      </c>
    </row>
    <row r="350" spans="1:21" x14ac:dyDescent="0.2">
      <c r="A350" s="2" t="str">
        <f>HYPERLINK("https://portal.hubmapconsortium.org/browse/sample/f6a6bacc6b3a3c1227afd295cfb54fde", "HBM298.RKQV.869")</f>
        <v>HBM298.RKQV.869</v>
      </c>
      <c r="B350" t="s">
        <v>763</v>
      </c>
      <c r="C350" t="s">
        <v>779</v>
      </c>
      <c r="D350" s="2" t="b">
        <v>0</v>
      </c>
      <c r="E350" s="2" t="str">
        <f t="shared" si="20"/>
        <v>HBM758.PXTF.453</v>
      </c>
      <c r="F350" t="s">
        <v>847</v>
      </c>
      <c r="J350" t="s">
        <v>848</v>
      </c>
      <c r="K350" t="s">
        <v>20</v>
      </c>
      <c r="L350" t="s">
        <v>21</v>
      </c>
      <c r="M350" t="s">
        <v>22</v>
      </c>
      <c r="N350" s="2" t="b">
        <v>0</v>
      </c>
      <c r="O350" s="2" t="s">
        <v>766</v>
      </c>
      <c r="P350" t="s">
        <v>77</v>
      </c>
      <c r="Q350" t="s">
        <v>167</v>
      </c>
      <c r="R350" t="s">
        <v>168</v>
      </c>
      <c r="S350" t="s">
        <v>169</v>
      </c>
      <c r="T350" s="3">
        <v>45726.690440057871</v>
      </c>
      <c r="U350" s="3">
        <v>45726.690440057871</v>
      </c>
    </row>
    <row r="351" spans="1:21" x14ac:dyDescent="0.2">
      <c r="A351" s="2" t="str">
        <f>HYPERLINK("https://portal.hubmapconsortium.org/browse/sample/b871f362b9fd0b0c251405fffcdd2c8c", "HBM236.FSMV.489")</f>
        <v>HBM236.FSMV.489</v>
      </c>
      <c r="B351" t="s">
        <v>763</v>
      </c>
      <c r="C351" t="s">
        <v>779</v>
      </c>
      <c r="D351" s="2" t="b">
        <v>0</v>
      </c>
      <c r="E351" s="2" t="str">
        <f t="shared" si="20"/>
        <v>HBM758.PXTF.453</v>
      </c>
      <c r="F351" t="s">
        <v>849</v>
      </c>
      <c r="J351" t="s">
        <v>850</v>
      </c>
      <c r="K351" t="s">
        <v>20</v>
      </c>
      <c r="L351" t="s">
        <v>21</v>
      </c>
      <c r="M351" t="s">
        <v>22</v>
      </c>
      <c r="N351" s="2" t="b">
        <v>0</v>
      </c>
      <c r="O351" s="2" t="s">
        <v>766</v>
      </c>
      <c r="P351" t="s">
        <v>77</v>
      </c>
      <c r="Q351" t="s">
        <v>167</v>
      </c>
      <c r="R351" t="s">
        <v>168</v>
      </c>
      <c r="S351" t="s">
        <v>169</v>
      </c>
      <c r="T351" s="3">
        <v>45726.690463182873</v>
      </c>
      <c r="U351" s="3">
        <v>45726.690463182873</v>
      </c>
    </row>
    <row r="352" spans="1:21" x14ac:dyDescent="0.2">
      <c r="A352" s="2" t="str">
        <f>HYPERLINK("https://portal.hubmapconsortium.org/browse/sample/b2faa32c6d742e5ddc97a05e419fd5f7", "HBM954.DZCK.864")</f>
        <v>HBM954.DZCK.864</v>
      </c>
      <c r="B352" t="s">
        <v>763</v>
      </c>
      <c r="C352" t="s">
        <v>779</v>
      </c>
      <c r="D352" s="2" t="b">
        <v>0</v>
      </c>
      <c r="E352" s="2" t="str">
        <f t="shared" si="20"/>
        <v>HBM758.PXTF.453</v>
      </c>
      <c r="F352" t="s">
        <v>851</v>
      </c>
      <c r="J352" t="s">
        <v>496</v>
      </c>
      <c r="K352" t="s">
        <v>20</v>
      </c>
      <c r="L352" t="s">
        <v>21</v>
      </c>
      <c r="M352" t="s">
        <v>22</v>
      </c>
      <c r="N352" s="2" t="b">
        <v>0</v>
      </c>
      <c r="O352" s="2" t="s">
        <v>766</v>
      </c>
      <c r="P352" t="s">
        <v>24</v>
      </c>
      <c r="Q352" t="s">
        <v>167</v>
      </c>
      <c r="R352" t="s">
        <v>168</v>
      </c>
      <c r="S352" t="s">
        <v>169</v>
      </c>
      <c r="T352" s="3">
        <v>45726.69048484954</v>
      </c>
      <c r="U352" s="3">
        <v>45726.69048484954</v>
      </c>
    </row>
    <row r="353" spans="1:21" x14ac:dyDescent="0.2">
      <c r="A353" s="2" t="str">
        <f>HYPERLINK("https://portal.hubmapconsortium.org/browse/sample/97660fcbd82f2ecf2fb0ac1a3594ee82", "HBM287.RVBW.874")</f>
        <v>HBM287.RVBW.874</v>
      </c>
      <c r="B353" t="s">
        <v>763</v>
      </c>
      <c r="C353" t="s">
        <v>779</v>
      </c>
      <c r="D353" s="2" t="b">
        <v>0</v>
      </c>
      <c r="E353" s="2" t="str">
        <f t="shared" si="20"/>
        <v>HBM758.PXTF.453</v>
      </c>
      <c r="F353" t="s">
        <v>853</v>
      </c>
      <c r="J353" t="s">
        <v>854</v>
      </c>
      <c r="K353" t="s">
        <v>20</v>
      </c>
      <c r="L353" t="s">
        <v>21</v>
      </c>
      <c r="M353" t="s">
        <v>22</v>
      </c>
      <c r="N353" s="2" t="b">
        <v>0</v>
      </c>
      <c r="O353" s="2" t="s">
        <v>766</v>
      </c>
      <c r="P353" t="s">
        <v>77</v>
      </c>
      <c r="Q353" t="s">
        <v>167</v>
      </c>
      <c r="R353" t="s">
        <v>168</v>
      </c>
      <c r="S353" t="s">
        <v>169</v>
      </c>
      <c r="T353" s="3">
        <v>45726.690506840278</v>
      </c>
      <c r="U353" s="3">
        <v>45726.690506840278</v>
      </c>
    </row>
    <row r="354" spans="1:21" x14ac:dyDescent="0.2">
      <c r="A354" s="2" t="str">
        <f>HYPERLINK("https://portal.hubmapconsortium.org/browse/sample/44040daec9b12df81f8b121c9f74fe15", "HBM329.XDLP.379")</f>
        <v>HBM329.XDLP.379</v>
      </c>
      <c r="B354" t="s">
        <v>763</v>
      </c>
      <c r="C354" t="s">
        <v>779</v>
      </c>
      <c r="D354" s="2" t="b">
        <v>0</v>
      </c>
      <c r="E354" s="2" t="str">
        <f t="shared" si="20"/>
        <v>HBM758.PXTF.453</v>
      </c>
      <c r="F354" t="s">
        <v>855</v>
      </c>
      <c r="J354" t="s">
        <v>856</v>
      </c>
      <c r="K354" t="s">
        <v>20</v>
      </c>
      <c r="L354" t="s">
        <v>21</v>
      </c>
      <c r="M354" t="s">
        <v>22</v>
      </c>
      <c r="N354" s="2" t="b">
        <v>0</v>
      </c>
      <c r="O354" s="2" t="s">
        <v>766</v>
      </c>
      <c r="P354" t="s">
        <v>77</v>
      </c>
      <c r="Q354" t="s">
        <v>167</v>
      </c>
      <c r="R354" t="s">
        <v>168</v>
      </c>
      <c r="S354" t="s">
        <v>169</v>
      </c>
      <c r="T354" s="3">
        <v>45726.690528449071</v>
      </c>
      <c r="U354" s="3">
        <v>45726.690528449071</v>
      </c>
    </row>
    <row r="355" spans="1:21" x14ac:dyDescent="0.2">
      <c r="A355" s="2" t="str">
        <f>HYPERLINK("https://portal.hubmapconsortium.org/browse/sample/cd9d5b2b42af877d8fd258b5304be3b0", "HBM882.XJVX.478")</f>
        <v>HBM882.XJVX.478</v>
      </c>
      <c r="B355" t="s">
        <v>763</v>
      </c>
      <c r="C355" t="s">
        <v>779</v>
      </c>
      <c r="D355" s="2" t="b">
        <v>0</v>
      </c>
      <c r="E355" s="2" t="str">
        <f t="shared" si="20"/>
        <v>HBM758.PXTF.453</v>
      </c>
      <c r="F355" t="s">
        <v>857</v>
      </c>
      <c r="J355" t="s">
        <v>858</v>
      </c>
      <c r="K355" t="s">
        <v>20</v>
      </c>
      <c r="L355" t="s">
        <v>21</v>
      </c>
      <c r="M355" t="s">
        <v>22</v>
      </c>
      <c r="N355" s="2" t="b">
        <v>0</v>
      </c>
      <c r="O355" s="2" t="s">
        <v>766</v>
      </c>
      <c r="P355" t="s">
        <v>77</v>
      </c>
      <c r="Q355" t="s">
        <v>167</v>
      </c>
      <c r="R355" t="s">
        <v>168</v>
      </c>
      <c r="S355" t="s">
        <v>169</v>
      </c>
      <c r="T355" s="3">
        <v>45726.69055107639</v>
      </c>
      <c r="U355" s="3">
        <v>45726.69055107639</v>
      </c>
    </row>
    <row r="356" spans="1:21" x14ac:dyDescent="0.2">
      <c r="A356" s="2" t="str">
        <f>HYPERLINK("https://portal.hubmapconsortium.org/browse/sample/1b05e576b65b80f0acd450f033835222", "HBM395.SCBR.226")</f>
        <v>HBM395.SCBR.226</v>
      </c>
      <c r="B356" t="s">
        <v>763</v>
      </c>
      <c r="C356" t="s">
        <v>779</v>
      </c>
      <c r="D356" s="2" t="b">
        <v>0</v>
      </c>
      <c r="E356" s="2" t="str">
        <f t="shared" si="20"/>
        <v>HBM758.PXTF.453</v>
      </c>
      <c r="F356" t="s">
        <v>859</v>
      </c>
      <c r="J356" t="s">
        <v>860</v>
      </c>
      <c r="K356" t="s">
        <v>20</v>
      </c>
      <c r="L356" t="s">
        <v>21</v>
      </c>
      <c r="M356" t="s">
        <v>22</v>
      </c>
      <c r="N356" s="2" t="b">
        <v>0</v>
      </c>
      <c r="O356" s="2" t="s">
        <v>766</v>
      </c>
      <c r="P356" t="s">
        <v>24</v>
      </c>
      <c r="Q356" t="s">
        <v>167</v>
      </c>
      <c r="R356" t="s">
        <v>168</v>
      </c>
      <c r="S356" t="s">
        <v>169</v>
      </c>
      <c r="T356" s="3">
        <v>45726.690573321757</v>
      </c>
      <c r="U356" s="3">
        <v>45726.690573321757</v>
      </c>
    </row>
    <row r="357" spans="1:21" x14ac:dyDescent="0.2">
      <c r="A357" s="2" t="str">
        <f>HYPERLINK("https://portal.hubmapconsortium.org/browse/sample/2ea28d640bbf4badf11f50488ef58520", "HBM562.QXWT.859")</f>
        <v>HBM562.QXWT.859</v>
      </c>
      <c r="B357" t="s">
        <v>763</v>
      </c>
      <c r="C357" t="s">
        <v>779</v>
      </c>
      <c r="D357" s="2" t="b">
        <v>0</v>
      </c>
      <c r="E357" s="2" t="str">
        <f t="shared" si="20"/>
        <v>HBM758.PXTF.453</v>
      </c>
      <c r="F357" t="s">
        <v>862</v>
      </c>
      <c r="J357" t="s">
        <v>863</v>
      </c>
      <c r="K357" t="s">
        <v>20</v>
      </c>
      <c r="L357" t="s">
        <v>21</v>
      </c>
      <c r="M357" t="s">
        <v>22</v>
      </c>
      <c r="N357" s="2" t="b">
        <v>0</v>
      </c>
      <c r="O357" s="2" t="s">
        <v>766</v>
      </c>
      <c r="P357" t="s">
        <v>77</v>
      </c>
      <c r="Q357" t="s">
        <v>167</v>
      </c>
      <c r="R357" t="s">
        <v>168</v>
      </c>
      <c r="S357" t="s">
        <v>169</v>
      </c>
      <c r="T357" s="3">
        <v>45726.690593923609</v>
      </c>
      <c r="U357" s="3">
        <v>45726.690593923609</v>
      </c>
    </row>
    <row r="358" spans="1:21" x14ac:dyDescent="0.2">
      <c r="A358" s="2" t="str">
        <f>HYPERLINK("https://portal.hubmapconsortium.org/browse/sample/347b007ea8358995c91c702c382ad3f8", "HBM567.GXTQ.228")</f>
        <v>HBM567.GXTQ.228</v>
      </c>
      <c r="B358" t="s">
        <v>763</v>
      </c>
      <c r="C358" t="s">
        <v>779</v>
      </c>
      <c r="D358" s="2" t="b">
        <v>0</v>
      </c>
      <c r="E358" s="2" t="str">
        <f t="shared" si="20"/>
        <v>HBM758.PXTF.453</v>
      </c>
      <c r="F358" t="s">
        <v>864</v>
      </c>
      <c r="J358" t="s">
        <v>865</v>
      </c>
      <c r="K358" t="s">
        <v>20</v>
      </c>
      <c r="L358" t="s">
        <v>21</v>
      </c>
      <c r="M358" t="s">
        <v>22</v>
      </c>
      <c r="N358" s="2" t="b">
        <v>0</v>
      </c>
      <c r="O358" s="2" t="s">
        <v>766</v>
      </c>
      <c r="P358" t="s">
        <v>77</v>
      </c>
      <c r="Q358" t="s">
        <v>167</v>
      </c>
      <c r="R358" t="s">
        <v>168</v>
      </c>
      <c r="S358" t="s">
        <v>169</v>
      </c>
      <c r="T358" s="3">
        <v>45726.690616168977</v>
      </c>
      <c r="U358" s="3">
        <v>45726.690616168977</v>
      </c>
    </row>
    <row r="359" spans="1:21" x14ac:dyDescent="0.2">
      <c r="A359" s="2" t="str">
        <f>HYPERLINK("https://portal.hubmapconsortium.org/browse/sample/b511af7d9d9ac40d84b297a3cffa42d6", "HBM377.ZCFN.836")</f>
        <v>HBM377.ZCFN.836</v>
      </c>
      <c r="B359" t="s">
        <v>763</v>
      </c>
      <c r="C359" t="s">
        <v>779</v>
      </c>
      <c r="D359" s="2" t="b">
        <v>0</v>
      </c>
      <c r="E359" s="2" t="str">
        <f t="shared" si="20"/>
        <v>HBM758.PXTF.453</v>
      </c>
      <c r="F359" t="s">
        <v>866</v>
      </c>
      <c r="J359" t="s">
        <v>867</v>
      </c>
      <c r="K359" t="s">
        <v>20</v>
      </c>
      <c r="L359" t="s">
        <v>21</v>
      </c>
      <c r="M359" t="s">
        <v>22</v>
      </c>
      <c r="N359" s="2" t="b">
        <v>0</v>
      </c>
      <c r="O359" s="2" t="s">
        <v>766</v>
      </c>
      <c r="P359" t="s">
        <v>77</v>
      </c>
      <c r="Q359" t="s">
        <v>167</v>
      </c>
      <c r="R359" t="s">
        <v>168</v>
      </c>
      <c r="S359" t="s">
        <v>169</v>
      </c>
      <c r="T359" s="3">
        <v>45726.690637060186</v>
      </c>
      <c r="U359" s="3">
        <v>45726.690637060186</v>
      </c>
    </row>
    <row r="360" spans="1:21" x14ac:dyDescent="0.2">
      <c r="A360" s="2" t="str">
        <f>HYPERLINK("https://portal.hubmapconsortium.org/browse/sample/033a20a600ce885358b2b2b00176c992", "HBM489.LPPX.848")</f>
        <v>HBM489.LPPX.848</v>
      </c>
      <c r="B360" t="s">
        <v>763</v>
      </c>
      <c r="C360" t="s">
        <v>779</v>
      </c>
      <c r="D360" s="2" t="b">
        <v>0</v>
      </c>
      <c r="E360" s="2" t="str">
        <f t="shared" si="20"/>
        <v>HBM758.PXTF.453</v>
      </c>
      <c r="F360" t="s">
        <v>868</v>
      </c>
      <c r="J360" t="s">
        <v>516</v>
      </c>
      <c r="K360" t="s">
        <v>20</v>
      </c>
      <c r="L360" t="s">
        <v>21</v>
      </c>
      <c r="M360" t="s">
        <v>22</v>
      </c>
      <c r="N360" s="2" t="b">
        <v>0</v>
      </c>
      <c r="O360" s="2" t="s">
        <v>766</v>
      </c>
      <c r="P360" t="s">
        <v>24</v>
      </c>
      <c r="Q360" t="s">
        <v>167</v>
      </c>
      <c r="R360" t="s">
        <v>168</v>
      </c>
      <c r="S360" t="s">
        <v>169</v>
      </c>
      <c r="T360" s="3">
        <v>45726.690657500003</v>
      </c>
      <c r="U360" s="3">
        <v>45726.690657500003</v>
      </c>
    </row>
    <row r="361" spans="1:21" x14ac:dyDescent="0.2">
      <c r="A361" s="2" t="str">
        <f>HYPERLINK("https://portal.hubmapconsortium.org/browse/sample/83f0f28ca96b4500e9dce5a1294ac280", "HBM633.KLQB.384")</f>
        <v>HBM633.KLQB.384</v>
      </c>
      <c r="B361" t="s">
        <v>763</v>
      </c>
      <c r="C361" t="s">
        <v>779</v>
      </c>
      <c r="D361" s="2" t="b">
        <v>0</v>
      </c>
      <c r="E361" s="2" t="str">
        <f t="shared" si="20"/>
        <v>HBM758.PXTF.453</v>
      </c>
      <c r="F361" t="s">
        <v>870</v>
      </c>
      <c r="J361" t="s">
        <v>838</v>
      </c>
      <c r="K361" t="s">
        <v>20</v>
      </c>
      <c r="L361" t="s">
        <v>21</v>
      </c>
      <c r="M361" t="s">
        <v>22</v>
      </c>
      <c r="N361" s="2" t="b">
        <v>0</v>
      </c>
      <c r="O361" s="2" t="s">
        <v>766</v>
      </c>
      <c r="P361" t="s">
        <v>77</v>
      </c>
      <c r="Q361" t="s">
        <v>167</v>
      </c>
      <c r="R361" t="s">
        <v>168</v>
      </c>
      <c r="S361" t="s">
        <v>169</v>
      </c>
      <c r="T361" s="3">
        <v>45726.690677546299</v>
      </c>
      <c r="U361" s="3">
        <v>45726.690677546299</v>
      </c>
    </row>
    <row r="362" spans="1:21" x14ac:dyDescent="0.2">
      <c r="A362" s="2" t="str">
        <f>HYPERLINK("https://portal.hubmapconsortium.org/browse/sample/95f0c5d785585c752608349acaf69be0", "HBM736.BPZP.596")</f>
        <v>HBM736.BPZP.596</v>
      </c>
      <c r="B362" t="s">
        <v>763</v>
      </c>
      <c r="C362" t="s">
        <v>779</v>
      </c>
      <c r="D362" s="2" t="b">
        <v>0</v>
      </c>
      <c r="E362" s="2" t="str">
        <f t="shared" si="20"/>
        <v>HBM758.PXTF.453</v>
      </c>
      <c r="F362" t="s">
        <v>871</v>
      </c>
      <c r="J362" t="s">
        <v>840</v>
      </c>
      <c r="K362" t="s">
        <v>20</v>
      </c>
      <c r="L362" t="s">
        <v>21</v>
      </c>
      <c r="M362" t="s">
        <v>22</v>
      </c>
      <c r="N362" s="2" t="b">
        <v>0</v>
      </c>
      <c r="O362" s="2" t="s">
        <v>766</v>
      </c>
      <c r="P362" t="s">
        <v>77</v>
      </c>
      <c r="Q362" t="s">
        <v>167</v>
      </c>
      <c r="R362" t="s">
        <v>168</v>
      </c>
      <c r="S362" t="s">
        <v>169</v>
      </c>
      <c r="T362" s="3">
        <v>45726.690699444443</v>
      </c>
      <c r="U362" s="3">
        <v>45726.690699444443</v>
      </c>
    </row>
    <row r="363" spans="1:21" x14ac:dyDescent="0.2">
      <c r="A363" s="2" t="str">
        <f>HYPERLINK("https://portal.hubmapconsortium.org/browse/sample/77316b4449b76adcb3de42f21948c704", "HBM465.DVKC.693")</f>
        <v>HBM465.DVKC.693</v>
      </c>
      <c r="B363" t="s">
        <v>763</v>
      </c>
      <c r="C363" t="s">
        <v>779</v>
      </c>
      <c r="D363" s="2" t="b">
        <v>0</v>
      </c>
      <c r="E363" s="2" t="str">
        <f t="shared" si="20"/>
        <v>HBM758.PXTF.453</v>
      </c>
      <c r="F363" t="s">
        <v>872</v>
      </c>
      <c r="J363" t="s">
        <v>842</v>
      </c>
      <c r="K363" t="s">
        <v>20</v>
      </c>
      <c r="L363" t="s">
        <v>21</v>
      </c>
      <c r="M363" t="s">
        <v>22</v>
      </c>
      <c r="N363" s="2" t="b">
        <v>0</v>
      </c>
      <c r="O363" s="2" t="s">
        <v>766</v>
      </c>
      <c r="P363" t="s">
        <v>77</v>
      </c>
      <c r="Q363" t="s">
        <v>167</v>
      </c>
      <c r="R363" t="s">
        <v>168</v>
      </c>
      <c r="S363" t="s">
        <v>169</v>
      </c>
      <c r="T363" s="3">
        <v>45726.690719849539</v>
      </c>
      <c r="U363" s="3">
        <v>45726.690719849539</v>
      </c>
    </row>
    <row r="364" spans="1:21" x14ac:dyDescent="0.2">
      <c r="A364" s="2" t="str">
        <f>HYPERLINK("https://portal.hubmapconsortium.org/browse/sample/a5430e1400533c42cd7374913169dd89", "HBM552.XBBV.597")</f>
        <v>HBM552.XBBV.597</v>
      </c>
      <c r="B364" t="s">
        <v>763</v>
      </c>
      <c r="C364" t="s">
        <v>779</v>
      </c>
      <c r="D364" s="2" t="b">
        <v>0</v>
      </c>
      <c r="E364" s="2" t="str">
        <f t="shared" si="20"/>
        <v>HBM758.PXTF.453</v>
      </c>
      <c r="F364" t="s">
        <v>873</v>
      </c>
      <c r="J364" t="s">
        <v>874</v>
      </c>
      <c r="K364" t="s">
        <v>20</v>
      </c>
      <c r="L364" t="s">
        <v>21</v>
      </c>
      <c r="M364" t="s">
        <v>22</v>
      </c>
      <c r="N364" s="2" t="b">
        <v>0</v>
      </c>
      <c r="O364" s="2" t="s">
        <v>766</v>
      </c>
      <c r="P364" t="s">
        <v>24</v>
      </c>
      <c r="Q364" t="s">
        <v>167</v>
      </c>
      <c r="R364" t="s">
        <v>168</v>
      </c>
      <c r="S364" t="s">
        <v>169</v>
      </c>
      <c r="T364" s="3">
        <v>45726.690742939812</v>
      </c>
      <c r="U364" s="3">
        <v>45726.690742939812</v>
      </c>
    </row>
    <row r="365" spans="1:21" x14ac:dyDescent="0.2">
      <c r="A365" s="2" t="str">
        <f>HYPERLINK("https://portal.hubmapconsortium.org/browse/sample/d35dc7e2665324fdc2d1bb4fbe1fb292", "HBM975.VCDS.432")</f>
        <v>HBM975.VCDS.432</v>
      </c>
      <c r="B365" t="s">
        <v>763</v>
      </c>
      <c r="C365" t="s">
        <v>779</v>
      </c>
      <c r="D365" s="2" t="b">
        <v>0</v>
      </c>
      <c r="E365" s="2" t="str">
        <f t="shared" si="20"/>
        <v>HBM758.PXTF.453</v>
      </c>
      <c r="F365" t="s">
        <v>876</v>
      </c>
      <c r="J365" t="s">
        <v>846</v>
      </c>
      <c r="K365" t="s">
        <v>20</v>
      </c>
      <c r="L365" t="s">
        <v>21</v>
      </c>
      <c r="M365" t="s">
        <v>22</v>
      </c>
      <c r="N365" s="2" t="b">
        <v>0</v>
      </c>
      <c r="O365" s="2" t="s">
        <v>766</v>
      </c>
      <c r="P365" t="s">
        <v>77</v>
      </c>
      <c r="Q365" t="s">
        <v>167</v>
      </c>
      <c r="R365" t="s">
        <v>168</v>
      </c>
      <c r="S365" t="s">
        <v>169</v>
      </c>
      <c r="T365" s="3">
        <v>45726.690762256942</v>
      </c>
      <c r="U365" s="3">
        <v>45726.690762256942</v>
      </c>
    </row>
    <row r="366" spans="1:21" x14ac:dyDescent="0.2">
      <c r="A366" s="2" t="str">
        <f>HYPERLINK("https://portal.hubmapconsortium.org/browse/sample/0ead5575b0aca239a532f0459c840de5", "HBM372.PCPN.425")</f>
        <v>HBM372.PCPN.425</v>
      </c>
      <c r="B366" t="s">
        <v>763</v>
      </c>
      <c r="C366" t="s">
        <v>779</v>
      </c>
      <c r="D366" s="2" t="b">
        <v>0</v>
      </c>
      <c r="E366" s="2" t="str">
        <f t="shared" si="20"/>
        <v>HBM758.PXTF.453</v>
      </c>
      <c r="F366" t="s">
        <v>877</v>
      </c>
      <c r="J366" t="s">
        <v>848</v>
      </c>
      <c r="K366" t="s">
        <v>20</v>
      </c>
      <c r="L366" t="s">
        <v>21</v>
      </c>
      <c r="M366" t="s">
        <v>22</v>
      </c>
      <c r="N366" s="2" t="b">
        <v>0</v>
      </c>
      <c r="O366" s="2" t="s">
        <v>766</v>
      </c>
      <c r="P366" t="s">
        <v>77</v>
      </c>
      <c r="Q366" t="s">
        <v>167</v>
      </c>
      <c r="R366" t="s">
        <v>168</v>
      </c>
      <c r="S366" t="s">
        <v>169</v>
      </c>
      <c r="T366" s="3">
        <v>45726.690779780103</v>
      </c>
      <c r="U366" s="3">
        <v>45726.690779780103</v>
      </c>
    </row>
    <row r="367" spans="1:21" x14ac:dyDescent="0.2">
      <c r="A367" s="2" t="str">
        <f>HYPERLINK("https://portal.hubmapconsortium.org/browse/sample/ee7587f4e34006a8cfc2bb2a2e2eee7c", "HBM598.NVVL.654")</f>
        <v>HBM598.NVVL.654</v>
      </c>
      <c r="B367" t="s">
        <v>763</v>
      </c>
      <c r="C367" t="s">
        <v>779</v>
      </c>
      <c r="D367" s="2" t="b">
        <v>0</v>
      </c>
      <c r="E367" s="2" t="str">
        <f t="shared" si="20"/>
        <v>HBM758.PXTF.453</v>
      </c>
      <c r="F367" t="s">
        <v>878</v>
      </c>
      <c r="J367" t="s">
        <v>850</v>
      </c>
      <c r="K367" t="s">
        <v>20</v>
      </c>
      <c r="L367" t="s">
        <v>21</v>
      </c>
      <c r="M367" t="s">
        <v>22</v>
      </c>
      <c r="N367" s="2" t="b">
        <v>0</v>
      </c>
      <c r="O367" s="2" t="s">
        <v>766</v>
      </c>
      <c r="P367" t="s">
        <v>77</v>
      </c>
      <c r="Q367" t="s">
        <v>167</v>
      </c>
      <c r="R367" t="s">
        <v>168</v>
      </c>
      <c r="S367" t="s">
        <v>169</v>
      </c>
      <c r="T367" s="3">
        <v>45726.690797881944</v>
      </c>
      <c r="U367" s="3">
        <v>45726.690797881944</v>
      </c>
    </row>
    <row r="368" spans="1:21" x14ac:dyDescent="0.2">
      <c r="A368" s="2" t="str">
        <f>HYPERLINK("https://portal.hubmapconsortium.org/browse/sample/13b393418952e9d5fad5bc305eff1ce3", "HBM598.NXLG.884")</f>
        <v>HBM598.NXLG.884</v>
      </c>
      <c r="B368" t="s">
        <v>763</v>
      </c>
      <c r="C368" t="s">
        <v>779</v>
      </c>
      <c r="D368" s="2" t="b">
        <v>0</v>
      </c>
      <c r="E368" s="2" t="str">
        <f t="shared" si="20"/>
        <v>HBM758.PXTF.453</v>
      </c>
      <c r="F368" t="s">
        <v>879</v>
      </c>
      <c r="J368" t="s">
        <v>496</v>
      </c>
      <c r="K368" t="s">
        <v>20</v>
      </c>
      <c r="L368" t="s">
        <v>21</v>
      </c>
      <c r="M368" t="s">
        <v>22</v>
      </c>
      <c r="N368" s="2" t="b">
        <v>0</v>
      </c>
      <c r="O368" s="2" t="s">
        <v>766</v>
      </c>
      <c r="P368" t="s">
        <v>24</v>
      </c>
      <c r="Q368" t="s">
        <v>167</v>
      </c>
      <c r="R368" t="s">
        <v>168</v>
      </c>
      <c r="S368" t="s">
        <v>169</v>
      </c>
      <c r="T368" s="3">
        <v>45726.690819421303</v>
      </c>
      <c r="U368" s="3">
        <v>45726.690819421303</v>
      </c>
    </row>
    <row r="369" spans="1:21" x14ac:dyDescent="0.2">
      <c r="A369" s="2" t="str">
        <f>HYPERLINK("https://portal.hubmapconsortium.org/browse/sample/7c0596e5bd564c6dbc9ec2f0b3a04424", "HBM766.JMHD.754")</f>
        <v>HBM766.JMHD.754</v>
      </c>
      <c r="B369" t="s">
        <v>763</v>
      </c>
      <c r="C369" t="s">
        <v>779</v>
      </c>
      <c r="D369" s="2" t="b">
        <v>0</v>
      </c>
      <c r="E369" s="2" t="str">
        <f t="shared" si="20"/>
        <v>HBM758.PXTF.453</v>
      </c>
      <c r="F369" t="s">
        <v>881</v>
      </c>
      <c r="J369" t="s">
        <v>854</v>
      </c>
      <c r="K369" t="s">
        <v>20</v>
      </c>
      <c r="L369" t="s">
        <v>21</v>
      </c>
      <c r="M369" t="s">
        <v>22</v>
      </c>
      <c r="N369" s="2" t="b">
        <v>0</v>
      </c>
      <c r="O369" s="2" t="s">
        <v>766</v>
      </c>
      <c r="P369" t="s">
        <v>77</v>
      </c>
      <c r="Q369" t="s">
        <v>167</v>
      </c>
      <c r="R369" t="s">
        <v>168</v>
      </c>
      <c r="S369" t="s">
        <v>169</v>
      </c>
      <c r="T369" s="3">
        <v>45726.690838020833</v>
      </c>
      <c r="U369" s="3">
        <v>45726.690838020833</v>
      </c>
    </row>
    <row r="370" spans="1:21" x14ac:dyDescent="0.2">
      <c r="A370" s="2" t="str">
        <f>HYPERLINK("https://portal.hubmapconsortium.org/browse/sample/eeb5d4d8c0018b4ff0cbb7cccdd06626", "HBM796.BCXS.676")</f>
        <v>HBM796.BCXS.676</v>
      </c>
      <c r="B370" t="s">
        <v>763</v>
      </c>
      <c r="C370" t="s">
        <v>779</v>
      </c>
      <c r="D370" s="2" t="b">
        <v>0</v>
      </c>
      <c r="E370" s="2" t="str">
        <f t="shared" si="20"/>
        <v>HBM758.PXTF.453</v>
      </c>
      <c r="F370" t="s">
        <v>882</v>
      </c>
      <c r="J370" t="s">
        <v>856</v>
      </c>
      <c r="K370" t="s">
        <v>20</v>
      </c>
      <c r="L370" t="s">
        <v>21</v>
      </c>
      <c r="M370" t="s">
        <v>22</v>
      </c>
      <c r="N370" s="2" t="b">
        <v>0</v>
      </c>
      <c r="O370" s="2" t="s">
        <v>766</v>
      </c>
      <c r="P370" t="s">
        <v>77</v>
      </c>
      <c r="Q370" t="s">
        <v>167</v>
      </c>
      <c r="R370" t="s">
        <v>168</v>
      </c>
      <c r="S370" t="s">
        <v>169</v>
      </c>
      <c r="T370" s="3">
        <v>45726.690857222216</v>
      </c>
      <c r="U370" s="3">
        <v>45726.690857222216</v>
      </c>
    </row>
    <row r="371" spans="1:21" x14ac:dyDescent="0.2">
      <c r="A371" s="2" t="str">
        <f>HYPERLINK("https://portal.hubmapconsortium.org/browse/sample/39f83461260c8c7c71ebce0984689b72", "HBM276.LTNB.573")</f>
        <v>HBM276.LTNB.573</v>
      </c>
      <c r="B371" t="s">
        <v>763</v>
      </c>
      <c r="C371" t="s">
        <v>779</v>
      </c>
      <c r="D371" s="2" t="b">
        <v>0</v>
      </c>
      <c r="E371" s="2" t="str">
        <f t="shared" si="20"/>
        <v>HBM758.PXTF.453</v>
      </c>
      <c r="F371" t="s">
        <v>883</v>
      </c>
      <c r="J371" t="s">
        <v>858</v>
      </c>
      <c r="K371" t="s">
        <v>20</v>
      </c>
      <c r="L371" t="s">
        <v>21</v>
      </c>
      <c r="M371" t="s">
        <v>22</v>
      </c>
      <c r="N371" s="2" t="b">
        <v>0</v>
      </c>
      <c r="O371" s="2" t="s">
        <v>766</v>
      </c>
      <c r="P371" t="s">
        <v>77</v>
      </c>
      <c r="Q371" t="s">
        <v>167</v>
      </c>
      <c r="R371" t="s">
        <v>168</v>
      </c>
      <c r="S371" t="s">
        <v>169</v>
      </c>
      <c r="T371" s="3">
        <v>45726.69087604167</v>
      </c>
      <c r="U371" s="3">
        <v>45726.69087604167</v>
      </c>
    </row>
    <row r="372" spans="1:21" x14ac:dyDescent="0.2">
      <c r="A372" s="2" t="str">
        <f>HYPERLINK("https://portal.hubmapconsortium.org/browse/sample/c3dd65ba2eb1138c18de6a471cfd6ec6", "HBM334.FWWX.853")</f>
        <v>HBM334.FWWX.853</v>
      </c>
      <c r="B372" t="s">
        <v>763</v>
      </c>
      <c r="C372" t="s">
        <v>779</v>
      </c>
      <c r="D372" s="2" t="b">
        <v>0</v>
      </c>
      <c r="E372" s="2" t="str">
        <f t="shared" si="20"/>
        <v>HBM758.PXTF.453</v>
      </c>
      <c r="F372" t="s">
        <v>884</v>
      </c>
      <c r="J372" t="s">
        <v>860</v>
      </c>
      <c r="K372" t="s">
        <v>20</v>
      </c>
      <c r="L372" t="s">
        <v>21</v>
      </c>
      <c r="M372" t="s">
        <v>22</v>
      </c>
      <c r="N372" s="2" t="b">
        <v>0</v>
      </c>
      <c r="O372" s="2" t="s">
        <v>766</v>
      </c>
      <c r="P372" t="s">
        <v>24</v>
      </c>
      <c r="Q372" t="s">
        <v>167</v>
      </c>
      <c r="R372" t="s">
        <v>168</v>
      </c>
      <c r="S372" t="s">
        <v>169</v>
      </c>
      <c r="T372" s="3">
        <v>45726.690894224543</v>
      </c>
      <c r="U372" s="3">
        <v>45726.690894224543</v>
      </c>
    </row>
    <row r="373" spans="1:21" x14ac:dyDescent="0.2">
      <c r="A373" s="2" t="str">
        <f>HYPERLINK("https://portal.hubmapconsortium.org/browse/sample/47c104d1312f07a2a5e531e237c7fb16", "HBM256.PWGJ.789")</f>
        <v>HBM256.PWGJ.789</v>
      </c>
      <c r="B373" t="s">
        <v>763</v>
      </c>
      <c r="C373" t="s">
        <v>779</v>
      </c>
      <c r="D373" s="2" t="b">
        <v>0</v>
      </c>
      <c r="E373" s="2" t="str">
        <f t="shared" si="20"/>
        <v>HBM758.PXTF.453</v>
      </c>
      <c r="F373" t="s">
        <v>886</v>
      </c>
      <c r="J373" t="s">
        <v>863</v>
      </c>
      <c r="K373" t="s">
        <v>20</v>
      </c>
      <c r="L373" t="s">
        <v>21</v>
      </c>
      <c r="M373" t="s">
        <v>22</v>
      </c>
      <c r="N373" s="2" t="b">
        <v>0</v>
      </c>
      <c r="O373" s="2" t="s">
        <v>766</v>
      </c>
      <c r="P373" t="s">
        <v>77</v>
      </c>
      <c r="Q373" t="s">
        <v>167</v>
      </c>
      <c r="R373" t="s">
        <v>168</v>
      </c>
      <c r="S373" t="s">
        <v>169</v>
      </c>
      <c r="T373" s="3">
        <v>45726.690915231477</v>
      </c>
      <c r="U373" s="3">
        <v>45726.690915231477</v>
      </c>
    </row>
    <row r="374" spans="1:21" x14ac:dyDescent="0.2">
      <c r="A374" s="2" t="str">
        <f>HYPERLINK("https://portal.hubmapconsortium.org/browse/sample/bc96e60f4ce59dea480b8cec9e6d8cf4", "HBM566.SLNL.594")</f>
        <v>HBM566.SLNL.594</v>
      </c>
      <c r="B374" t="s">
        <v>763</v>
      </c>
      <c r="C374" t="s">
        <v>779</v>
      </c>
      <c r="D374" s="2" t="b">
        <v>0</v>
      </c>
      <c r="E374" s="2" t="str">
        <f t="shared" si="20"/>
        <v>HBM758.PXTF.453</v>
      </c>
      <c r="F374" t="s">
        <v>887</v>
      </c>
      <c r="J374" t="s">
        <v>865</v>
      </c>
      <c r="K374" t="s">
        <v>20</v>
      </c>
      <c r="L374" t="s">
        <v>21</v>
      </c>
      <c r="M374" t="s">
        <v>22</v>
      </c>
      <c r="N374" s="2" t="b">
        <v>0</v>
      </c>
      <c r="O374" s="2" t="s">
        <v>766</v>
      </c>
      <c r="P374" t="s">
        <v>77</v>
      </c>
      <c r="Q374" t="s">
        <v>167</v>
      </c>
      <c r="R374" t="s">
        <v>168</v>
      </c>
      <c r="S374" t="s">
        <v>169</v>
      </c>
      <c r="T374" s="3">
        <v>45726.690934421298</v>
      </c>
      <c r="U374" s="3">
        <v>45726.690934421298</v>
      </c>
    </row>
    <row r="375" spans="1:21" x14ac:dyDescent="0.2">
      <c r="A375" s="2" t="str">
        <f>HYPERLINK("https://portal.hubmapconsortium.org/browse/sample/8dcfc0bbd20e300b37b306b911583e0f", "HBM338.VLWX.858")</f>
        <v>HBM338.VLWX.858</v>
      </c>
      <c r="B375" t="s">
        <v>763</v>
      </c>
      <c r="C375" t="s">
        <v>779</v>
      </c>
      <c r="D375" s="2" t="b">
        <v>0</v>
      </c>
      <c r="E375" s="2" t="str">
        <f t="shared" si="20"/>
        <v>HBM758.PXTF.453</v>
      </c>
      <c r="F375" t="s">
        <v>888</v>
      </c>
      <c r="J375" t="s">
        <v>867</v>
      </c>
      <c r="K375" t="s">
        <v>20</v>
      </c>
      <c r="L375" t="s">
        <v>21</v>
      </c>
      <c r="M375" t="s">
        <v>22</v>
      </c>
      <c r="N375" s="2" t="b">
        <v>0</v>
      </c>
      <c r="O375" s="2" t="s">
        <v>766</v>
      </c>
      <c r="P375" t="s">
        <v>77</v>
      </c>
      <c r="Q375" t="s">
        <v>167</v>
      </c>
      <c r="R375" t="s">
        <v>168</v>
      </c>
      <c r="S375" t="s">
        <v>169</v>
      </c>
      <c r="T375" s="3">
        <v>45726.690953263889</v>
      </c>
      <c r="U375" s="3">
        <v>45726.690953263889</v>
      </c>
    </row>
    <row r="376" spans="1:21" x14ac:dyDescent="0.2">
      <c r="A376" s="2" t="str">
        <f>HYPERLINK("https://portal.hubmapconsortium.org/browse/sample/43f8f7d7172ddc42bc3666a52193d19d", "HBM237.FCRJ.552")</f>
        <v>HBM237.FCRJ.552</v>
      </c>
      <c r="B376" t="s">
        <v>763</v>
      </c>
      <c r="C376" t="s">
        <v>779</v>
      </c>
      <c r="D376" s="2" t="b">
        <v>0</v>
      </c>
      <c r="E376" s="2" t="str">
        <f t="shared" si="20"/>
        <v>HBM758.PXTF.453</v>
      </c>
      <c r="F376" t="s">
        <v>889</v>
      </c>
      <c r="J376" t="s">
        <v>516</v>
      </c>
      <c r="K376" t="s">
        <v>20</v>
      </c>
      <c r="L376" t="s">
        <v>21</v>
      </c>
      <c r="M376" t="s">
        <v>22</v>
      </c>
      <c r="N376" s="2" t="b">
        <v>0</v>
      </c>
      <c r="O376" s="2" t="s">
        <v>766</v>
      </c>
      <c r="P376" t="s">
        <v>24</v>
      </c>
      <c r="Q376" t="s">
        <v>167</v>
      </c>
      <c r="R376" t="s">
        <v>168</v>
      </c>
      <c r="S376" t="s">
        <v>169</v>
      </c>
      <c r="T376" s="3">
        <v>45726.690972175929</v>
      </c>
      <c r="U376" s="3">
        <v>45726.690972175929</v>
      </c>
    </row>
    <row r="377" spans="1:21" x14ac:dyDescent="0.2">
      <c r="A377" s="2" t="str">
        <f>HYPERLINK("https://portal.hubmapconsortium.org/browse/sample/92456ac1f27eadc5d7066f9bb052498c", "HBM325.JZLF.922")</f>
        <v>HBM325.JZLF.922</v>
      </c>
      <c r="B377" t="s">
        <v>890</v>
      </c>
      <c r="C377" t="s">
        <v>891</v>
      </c>
      <c r="D377" s="2" t="b">
        <v>0</v>
      </c>
      <c r="E377" s="2" t="str">
        <f>HYPERLINK("https://portal.hubmapconsortium.org/browse/sample/832aaec86c7f929d60da603f889ee78a", "HBM942.XRQR.236")</f>
        <v>HBM942.XRQR.236</v>
      </c>
      <c r="F377" s="4" t="s">
        <v>892</v>
      </c>
      <c r="G377" s="4"/>
      <c r="H377" s="4"/>
      <c r="I377" s="4"/>
      <c r="J377" t="s">
        <v>893</v>
      </c>
      <c r="K377" t="s">
        <v>20</v>
      </c>
      <c r="L377" t="s">
        <v>21</v>
      </c>
      <c r="M377" t="s">
        <v>22</v>
      </c>
      <c r="N377" s="2" t="b">
        <v>0</v>
      </c>
      <c r="O377" s="2" t="s">
        <v>166</v>
      </c>
      <c r="P377" t="s">
        <v>24</v>
      </c>
      <c r="Q377" t="s">
        <v>167</v>
      </c>
      <c r="R377" t="s">
        <v>168</v>
      </c>
      <c r="S377" t="s">
        <v>169</v>
      </c>
      <c r="T377" s="3">
        <v>45460.728417175917</v>
      </c>
      <c r="U377" s="3">
        <v>45460.728417175917</v>
      </c>
    </row>
  </sheetData>
  <sortState xmlns:xlrd2="http://schemas.microsoft.com/office/spreadsheetml/2017/richdata2" ref="A2:U377">
    <sortCondition ref="B2:B377"/>
    <sortCondition ref="C2:C377"/>
    <sortCondition ref="F2:F377"/>
  </sortState>
  <conditionalFormatting sqref="N2:N377">
    <cfRule type="cellIs" dxfId="1" priority="2" stopIfTrue="1" operator="equal">
      <formula>FALSE</formula>
    </cfRule>
  </conditionalFormatting>
  <conditionalFormatting sqref="D2:D377">
    <cfRule type="cellIs" dxfId="0" priority="1" stopIfTrue="1" operator="equal">
      <formula>FALSE</formula>
    </cfRule>
  </conditionalFormatting>
  <hyperlinks>
    <hyperlink ref="O2" r:id="rId1" xr:uid="{09E28B87-8CFB-EF40-B4FB-7092F58C9C2D}"/>
    <hyperlink ref="O3" r:id="rId2" xr:uid="{D0B9CDD2-CCAF-DE4B-A225-030BB1C6EB40}"/>
    <hyperlink ref="O5" r:id="rId3" xr:uid="{1E0BA435-C6D5-9145-AB4B-2DB354F3273C}"/>
    <hyperlink ref="O6" r:id="rId4" xr:uid="{DAD37DAF-7CC7-EF49-979A-017F67D02447}"/>
    <hyperlink ref="O7" r:id="rId5" xr:uid="{AE378C39-D71C-0644-82DD-E6AEDE8FCBC1}"/>
    <hyperlink ref="O8" r:id="rId6" xr:uid="{4FFFBCAB-93AF-EB47-84F1-1E213D6AE83E}"/>
    <hyperlink ref="O9" r:id="rId7" xr:uid="{1441108D-FDD8-534A-8223-3C2AD237B722}"/>
    <hyperlink ref="O11" r:id="rId8" xr:uid="{5B2A2CE4-4F35-FA4D-9490-34F8DC0B8659}"/>
    <hyperlink ref="O12" r:id="rId9" xr:uid="{53B741D2-F0EE-4D49-BD7F-EA0A110D1147}"/>
    <hyperlink ref="O20" r:id="rId10" xr:uid="{B3B97089-DA25-FF48-BEF7-23BFA5931015}"/>
    <hyperlink ref="O21" r:id="rId11" xr:uid="{10C93CF5-5D8E-C842-B2D1-97C9500D58C6}"/>
    <hyperlink ref="O22" r:id="rId12" xr:uid="{4E14DC27-1D9D-EE4A-A0A4-E9ACEEBF821D}"/>
    <hyperlink ref="O23" r:id="rId13" xr:uid="{2855F094-91EB-5C43-8F38-288118B4CB62}"/>
    <hyperlink ref="O24" r:id="rId14" xr:uid="{F313945F-77D2-3248-A108-81AD946ED59A}"/>
    <hyperlink ref="O25" r:id="rId15" xr:uid="{9ADECC94-CF58-3E44-9768-7E05CACAFF1C}"/>
    <hyperlink ref="O26" r:id="rId16" xr:uid="{421E63AA-7582-EC42-92E3-96958E4C1F0D}"/>
    <hyperlink ref="O27" r:id="rId17" xr:uid="{EBBF7A23-D308-3446-9D3F-E47BC171AD5B}"/>
    <hyperlink ref="O28" r:id="rId18" xr:uid="{B50378D0-81A2-704C-BFFE-E96856D054BE}"/>
    <hyperlink ref="O41" r:id="rId19" xr:uid="{5374A323-9C49-9840-B348-2BD089657D59}"/>
    <hyperlink ref="O42" r:id="rId20" xr:uid="{F2A25E13-34CF-A346-8ADA-2942779CE16F}"/>
    <hyperlink ref="O48" r:id="rId21" xr:uid="{7FFFA045-E671-0844-8ECF-0A2DD729E952}"/>
    <hyperlink ref="O49" r:id="rId22" xr:uid="{00383E58-9701-414F-A49A-48A0A8971BA5}"/>
    <hyperlink ref="O50" r:id="rId23" xr:uid="{A27C376E-D78D-8D48-9D9D-A28237F7B624}"/>
    <hyperlink ref="O51" r:id="rId24" xr:uid="{46578CE8-9538-FA41-91C2-EF30088FB94A}"/>
    <hyperlink ref="O54" r:id="rId25" xr:uid="{6FAF4442-999F-C448-96BD-FEBA5AEEE53C}"/>
    <hyperlink ref="O60" r:id="rId26" xr:uid="{E37862AC-5CED-5545-91E5-E78DF8E2706D}"/>
    <hyperlink ref="O65" r:id="rId27" xr:uid="{43124449-150C-1B44-ACB8-C4E90FFF8503}"/>
    <hyperlink ref="O71" r:id="rId28" xr:uid="{3338ABA1-2EC4-1846-9FC6-144B81A37568}"/>
    <hyperlink ref="O72" r:id="rId29" xr:uid="{C6CBC04C-D4C0-4F47-8C85-BCF97C104C37}"/>
    <hyperlink ref="O99" r:id="rId30" xr:uid="{B719AFA3-6A90-714B-9C3E-D4CE3F05E356}"/>
    <hyperlink ref="O100" r:id="rId31" xr:uid="{3B9EC030-CB5C-FA4D-A67F-B0A052393105}"/>
    <hyperlink ref="O101" r:id="rId32" xr:uid="{DC3314AA-2598-7744-AC11-CB5BAAE44C13}"/>
    <hyperlink ref="O102" r:id="rId33" xr:uid="{F2E5B32A-490E-2343-9053-A5FF9675F676}"/>
    <hyperlink ref="O103" r:id="rId34" xr:uid="{02CC92ED-75A3-414E-A97D-DCF29F07B340}"/>
    <hyperlink ref="O107" r:id="rId35" xr:uid="{FFB3791C-1089-F843-9ED6-13C8C2E5C3FE}"/>
    <hyperlink ref="O108" r:id="rId36" xr:uid="{432160CF-3B2F-8F4C-A7EB-4DBC60035DFE}"/>
    <hyperlink ref="O109" r:id="rId37" xr:uid="{82E9A87D-C3EB-0649-A806-265C656DEDDC}"/>
    <hyperlink ref="O113" r:id="rId38" xr:uid="{E430B88A-0D6B-974F-B078-3AD51BFCB135}"/>
    <hyperlink ref="O115" r:id="rId39" xr:uid="{C60A4BB1-01D2-054B-854B-36A77D38BEC9}"/>
    <hyperlink ref="O116" r:id="rId40" xr:uid="{A1B351D1-4DC4-8448-AFF2-756767B41CFE}"/>
    <hyperlink ref="O117" r:id="rId41" xr:uid="{28412746-2732-2643-8A62-367FF8C9AE97}"/>
    <hyperlink ref="O118" r:id="rId42" xr:uid="{BC31125C-0429-D34E-9C1D-767C0AEB5918}"/>
    <hyperlink ref="O119" r:id="rId43" xr:uid="{B1404B3D-265C-F440-9F4D-20CD1593506E}"/>
    <hyperlink ref="O120" r:id="rId44" xr:uid="{996092FA-AC27-3644-BBA1-C3EFDFF1169C}"/>
    <hyperlink ref="O121" r:id="rId45" xr:uid="{4F663F8C-E47E-FC46-A14B-26B2E6A49C5B}"/>
    <hyperlink ref="O122" r:id="rId46" xr:uid="{2B7D60F9-BE9A-C843-882A-EF3AB5DE392A}"/>
    <hyperlink ref="O125" r:id="rId47" xr:uid="{BC047B03-641C-CD48-A900-A3E2C1ED5257}"/>
    <hyperlink ref="O126" r:id="rId48" xr:uid="{12CF7D22-A65D-BF44-BD52-44446129F02A}"/>
    <hyperlink ref="O127" r:id="rId49" xr:uid="{0A5542B5-2547-5548-8E64-416CDF25F1C2}"/>
    <hyperlink ref="O128" r:id="rId50" xr:uid="{789256F6-86D8-5348-A6D2-0439DC9E9BC4}"/>
    <hyperlink ref="O131" r:id="rId51" xr:uid="{1EE0A25B-F5C9-0A48-8FF1-E3B87E4272B0}"/>
    <hyperlink ref="O132" r:id="rId52" xr:uid="{6CD59C41-2209-DE48-879D-5B0BBDAFAC01}"/>
    <hyperlink ref="O138" r:id="rId53" xr:uid="{391ADDD7-58BF-C74B-A7FF-82009CEDCAAC}"/>
    <hyperlink ref="O139" r:id="rId54" xr:uid="{71B26A15-5089-F84E-94AC-D22AC885AB78}"/>
    <hyperlink ref="O140" r:id="rId55" xr:uid="{5886ECB0-48C6-D043-9676-A6B19016775B}"/>
    <hyperlink ref="O141" r:id="rId56" xr:uid="{FC440F5D-61D7-F740-AFEB-8130B2417A22}"/>
    <hyperlink ref="O142" r:id="rId57" xr:uid="{FFCA055F-83E5-584A-B3CC-2524F7DDA924}"/>
    <hyperlink ref="O143" r:id="rId58" xr:uid="{E71976AB-F9AE-B746-A9C1-F9D0B69DE7A2}"/>
    <hyperlink ref="O144" r:id="rId59" xr:uid="{97AEB546-3612-A446-ACDC-740F4291E52E}"/>
    <hyperlink ref="O145" r:id="rId60" xr:uid="{E1481341-C99E-EB4F-BB56-73CD0EFD39E1}"/>
    <hyperlink ref="O146" r:id="rId61" xr:uid="{6CFE2B6E-C6EB-FC46-A53E-527B34E5C3F3}"/>
    <hyperlink ref="O147" r:id="rId62" xr:uid="{5C3571FA-56F8-AB47-9776-50F4C642B725}"/>
    <hyperlink ref="O148" r:id="rId63" xr:uid="{6998CAC3-E760-0049-B385-27CE808F59A2}"/>
    <hyperlink ref="O149" r:id="rId64" xr:uid="{ECB92396-78C3-BF43-86EC-F204255E0A47}"/>
    <hyperlink ref="O150" r:id="rId65" xr:uid="{46277226-404C-0E41-8A96-364489F9B2FC}"/>
    <hyperlink ref="O151" r:id="rId66" xr:uid="{B0A5E97D-551F-AA4C-81F0-B5525188B6E9}"/>
    <hyperlink ref="O152" r:id="rId67" xr:uid="{E9FE6E53-0831-B242-AF37-3D90AF2F1CD5}"/>
    <hyperlink ref="O153" r:id="rId68" xr:uid="{9024F7F7-0B16-ED4A-9EE5-CFF152A6B0A0}"/>
    <hyperlink ref="O154" r:id="rId69" xr:uid="{D3157A15-6B1B-7541-B3D0-76FD9B77994B}"/>
    <hyperlink ref="O155" r:id="rId70" xr:uid="{A62CB1BA-DDD0-2644-89B8-AA9711A21C01}"/>
    <hyperlink ref="O156" r:id="rId71" xr:uid="{CD16B26C-2AA0-F04F-AC67-CF6EB3213B85}"/>
    <hyperlink ref="O157" r:id="rId72" xr:uid="{6590C238-AC76-7847-80A2-973449632487}"/>
    <hyperlink ref="O158" r:id="rId73" xr:uid="{709F859A-B4D0-B049-8393-74AF0EDB2C09}"/>
    <hyperlink ref="O159" r:id="rId74" xr:uid="{4FB75DFB-0CDB-4F4E-83FA-1F6FE6641F80}"/>
    <hyperlink ref="O160" r:id="rId75" xr:uid="{7DB160BC-DC1B-9B46-A2A3-D24A90A95234}"/>
    <hyperlink ref="O161" r:id="rId76" xr:uid="{F75C39BC-F454-A44D-83D8-B2690499E431}"/>
    <hyperlink ref="O162" r:id="rId77" xr:uid="{319274AE-B3DE-8547-901F-3978A64CD154}"/>
    <hyperlink ref="O163" r:id="rId78" xr:uid="{5A226BC0-013C-AE40-8462-4109D3A5CBCD}"/>
    <hyperlink ref="O164" r:id="rId79" xr:uid="{9A3FD20A-C0F2-DD4A-A20F-51E6FA635DC9}"/>
    <hyperlink ref="O165" r:id="rId80" xr:uid="{FB778D82-C040-4242-B2DD-FC45AD361C1F}"/>
    <hyperlink ref="O166" r:id="rId81" xr:uid="{444DD45A-649D-094E-B4C4-0A935649167C}"/>
    <hyperlink ref="O167" r:id="rId82" xr:uid="{E0FDB03C-DEAD-6547-9D46-550946D9EA4D}"/>
    <hyperlink ref="O168" r:id="rId83" xr:uid="{05755624-C92D-5244-86EB-AE36ABEFFE90}"/>
    <hyperlink ref="O169" r:id="rId84" xr:uid="{0772F434-E130-954C-B7AA-4F956BC0B582}"/>
    <hyperlink ref="O170" r:id="rId85" xr:uid="{1BFA95A1-7F85-584E-8B32-F0D671C2FEA7}"/>
    <hyperlink ref="O171" r:id="rId86" xr:uid="{A01D5256-B28A-0A4E-83A9-7320F1C37CD9}"/>
    <hyperlink ref="O172" r:id="rId87" xr:uid="{FE73D0EF-0EA4-A747-AC3B-C0A23B406542}"/>
    <hyperlink ref="O173" r:id="rId88" xr:uid="{F19BFBD4-8E56-1B41-8475-C4807F8F7B76}"/>
    <hyperlink ref="O174" r:id="rId89" xr:uid="{2181CEDD-66A7-4E4C-AEEA-E32F187BA19A}"/>
    <hyperlink ref="O175" r:id="rId90" xr:uid="{35AA37F9-7435-B74C-A6DA-4A4C9787FDFA}"/>
    <hyperlink ref="O176" r:id="rId91" xr:uid="{AC08DD14-F531-174D-8F9E-D015B8959E16}"/>
    <hyperlink ref="O177" r:id="rId92" xr:uid="{7DD51E15-1789-D94E-9F5B-09F6A14320AF}"/>
    <hyperlink ref="O178" r:id="rId93" xr:uid="{BEB86016-955D-C34E-98F2-7CEFF2D8BFBA}"/>
    <hyperlink ref="O179" r:id="rId94" xr:uid="{41C55C15-0392-074D-AAA8-63FE29FAD773}"/>
    <hyperlink ref="O180" r:id="rId95" xr:uid="{9B471BC3-D6D6-E146-96FF-8F2B733D9D61}"/>
    <hyperlink ref="O181" r:id="rId96" xr:uid="{74815A44-9E1F-CC4E-8E9D-7412D8AB09F3}"/>
    <hyperlink ref="O182" r:id="rId97" xr:uid="{85355B6D-5F7B-214E-9D60-12C69B7ED96C}"/>
    <hyperlink ref="O183" r:id="rId98" xr:uid="{8806F941-03DC-A64A-A613-2AE8750144D3}"/>
    <hyperlink ref="O184" r:id="rId99" xr:uid="{EF3D8F10-DFA2-2B45-9AD4-F8DD8651C303}"/>
    <hyperlink ref="O185" r:id="rId100" xr:uid="{54F40646-5BDA-0E40-A472-0B7095F88500}"/>
    <hyperlink ref="O186" r:id="rId101" xr:uid="{01AB0A2A-237E-B74B-A7B9-950409956DA0}"/>
    <hyperlink ref="O187" r:id="rId102" xr:uid="{97552C6A-9F07-0746-A921-F78F651553C5}"/>
    <hyperlink ref="O188" r:id="rId103" xr:uid="{3FF5C9AC-5FE2-4945-94CA-FA72DACE60C2}"/>
    <hyperlink ref="O189" r:id="rId104" xr:uid="{806429B3-E0EE-7447-9A3B-15883802D986}"/>
    <hyperlink ref="O190" r:id="rId105" xr:uid="{DD37765E-303E-D84A-B305-23E1734A106D}"/>
    <hyperlink ref="O191" r:id="rId106" xr:uid="{B2FC638F-8C93-EA45-AB66-0C2DA76E9880}"/>
    <hyperlink ref="O192" r:id="rId107" xr:uid="{964858B3-26F5-FA47-8026-8C504960BBE3}"/>
    <hyperlink ref="O193" r:id="rId108" xr:uid="{F194FC01-956E-2F49-AD1A-B195050080E5}"/>
    <hyperlink ref="O194" r:id="rId109" xr:uid="{FAA65B76-D2CB-8F44-988D-FAA90B9FB633}"/>
    <hyperlink ref="O195" r:id="rId110" xr:uid="{AABC0DFC-47E1-384D-A002-04A4C830AA6C}"/>
    <hyperlink ref="O196" r:id="rId111" xr:uid="{EFDC0D05-878E-444D-8891-E9F497A343BC}"/>
    <hyperlink ref="O197" r:id="rId112" xr:uid="{8CDAD272-45D7-094A-B931-8FA583508999}"/>
    <hyperlink ref="O198" r:id="rId113" xr:uid="{88A4432C-20B4-A248-92FE-2CD6F575CBC9}"/>
    <hyperlink ref="O199" r:id="rId114" xr:uid="{CAE86F29-BE61-F44C-8FF3-02FF5921A785}"/>
    <hyperlink ref="O200" r:id="rId115" xr:uid="{516E6AF1-B38F-854A-A382-C9851DFCBB1B}"/>
    <hyperlink ref="O201" r:id="rId116" xr:uid="{4565A7F7-1BF4-734E-B98B-CD9DB172A627}"/>
    <hyperlink ref="O202" r:id="rId117" xr:uid="{1CCCB015-4E66-E748-9863-40BA37D46672}"/>
    <hyperlink ref="O203" r:id="rId118" xr:uid="{D12194FD-79D0-D34C-87C2-34E8D71A4B6B}"/>
    <hyperlink ref="O204" r:id="rId119" xr:uid="{B07B7BCD-47A4-3B46-9CEB-5D4598061215}"/>
    <hyperlink ref="O205" r:id="rId120" xr:uid="{6887AF17-821B-6E47-B0DC-BB40B31841A6}"/>
    <hyperlink ref="O206" r:id="rId121" xr:uid="{8E7C3802-EF3C-2B49-B822-4DA94B0C0E5F}"/>
    <hyperlink ref="O207" r:id="rId122" xr:uid="{7D50FD67-AD47-D048-A3DE-CB6C69FEE7D8}"/>
    <hyperlink ref="O208" r:id="rId123" xr:uid="{A56FF158-5C66-DD47-81EA-FFB85E113E8B}"/>
    <hyperlink ref="O209" r:id="rId124" xr:uid="{8A3DD913-5DD0-234D-9641-FA532E5E0F46}"/>
    <hyperlink ref="O210" r:id="rId125" xr:uid="{5F3489B1-0E17-564C-8B6A-3F49BF84CC4B}"/>
    <hyperlink ref="O211" r:id="rId126" xr:uid="{2965F1EE-7BDA-C04C-BA5B-418478D156B6}"/>
    <hyperlink ref="O212" r:id="rId127" xr:uid="{9FF04BA5-8085-4645-B717-CC3824635EB5}"/>
    <hyperlink ref="O213" r:id="rId128" xr:uid="{4B20B15E-CB67-A547-9426-4F93278DA2B3}"/>
    <hyperlink ref="O214" r:id="rId129" xr:uid="{5CF60568-711D-8D4F-8F23-0F865FDF4D9B}"/>
    <hyperlink ref="O215" r:id="rId130" xr:uid="{A3761168-0913-994B-8C84-2C3233EE1AD7}"/>
    <hyperlink ref="O216" r:id="rId131" xr:uid="{183FAEA4-371B-0645-A06B-93CE3271DFE3}"/>
    <hyperlink ref="O217" r:id="rId132" xr:uid="{7A8F47E5-4E88-6049-8116-BF88E7699A9D}"/>
    <hyperlink ref="O218" r:id="rId133" xr:uid="{5F06A064-44DC-2E49-8635-E7F0408A8A04}"/>
    <hyperlink ref="O219" r:id="rId134" xr:uid="{1AC41546-89D6-AD44-A73D-C2EA99CC023C}"/>
    <hyperlink ref="O220" r:id="rId135" xr:uid="{905439CC-25B6-174F-94AF-D5CFCABA6FA5}"/>
    <hyperlink ref="O221" r:id="rId136" xr:uid="{329A2568-D8DA-B744-9B7A-CA3DDC866DBF}"/>
    <hyperlink ref="O222" r:id="rId137" xr:uid="{BAC4A761-D2D2-8D43-932D-05C989743F58}"/>
    <hyperlink ref="O223" r:id="rId138" xr:uid="{152B0097-2ADD-6A45-8A8F-656C80B16556}"/>
    <hyperlink ref="O224" r:id="rId139" xr:uid="{2F36DBA6-C2C2-474C-B938-10FC275EBF2E}"/>
    <hyperlink ref="O225" r:id="rId140" xr:uid="{344A4277-39DF-2348-A6A5-E8A5732E5E80}"/>
    <hyperlink ref="O226" r:id="rId141" xr:uid="{553BAC45-F21D-7A4D-8A6E-C5BC36B8FF6A}"/>
    <hyperlink ref="O227" r:id="rId142" xr:uid="{8EF53FFA-B34F-FE4E-B3F1-1F3F8F2C06B6}"/>
    <hyperlink ref="O228" r:id="rId143" xr:uid="{2E3F4C66-A858-A841-8531-C74D32DCCB20}"/>
    <hyperlink ref="O229" r:id="rId144" xr:uid="{BD801E5D-B64B-984D-9923-338490DFE633}"/>
    <hyperlink ref="O230" r:id="rId145" xr:uid="{06387613-1AC7-3E41-BD58-3FED3BB10349}"/>
    <hyperlink ref="O231" r:id="rId146" xr:uid="{4BB61AA9-44BB-A14E-923B-90A72A53AE47}"/>
    <hyperlink ref="O232" r:id="rId147" xr:uid="{69B78815-DD17-B14D-BED3-9D794B702329}"/>
    <hyperlink ref="O233" r:id="rId148" xr:uid="{B033A60E-9B79-A543-AABE-32A8BEC925F2}"/>
    <hyperlink ref="O234" r:id="rId149" xr:uid="{D7B7D50F-6301-034C-99F5-C60DFC367B6A}"/>
    <hyperlink ref="O235" r:id="rId150" xr:uid="{C86DF5FE-0F0B-0C4E-BC41-1572C28F1772}"/>
    <hyperlink ref="O236" r:id="rId151" xr:uid="{E03927A2-3B11-2F4F-B4FE-D012EC8BFF36}"/>
    <hyperlink ref="O237" r:id="rId152" xr:uid="{6E8360DB-D423-B344-AADD-12C1C295E2AA}"/>
    <hyperlink ref="O238" r:id="rId153" xr:uid="{72E6C9C4-671A-A541-968C-2F650D59A2E3}"/>
    <hyperlink ref="O239" r:id="rId154" xr:uid="{894AF954-1979-154D-87C4-B34C2A634355}"/>
    <hyperlink ref="O240" r:id="rId155" xr:uid="{FE2D02AF-5819-8345-B812-22E7E74142B9}"/>
    <hyperlink ref="O241" r:id="rId156" xr:uid="{62C6AEE1-AC78-7E4C-B152-DDC5CF990A54}"/>
    <hyperlink ref="O242" r:id="rId157" xr:uid="{EB80A845-4D41-2A4B-B2DE-E635AA7665AA}"/>
    <hyperlink ref="O243" r:id="rId158" xr:uid="{6E2CC017-8E3F-6048-AD25-5363AF3ED2A3}"/>
    <hyperlink ref="O244" r:id="rId159" xr:uid="{DA54733B-7173-5145-A236-36011B620A28}"/>
    <hyperlink ref="O245" r:id="rId160" xr:uid="{4E854881-72E8-124B-BA88-B80AAFD5A7D5}"/>
    <hyperlink ref="O246" r:id="rId161" xr:uid="{9AF5FB95-7127-4D4E-8A30-00944F11E6AE}"/>
    <hyperlink ref="O247" r:id="rId162" xr:uid="{7B86FFA1-A63B-D941-9601-189C1B3D12B3}"/>
    <hyperlink ref="O248" r:id="rId163" xr:uid="{9E78D675-B670-924F-B327-D1FA6E5D74DA}"/>
    <hyperlink ref="O249" r:id="rId164" xr:uid="{B5B75EAC-EA00-3144-A1F7-969E25B62FD5}"/>
    <hyperlink ref="O250" r:id="rId165" xr:uid="{59F1E0D6-BCE7-7A42-8C59-A077F1F6AA3A}"/>
    <hyperlink ref="O251" r:id="rId166" xr:uid="{7A43488D-3F23-7240-BAD1-A213C1FDC0E2}"/>
    <hyperlink ref="O252" r:id="rId167" xr:uid="{7D522B2B-8BBB-3A49-B3EB-973682FEEB00}"/>
    <hyperlink ref="O253" r:id="rId168" xr:uid="{095F0A61-2AA8-ED4D-AA13-22608DE66FE1}"/>
    <hyperlink ref="O254" r:id="rId169" xr:uid="{6F69FF66-B9D3-7449-8DAD-8490586A3DA8}"/>
    <hyperlink ref="O255" r:id="rId170" xr:uid="{BAF6D692-9BF0-4D44-A1E9-A61A1F78660B}"/>
    <hyperlink ref="O256" r:id="rId171" xr:uid="{90601480-0533-8443-9229-254964DC0C05}"/>
    <hyperlink ref="O257" r:id="rId172" xr:uid="{5A62B503-A1A9-3D43-B714-2A76049E723D}"/>
    <hyperlink ref="O258" r:id="rId173" xr:uid="{D4ECD7BE-CB81-4A48-98D2-B4811112720B}"/>
    <hyperlink ref="O259" r:id="rId174" xr:uid="{1A60F85C-67DF-EC40-89A1-7EEB76314216}"/>
    <hyperlink ref="O260" r:id="rId175" xr:uid="{D0A1060A-5992-1347-AA3F-3CF7EBE780D7}"/>
    <hyperlink ref="O261" r:id="rId176" xr:uid="{7B7A876E-3532-EB48-B63E-FB6EE9715206}"/>
    <hyperlink ref="O262" r:id="rId177" xr:uid="{90C633DE-6DF6-C34A-8C50-E16E9E8ED6D9}"/>
    <hyperlink ref="O263" r:id="rId178" xr:uid="{F255C243-AC90-264D-997B-AE52DC631EB7}"/>
    <hyperlink ref="O264" r:id="rId179" xr:uid="{5D6689CD-D47B-AD42-876A-AD93A646935E}"/>
    <hyperlink ref="O265" r:id="rId180" xr:uid="{CEDE11AD-2C77-1C48-B46C-5238B5C6C7F9}"/>
    <hyperlink ref="O266" r:id="rId181" xr:uid="{864C7744-1C39-4146-AF9A-47CB4CA7771F}"/>
    <hyperlink ref="O267" r:id="rId182" xr:uid="{1D7C1E04-4EBC-0F4A-AF60-3E2F2D4DA36F}"/>
    <hyperlink ref="O268" r:id="rId183" xr:uid="{E6177F24-069F-144E-B06A-200F4A22A3DC}"/>
    <hyperlink ref="O269" r:id="rId184" xr:uid="{7BBFF404-7B4B-8549-927F-FB65B80070F4}"/>
    <hyperlink ref="O270" r:id="rId185" xr:uid="{D127C69F-FF6E-7F4D-B412-98E4D499801D}"/>
    <hyperlink ref="O271" r:id="rId186" xr:uid="{C985FA0C-76C7-B84A-AB1F-A314A9C2A8A6}"/>
    <hyperlink ref="O272" r:id="rId187" xr:uid="{2846346C-4271-5C4A-9ADF-0E269D373C38}"/>
    <hyperlink ref="O273" r:id="rId188" xr:uid="{33D72AFD-1D35-854D-ABF7-D8159F7A2712}"/>
    <hyperlink ref="O274" r:id="rId189" xr:uid="{84B2EADE-C0CE-1A47-91CA-734D2C5EFAE4}"/>
    <hyperlink ref="O275" r:id="rId190" xr:uid="{E633EC61-55DE-CB4C-BADC-030C036E5BD6}"/>
    <hyperlink ref="O276" r:id="rId191" xr:uid="{556238D0-D0F6-6547-9D78-0B410DCBEEB4}"/>
    <hyperlink ref="O277" r:id="rId192" xr:uid="{CD0A37FF-3E40-7F45-B2B2-30EC3A478461}"/>
    <hyperlink ref="O278" r:id="rId193" xr:uid="{BF3FE2C3-1889-0545-B16F-EDB1ECBEB744}"/>
    <hyperlink ref="O279" r:id="rId194" xr:uid="{535F6396-421E-2146-AC73-4AC576B1E3BE}"/>
    <hyperlink ref="O280" r:id="rId195" xr:uid="{B80C669B-D606-3744-8765-5C7E492D677D}"/>
    <hyperlink ref="O281" r:id="rId196" xr:uid="{E4DF32AC-1752-904F-B1A1-C8688481252C}"/>
    <hyperlink ref="O282" r:id="rId197" xr:uid="{E024FBCA-E3CD-864A-8C66-4F2E040F7520}"/>
    <hyperlink ref="O283" r:id="rId198" xr:uid="{CBD56C73-A29A-094C-876A-3F70997F2CC8}"/>
    <hyperlink ref="O284" r:id="rId199" xr:uid="{E7AB5983-5700-0B45-A51D-E6897E7BA9BF}"/>
    <hyperlink ref="O285" r:id="rId200" xr:uid="{C96420DF-62F2-0349-A696-EE98E47448D6}"/>
    <hyperlink ref="O286" r:id="rId201" xr:uid="{0086156C-EADD-9644-A9EB-2913FB655DC5}"/>
    <hyperlink ref="O287" r:id="rId202" xr:uid="{8EE49D0D-5D81-A948-9833-5BC2E1021BB3}"/>
    <hyperlink ref="O288" r:id="rId203" xr:uid="{B3965DF1-12C6-4147-9CD3-13BA2E9ECB96}"/>
    <hyperlink ref="O289" r:id="rId204" xr:uid="{FA365A2C-7244-604B-A0A9-42DAE433A2D6}"/>
    <hyperlink ref="O290" r:id="rId205" xr:uid="{551D5685-E922-8648-9349-CC24FA7B995A}"/>
    <hyperlink ref="O291" r:id="rId206" xr:uid="{55DCE7CB-CB02-AB43-9F76-7420B10E1C2F}"/>
    <hyperlink ref="O292" r:id="rId207" xr:uid="{8C68B519-F684-1043-BD5E-352FFA7E8685}"/>
    <hyperlink ref="O293" r:id="rId208" xr:uid="{145056CF-B71E-C340-A0F7-C20C9239F7DB}"/>
    <hyperlink ref="O294" r:id="rId209" xr:uid="{AF499E52-1D3C-454A-836C-009F04EC88AB}"/>
    <hyperlink ref="O295" r:id="rId210" xr:uid="{969CBEE8-4DA8-2242-8189-C2C783A4A21F}"/>
    <hyperlink ref="O296" r:id="rId211" xr:uid="{44A2C2A5-BD85-7040-B18A-D00967D9F708}"/>
    <hyperlink ref="O297" r:id="rId212" xr:uid="{B50DACA8-8429-7A4D-9979-B1BEC3E8B305}"/>
    <hyperlink ref="O298" r:id="rId213" xr:uid="{F3E34F77-6247-614E-A31F-A79AC4BFD1FD}"/>
    <hyperlink ref="O299" r:id="rId214" xr:uid="{76C9AF17-D0FA-AD4C-9945-1590A8404EC4}"/>
    <hyperlink ref="O300" r:id="rId215" xr:uid="{920090D3-20E0-B24E-A6AA-5AFD374A9B1C}"/>
    <hyperlink ref="O301" r:id="rId216" xr:uid="{F6797860-8BCA-EA4F-9608-AE4B5225E3CA}"/>
    <hyperlink ref="O302" r:id="rId217" xr:uid="{D3670E0C-439D-4A4B-8BB0-AE005B6DE3E7}"/>
    <hyperlink ref="O303" r:id="rId218" xr:uid="{30698FBE-1A8C-C640-92F4-65EEFF27B5C8}"/>
    <hyperlink ref="O304" r:id="rId219" xr:uid="{FBC9C66B-E991-0546-8217-BF90FAF6A34D}"/>
    <hyperlink ref="O305" r:id="rId220" xr:uid="{D4EDFE4E-E728-7749-8F72-B074572FEFDE}"/>
    <hyperlink ref="O306" r:id="rId221" xr:uid="{F44EB05B-A74B-D145-9F8C-F54578F85A22}"/>
    <hyperlink ref="O307" r:id="rId222" xr:uid="{199D0AF5-FDCF-924A-8193-F9CA7FC80724}"/>
    <hyperlink ref="O308" r:id="rId223" xr:uid="{B90E02F1-BE2F-8B4B-8B77-7C6F9B944533}"/>
    <hyperlink ref="O309" r:id="rId224" xr:uid="{C5CAE8FE-1BD4-AD42-8CF8-058DD8843D35}"/>
    <hyperlink ref="O310" r:id="rId225" xr:uid="{AE014270-14BA-D14F-BF5E-E53D14C6A5E8}"/>
    <hyperlink ref="O311" r:id="rId226" xr:uid="{B29649A1-C958-A54D-8107-0B82B8FCB45F}"/>
    <hyperlink ref="O312" r:id="rId227" xr:uid="{C3AB9710-439B-0940-B5E3-3DE64AC2125D}"/>
    <hyperlink ref="O313" r:id="rId228" xr:uid="{D9C63AAE-C9DB-FF4C-8754-1A2FC8BD2167}"/>
    <hyperlink ref="O314" r:id="rId229" xr:uid="{B0188999-FAC6-9046-9CD9-07D7C44E61B8}"/>
    <hyperlink ref="O315" r:id="rId230" xr:uid="{CFE8610C-D662-2341-9CB2-064181E43C94}"/>
    <hyperlink ref="O316" r:id="rId231" xr:uid="{0F578F32-0EFD-E445-B11C-0CF16ECA9063}"/>
    <hyperlink ref="O317" r:id="rId232" xr:uid="{796F9D4A-C764-9340-B9C3-260721E0080F}"/>
    <hyperlink ref="O318" r:id="rId233" xr:uid="{552B5CC0-9A5A-2848-AE4D-0640889A45F7}"/>
    <hyperlink ref="O319" r:id="rId234" xr:uid="{54C6FB0A-7099-C44C-BDF0-B12A5EC9A303}"/>
    <hyperlink ref="O320" r:id="rId235" xr:uid="{8015AC7F-ED27-B44B-9759-CF297AB82DD0}"/>
    <hyperlink ref="O321" r:id="rId236" xr:uid="{582731BC-062F-A544-BCB5-587B63E8A9C4}"/>
    <hyperlink ref="O322" r:id="rId237" xr:uid="{238F4576-3E08-004C-A559-28680CCD3CD4}"/>
    <hyperlink ref="O323" r:id="rId238" xr:uid="{5C034B6A-D877-2C41-8192-019F6E7B187D}"/>
    <hyperlink ref="O324" r:id="rId239" xr:uid="{968B4015-8095-C24F-8C8E-E1642B1BF89F}"/>
    <hyperlink ref="O325" r:id="rId240" xr:uid="{9B1A727F-C8E1-1C42-8163-B594ED90140D}"/>
    <hyperlink ref="O326" r:id="rId241" xr:uid="{AA5E1529-432A-6D42-82AC-FD45E35ACA46}"/>
    <hyperlink ref="O327" r:id="rId242" xr:uid="{D081DCC5-42B3-7145-B7D1-FA6D5433430A}"/>
    <hyperlink ref="O328" r:id="rId243" xr:uid="{BAE64552-A326-1E43-AA5E-71AF2E818DF8}"/>
    <hyperlink ref="O329" r:id="rId244" xr:uid="{B6F3ECEF-9857-064F-AE19-153B5EAA9C9F}"/>
    <hyperlink ref="O330" r:id="rId245" xr:uid="{8E3FCF39-0606-B842-B3CC-E38E5A4F8BB4}"/>
    <hyperlink ref="O331" r:id="rId246" xr:uid="{1E8044C0-5BC6-1248-BC8A-B7EC75A34EB9}"/>
    <hyperlink ref="O332" r:id="rId247" xr:uid="{F16616BC-5122-8847-8C35-220663028FAA}"/>
    <hyperlink ref="O333" r:id="rId248" xr:uid="{3DD6C139-233C-7E48-BF83-7BC46385FA18}"/>
    <hyperlink ref="O334" r:id="rId249" xr:uid="{271AF0A5-C40D-C44E-BEAD-6BAE843A70F8}"/>
    <hyperlink ref="O335" r:id="rId250" xr:uid="{4315E4AD-7119-3840-BF2A-725614FC1DFC}"/>
    <hyperlink ref="O336" r:id="rId251" xr:uid="{83795821-0BB7-6642-85DF-A73E14D78020}"/>
    <hyperlink ref="O337" r:id="rId252" xr:uid="{08EB12C0-5A25-5348-BF5F-CF3F1A6FF8AF}"/>
    <hyperlink ref="O338" r:id="rId253" xr:uid="{3E02F391-49AF-F64B-8DDE-16E2D4B6764C}"/>
    <hyperlink ref="O339" r:id="rId254" xr:uid="{039962BD-18E6-8047-9B7C-35F085C23DC8}"/>
    <hyperlink ref="O340" r:id="rId255" xr:uid="{F7BFA5BE-CDEF-8B49-A068-FC346CE36C13}"/>
    <hyperlink ref="O341" r:id="rId256" xr:uid="{59960CAA-2532-D441-8D77-50010BC59898}"/>
    <hyperlink ref="O342" r:id="rId257" xr:uid="{13391BFF-FA09-D742-B3C8-7096A420CCB7}"/>
    <hyperlink ref="O343" r:id="rId258" xr:uid="{356D5CEB-3A0F-C64C-92E7-65BEA5BB97BF}"/>
    <hyperlink ref="O344" r:id="rId259" xr:uid="{3F82E17B-D0EC-2A45-936D-2AA7D88984E4}"/>
    <hyperlink ref="O345" r:id="rId260" xr:uid="{210761CE-0E26-C648-96FB-784C5A479B6C}"/>
    <hyperlink ref="O346" r:id="rId261" xr:uid="{9B9BFE47-4438-8949-867A-B5C6FEC96F15}"/>
    <hyperlink ref="O347" r:id="rId262" xr:uid="{146C4B46-4680-C740-B46D-320474049902}"/>
    <hyperlink ref="O348" r:id="rId263" xr:uid="{7DDF329F-2DD4-824D-B6A6-A99BCE10A5D1}"/>
    <hyperlink ref="O349" r:id="rId264" xr:uid="{DDB0D7D4-B85F-7842-A96E-63795B8EAA64}"/>
    <hyperlink ref="O350" r:id="rId265" xr:uid="{A8098D39-5871-E14B-85BB-34654F4B25BF}"/>
    <hyperlink ref="O351" r:id="rId266" xr:uid="{EE33C279-641D-2640-A421-9F669B3E26A1}"/>
    <hyperlink ref="O352" r:id="rId267" xr:uid="{5769442E-7140-7645-95E8-7833D6192E54}"/>
    <hyperlink ref="O353" r:id="rId268" xr:uid="{C67A088E-F5BE-A740-85AD-816249E3C118}"/>
    <hyperlink ref="O354" r:id="rId269" xr:uid="{B245BF8E-CC03-C546-BE23-B933F6ECA8AE}"/>
    <hyperlink ref="O355" r:id="rId270" xr:uid="{25333692-A375-5D49-B790-853090242161}"/>
    <hyperlink ref="O356" r:id="rId271" xr:uid="{BB64B35D-2406-AE44-B96A-EA3EA345D32D}"/>
    <hyperlink ref="O357" r:id="rId272" xr:uid="{BD279640-0592-4349-8AEC-949F22D83058}"/>
    <hyperlink ref="O358" r:id="rId273" xr:uid="{D58C4333-617E-5048-ACA5-00A24C00CE9B}"/>
    <hyperlink ref="O359" r:id="rId274" xr:uid="{65E8A2F7-3F84-8E40-9208-4EF82E69E8B4}"/>
    <hyperlink ref="O360" r:id="rId275" xr:uid="{740D8FAD-7889-624A-B655-A311FD81D0A5}"/>
    <hyperlink ref="O361" r:id="rId276" xr:uid="{F5045386-2331-C542-AF20-BB244A462DC2}"/>
    <hyperlink ref="O362" r:id="rId277" xr:uid="{CA14D1F9-2EEB-0A4D-95B1-B19C7169470E}"/>
    <hyperlink ref="O363" r:id="rId278" xr:uid="{D81CA8C2-0070-9948-B924-8E901324BC0E}"/>
    <hyperlink ref="O364" r:id="rId279" xr:uid="{74D8F611-271B-C549-8DC5-8A518755E068}"/>
    <hyperlink ref="O365" r:id="rId280" xr:uid="{5A199F3A-A5BB-6B4B-9F6A-7AE8A5C2B715}"/>
    <hyperlink ref="O366" r:id="rId281" xr:uid="{5BC05FF6-2E1F-0E48-A7A0-799DACE1B961}"/>
    <hyperlink ref="O367" r:id="rId282" xr:uid="{73D7E59F-A133-1244-B346-760772A0F627}"/>
    <hyperlink ref="O368" r:id="rId283" xr:uid="{8C08D6F8-950E-3848-A7C9-162BC41A5D09}"/>
    <hyperlink ref="O369" r:id="rId284" xr:uid="{FF5A388B-AED5-674D-8B3B-39FF75BB7D77}"/>
    <hyperlink ref="O370" r:id="rId285" xr:uid="{F1550601-FB02-984A-821E-0F80996CC91C}"/>
    <hyperlink ref="O371" r:id="rId286" xr:uid="{9F1EE63E-60F3-2242-9985-58AD5D31904F}"/>
    <hyperlink ref="O372" r:id="rId287" xr:uid="{C71728EB-8130-954B-B0B0-0095A4D6082E}"/>
    <hyperlink ref="O373" r:id="rId288" xr:uid="{D2E5B116-A209-8146-829A-2755053C2F75}"/>
    <hyperlink ref="O374" r:id="rId289" xr:uid="{58BD6B90-C467-7541-BC90-9A23A57FC9CD}"/>
    <hyperlink ref="O375" r:id="rId290" xr:uid="{D5FA07E2-DBE9-3B44-A6FD-6B094A3E6446}"/>
    <hyperlink ref="O376" r:id="rId291" xr:uid="{4D605087-6480-194C-A405-BAE51586BAB7}"/>
    <hyperlink ref="O377" r:id="rId292" xr:uid="{450C7B60-4B02-E748-9A27-C8ADD629EFB8}"/>
    <hyperlink ref="O4" r:id="rId293" xr:uid="{B85BFB21-A279-7741-BC68-48A3F60B9DE9}"/>
    <hyperlink ref="O19" r:id="rId294" xr:uid="{C9C0A5AE-9DD5-0448-9E51-CE25F258880B}"/>
    <hyperlink ref="O98" r:id="rId295" xr:uid="{1C6B5DCA-FEE6-B84C-B801-E2618A540A50}"/>
    <hyperlink ref="O114" r:id="rId296" xr:uid="{BCF767D2-1EF0-7349-A481-F13799DC66C8}"/>
    <hyperlink ref="O137" r:id="rId297" xr:uid="{7AB9C806-3211-DD46-85D6-2E3C9D7F1B2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BB45-49CB-3B4C-A2AD-70C422F3FA82}">
  <dimension ref="A1:Q61"/>
  <sheetViews>
    <sheetView workbookViewId="0">
      <pane ySplit="1" topLeftCell="A2" activePane="bottomLeft" state="frozen"/>
      <selection pane="bottomLeft" activeCell="A61" sqref="A61:XFD61"/>
    </sheetView>
  </sheetViews>
  <sheetFormatPr baseColWidth="10" defaultRowHeight="16" x14ac:dyDescent="0.2"/>
  <cols>
    <col min="1" max="1" width="17.1640625" bestFit="1" customWidth="1"/>
    <col min="4" max="4" width="16.83203125" bestFit="1" customWidth="1"/>
    <col min="5" max="5" width="26.1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tr">
        <f>HYPERLINK("https://portal.hubmapconsortium.org/browse/sample/5f1a591f7548bd41ba41da49aa54c833", "HBM784.MZKD.558")</f>
        <v>HBM784.MZKD.558</v>
      </c>
      <c r="B2" t="s">
        <v>17</v>
      </c>
      <c r="C2" t="s">
        <v>180</v>
      </c>
      <c r="D2" s="2" t="str">
        <f>HYPERLINK("https://portal.hubmapconsortium.org/browse/sample/671fe5ae8fd5aac945d1d9260a0a89d2", "HBM524.PSGH.765")</f>
        <v>HBM524.PSGH.765</v>
      </c>
      <c r="E2" t="s">
        <v>185</v>
      </c>
      <c r="F2" t="s">
        <v>186</v>
      </c>
      <c r="G2" t="s">
        <v>20</v>
      </c>
      <c r="H2" t="s">
        <v>21</v>
      </c>
      <c r="I2" t="s">
        <v>22</v>
      </c>
      <c r="J2" s="2" t="b">
        <v>0</v>
      </c>
      <c r="K2" s="2" t="s">
        <v>187</v>
      </c>
      <c r="L2" t="s">
        <v>77</v>
      </c>
      <c r="M2" t="s">
        <v>183</v>
      </c>
      <c r="N2" t="s">
        <v>184</v>
      </c>
      <c r="O2" t="s">
        <v>169</v>
      </c>
      <c r="P2" s="3">
        <v>45853.674368437503</v>
      </c>
      <c r="Q2" s="3">
        <v>45853.674368437503</v>
      </c>
    </row>
    <row r="3" spans="1:17" x14ac:dyDescent="0.2">
      <c r="A3" s="2" t="str">
        <f>HYPERLINK("https://portal.hubmapconsortium.org/browse/sample/700e6f7bfc745955e6811464f8b0f03f", "HBM234.MPDP.858")</f>
        <v>HBM234.MPDP.858</v>
      </c>
      <c r="B3" t="s">
        <v>17</v>
      </c>
      <c r="C3" t="s">
        <v>18</v>
      </c>
      <c r="D3" s="2" t="str">
        <f t="shared" ref="D3:D11" si="0">HYPERLINK("https://portal.hubmapconsortium.org/browse/sample/8d7323f8e67fae6440c934eeb1ab3d9a", "HBM888.XXWD.357")</f>
        <v>HBM888.XXWD.357</v>
      </c>
      <c r="E3" t="s">
        <v>197</v>
      </c>
      <c r="F3" t="s">
        <v>186</v>
      </c>
      <c r="G3" t="s">
        <v>20</v>
      </c>
      <c r="H3" t="s">
        <v>21</v>
      </c>
      <c r="I3" t="s">
        <v>22</v>
      </c>
      <c r="J3" s="2" t="b">
        <v>0</v>
      </c>
      <c r="K3" s="2" t="s">
        <v>187</v>
      </c>
      <c r="L3" t="s">
        <v>77</v>
      </c>
      <c r="M3" t="s">
        <v>183</v>
      </c>
      <c r="N3" t="s">
        <v>184</v>
      </c>
      <c r="O3" t="s">
        <v>169</v>
      </c>
      <c r="P3" s="3">
        <v>45848.878408807868</v>
      </c>
      <c r="Q3" s="3">
        <v>45848.878408807868</v>
      </c>
    </row>
    <row r="4" spans="1:17" x14ac:dyDescent="0.2">
      <c r="A4" s="2" t="str">
        <f>HYPERLINK("https://portal.hubmapconsortium.org/browse/sample/09ce932088be1666e75ff8e29fa4de7e", "HBM526.PDMQ.345")</f>
        <v>HBM526.PDMQ.345</v>
      </c>
      <c r="B4" t="s">
        <v>17</v>
      </c>
      <c r="C4" t="s">
        <v>18</v>
      </c>
      <c r="D4" s="2" t="str">
        <f t="shared" si="0"/>
        <v>HBM888.XXWD.357</v>
      </c>
      <c r="E4" t="s">
        <v>200</v>
      </c>
      <c r="F4" t="s">
        <v>186</v>
      </c>
      <c r="G4" t="s">
        <v>20</v>
      </c>
      <c r="H4" t="s">
        <v>21</v>
      </c>
      <c r="I4" t="s">
        <v>22</v>
      </c>
      <c r="J4" s="2" t="b">
        <v>0</v>
      </c>
      <c r="K4" s="2" t="s">
        <v>187</v>
      </c>
      <c r="L4" t="s">
        <v>77</v>
      </c>
      <c r="M4" t="s">
        <v>183</v>
      </c>
      <c r="N4" t="s">
        <v>184</v>
      </c>
      <c r="O4" t="s">
        <v>169</v>
      </c>
      <c r="P4" s="3">
        <v>45835.579758703701</v>
      </c>
      <c r="Q4" s="3">
        <v>45835.579758703701</v>
      </c>
    </row>
    <row r="5" spans="1:17" x14ac:dyDescent="0.2">
      <c r="A5" s="2" t="str">
        <f>HYPERLINK("https://portal.hubmapconsortium.org/browse/sample/9d46b75055622ea1aedc88251022d18d", "HBM459.FFLG.725")</f>
        <v>HBM459.FFLG.725</v>
      </c>
      <c r="B5" t="s">
        <v>17</v>
      </c>
      <c r="C5" t="s">
        <v>18</v>
      </c>
      <c r="D5" s="2" t="str">
        <f t="shared" si="0"/>
        <v>HBM888.XXWD.357</v>
      </c>
      <c r="E5" t="s">
        <v>202</v>
      </c>
      <c r="F5" t="s">
        <v>186</v>
      </c>
      <c r="G5" t="s">
        <v>20</v>
      </c>
      <c r="H5" t="s">
        <v>21</v>
      </c>
      <c r="I5" t="s">
        <v>22</v>
      </c>
      <c r="J5" s="2" t="b">
        <v>0</v>
      </c>
      <c r="K5" s="2" t="s">
        <v>187</v>
      </c>
      <c r="L5" t="s">
        <v>77</v>
      </c>
      <c r="M5" t="s">
        <v>183</v>
      </c>
      <c r="N5" t="s">
        <v>184</v>
      </c>
      <c r="O5" t="s">
        <v>169</v>
      </c>
      <c r="P5" s="3">
        <v>45853.66265578704</v>
      </c>
      <c r="Q5" s="3">
        <v>45853.66265578704</v>
      </c>
    </row>
    <row r="6" spans="1:17" x14ac:dyDescent="0.2">
      <c r="A6" s="2" t="str">
        <f>HYPERLINK("https://portal.hubmapconsortium.org/browse/sample/1f7021c306a6fae6139c7958f720a527", "HBM263.FWZC.357")</f>
        <v>HBM263.FWZC.357</v>
      </c>
      <c r="B6" t="s">
        <v>17</v>
      </c>
      <c r="C6" t="s">
        <v>18</v>
      </c>
      <c r="D6" s="2" t="str">
        <f t="shared" si="0"/>
        <v>HBM888.XXWD.357</v>
      </c>
      <c r="E6" t="s">
        <v>204</v>
      </c>
      <c r="F6" t="s">
        <v>186</v>
      </c>
      <c r="G6" t="s">
        <v>20</v>
      </c>
      <c r="H6" t="s">
        <v>21</v>
      </c>
      <c r="I6" t="s">
        <v>22</v>
      </c>
      <c r="J6" s="2" t="b">
        <v>0</v>
      </c>
      <c r="K6" s="2" t="s">
        <v>187</v>
      </c>
      <c r="L6" t="s">
        <v>77</v>
      </c>
      <c r="M6" t="s">
        <v>183</v>
      </c>
      <c r="N6" t="s">
        <v>184</v>
      </c>
      <c r="O6" t="s">
        <v>169</v>
      </c>
      <c r="P6" s="3">
        <v>45848.878421666668</v>
      </c>
      <c r="Q6" s="3">
        <v>45848.878421666668</v>
      </c>
    </row>
    <row r="7" spans="1:17" x14ac:dyDescent="0.2">
      <c r="A7" s="2" t="str">
        <f>HYPERLINK("https://portal.hubmapconsortium.org/browse/sample/1e58ae52704b9f6132e5cb97d9f9d31f", "HBM539.SNKT.625")</f>
        <v>HBM539.SNKT.625</v>
      </c>
      <c r="B7" t="s">
        <v>17</v>
      </c>
      <c r="C7" t="s">
        <v>18</v>
      </c>
      <c r="D7" s="2" t="str">
        <f t="shared" si="0"/>
        <v>HBM888.XXWD.357</v>
      </c>
      <c r="E7" t="s">
        <v>207</v>
      </c>
      <c r="F7" t="s">
        <v>186</v>
      </c>
      <c r="G7" t="s">
        <v>20</v>
      </c>
      <c r="H7" t="s">
        <v>21</v>
      </c>
      <c r="I7" t="s">
        <v>22</v>
      </c>
      <c r="J7" s="2" t="b">
        <v>0</v>
      </c>
      <c r="K7" s="2" t="s">
        <v>187</v>
      </c>
      <c r="L7" t="s">
        <v>77</v>
      </c>
      <c r="M7" t="s">
        <v>183</v>
      </c>
      <c r="N7" t="s">
        <v>184</v>
      </c>
      <c r="O7" t="s">
        <v>169</v>
      </c>
      <c r="P7" s="3">
        <v>45853.662667222219</v>
      </c>
      <c r="Q7" s="3">
        <v>45853.662667222219</v>
      </c>
    </row>
    <row r="8" spans="1:17" x14ac:dyDescent="0.2">
      <c r="A8" s="2" t="str">
        <f>HYPERLINK("https://portal.hubmapconsortium.org/browse/sample/b583c3ce0cac5a968c3053872dc70190", "HBM648.GVFD.542")</f>
        <v>HBM648.GVFD.542</v>
      </c>
      <c r="B8" t="s">
        <v>17</v>
      </c>
      <c r="C8" t="s">
        <v>18</v>
      </c>
      <c r="D8" s="2" t="str">
        <f t="shared" si="0"/>
        <v>HBM888.XXWD.357</v>
      </c>
      <c r="E8" t="s">
        <v>209</v>
      </c>
      <c r="F8" t="s">
        <v>186</v>
      </c>
      <c r="G8" t="s">
        <v>20</v>
      </c>
      <c r="H8" t="s">
        <v>21</v>
      </c>
      <c r="I8" t="s">
        <v>22</v>
      </c>
      <c r="J8" s="2" t="b">
        <v>0</v>
      </c>
      <c r="K8" s="2" t="s">
        <v>187</v>
      </c>
      <c r="L8" t="s">
        <v>77</v>
      </c>
      <c r="M8" t="s">
        <v>183</v>
      </c>
      <c r="N8" t="s">
        <v>184</v>
      </c>
      <c r="O8" t="s">
        <v>169</v>
      </c>
      <c r="P8" s="3">
        <v>45835.579771909717</v>
      </c>
      <c r="Q8" s="3">
        <v>45835.579771909717</v>
      </c>
    </row>
    <row r="9" spans="1:17" x14ac:dyDescent="0.2">
      <c r="A9" s="2" t="str">
        <f>HYPERLINK("https://portal.hubmapconsortium.org/browse/sample/cde3222ef74566117d66ecaf76e37088", "HBM764.HHDW.497")</f>
        <v>HBM764.HHDW.497</v>
      </c>
      <c r="B9" t="s">
        <v>17</v>
      </c>
      <c r="C9" t="s">
        <v>18</v>
      </c>
      <c r="D9" s="2" t="str">
        <f t="shared" si="0"/>
        <v>HBM888.XXWD.357</v>
      </c>
      <c r="E9" t="s">
        <v>210</v>
      </c>
      <c r="F9" t="s">
        <v>186</v>
      </c>
      <c r="G9" t="s">
        <v>20</v>
      </c>
      <c r="H9" t="s">
        <v>21</v>
      </c>
      <c r="I9" t="s">
        <v>22</v>
      </c>
      <c r="J9" s="2" t="b">
        <v>0</v>
      </c>
      <c r="K9" s="2" t="s">
        <v>187</v>
      </c>
      <c r="L9" t="s">
        <v>77</v>
      </c>
      <c r="M9" t="s">
        <v>183</v>
      </c>
      <c r="N9" t="s">
        <v>184</v>
      </c>
      <c r="O9" t="s">
        <v>169</v>
      </c>
      <c r="P9" s="3">
        <v>45853.674382025463</v>
      </c>
      <c r="Q9" s="3">
        <v>45853.674382025463</v>
      </c>
    </row>
    <row r="10" spans="1:17" x14ac:dyDescent="0.2">
      <c r="A10" s="2" t="str">
        <f>HYPERLINK("https://portal.hubmapconsortium.org/browse/sample/e77484d6e77b22bbde79dd5a272fa35d", "HBM555.ZNVD.445")</f>
        <v>HBM555.ZNVD.445</v>
      </c>
      <c r="B10" t="s">
        <v>17</v>
      </c>
      <c r="C10" t="s">
        <v>18</v>
      </c>
      <c r="D10" s="2" t="str">
        <f t="shared" si="0"/>
        <v>HBM888.XXWD.357</v>
      </c>
      <c r="E10" t="s">
        <v>213</v>
      </c>
      <c r="F10" t="s">
        <v>186</v>
      </c>
      <c r="G10" t="s">
        <v>20</v>
      </c>
      <c r="H10" t="s">
        <v>21</v>
      </c>
      <c r="I10" t="s">
        <v>22</v>
      </c>
      <c r="J10" s="2" t="b">
        <v>0</v>
      </c>
      <c r="K10" s="2" t="s">
        <v>187</v>
      </c>
      <c r="L10" t="s">
        <v>77</v>
      </c>
      <c r="M10" t="s">
        <v>183</v>
      </c>
      <c r="N10" t="s">
        <v>184</v>
      </c>
      <c r="O10" t="s">
        <v>169</v>
      </c>
      <c r="P10" s="3">
        <v>45853.674399201387</v>
      </c>
      <c r="Q10" s="3">
        <v>45853.674399201387</v>
      </c>
    </row>
    <row r="11" spans="1:17" x14ac:dyDescent="0.2">
      <c r="A11" s="2" t="str">
        <f>HYPERLINK("https://portal.hubmapconsortium.org/browse/sample/93c93fb07fd1576be89a5ab0fb5a0815", "HBM354.SZPB.386")</f>
        <v>HBM354.SZPB.386</v>
      </c>
      <c r="B11" t="s">
        <v>17</v>
      </c>
      <c r="C11" t="s">
        <v>18</v>
      </c>
      <c r="D11" s="2" t="str">
        <f t="shared" si="0"/>
        <v>HBM888.XXWD.357</v>
      </c>
      <c r="E11" t="s">
        <v>215</v>
      </c>
      <c r="F11" t="s">
        <v>186</v>
      </c>
      <c r="G11" t="s">
        <v>20</v>
      </c>
      <c r="H11" t="s">
        <v>21</v>
      </c>
      <c r="I11" t="s">
        <v>22</v>
      </c>
      <c r="J11" s="2" t="b">
        <v>0</v>
      </c>
      <c r="K11" s="2" t="s">
        <v>187</v>
      </c>
      <c r="L11" t="s">
        <v>77</v>
      </c>
      <c r="M11" t="s">
        <v>183</v>
      </c>
      <c r="N11" t="s">
        <v>184</v>
      </c>
      <c r="O11" t="s">
        <v>169</v>
      </c>
      <c r="P11" s="3">
        <v>45835.579783576388</v>
      </c>
      <c r="Q11" s="3">
        <v>45835.579783576388</v>
      </c>
    </row>
    <row r="12" spans="1:17" x14ac:dyDescent="0.2">
      <c r="A12" s="2" t="str">
        <f>HYPERLINK("https://portal.hubmapconsortium.org/browse/sample/571e21b1395cd4fe3db6a6d15bda92c6", "HBM486.RCFS.875")</f>
        <v>HBM486.RCFS.875</v>
      </c>
      <c r="B12" t="s">
        <v>33</v>
      </c>
      <c r="C12" t="s">
        <v>216</v>
      </c>
      <c r="D12" s="2" t="str">
        <f>HYPERLINK("https://portal.hubmapconsortium.org/browse/sample/d84f2ca886df60fa3c88da03da0b1fe9", "HBM598.WKVR.237")</f>
        <v>HBM598.WKVR.237</v>
      </c>
      <c r="E12" t="s">
        <v>219</v>
      </c>
      <c r="F12" t="s">
        <v>220</v>
      </c>
      <c r="G12" t="s">
        <v>20</v>
      </c>
      <c r="H12" t="s">
        <v>21</v>
      </c>
      <c r="I12" t="s">
        <v>22</v>
      </c>
      <c r="J12" s="2" t="b">
        <v>0</v>
      </c>
      <c r="K12" s="2" t="s">
        <v>187</v>
      </c>
      <c r="L12" t="s">
        <v>77</v>
      </c>
      <c r="M12" t="s">
        <v>183</v>
      </c>
      <c r="N12" t="s">
        <v>184</v>
      </c>
      <c r="O12" t="s">
        <v>169</v>
      </c>
      <c r="P12" s="3">
        <v>45835.579798865743</v>
      </c>
      <c r="Q12" s="3">
        <v>45835.579798865743</v>
      </c>
    </row>
    <row r="13" spans="1:17" x14ac:dyDescent="0.2">
      <c r="A13" s="2" t="str">
        <f>HYPERLINK("https://portal.hubmapconsortium.org/browse/sample/d9b43ea22c49f007e2472bcea5067286", "HBM363.GTCG.592")</f>
        <v>HBM363.GTCG.592</v>
      </c>
      <c r="B13" t="s">
        <v>33</v>
      </c>
      <c r="C13" t="s">
        <v>34</v>
      </c>
      <c r="D13" s="2" t="str">
        <f t="shared" ref="D13:D21" si="1">HYPERLINK("https://portal.hubmapconsortium.org/browse/sample/83ab99a06a11a99e3fb971c922b50642", "HBM972.ZVMR.866")</f>
        <v>HBM972.ZVMR.866</v>
      </c>
      <c r="E13" t="s">
        <v>227</v>
      </c>
      <c r="F13" t="s">
        <v>220</v>
      </c>
      <c r="G13" t="s">
        <v>20</v>
      </c>
      <c r="H13" t="s">
        <v>21</v>
      </c>
      <c r="I13" t="s">
        <v>22</v>
      </c>
      <c r="J13" s="2" t="b">
        <v>0</v>
      </c>
      <c r="K13" s="2" t="s">
        <v>187</v>
      </c>
      <c r="L13" t="s">
        <v>77</v>
      </c>
      <c r="M13" t="s">
        <v>183</v>
      </c>
      <c r="N13" t="s">
        <v>184</v>
      </c>
      <c r="O13" t="s">
        <v>169</v>
      </c>
      <c r="P13" s="3">
        <v>45853.674413842593</v>
      </c>
      <c r="Q13" s="3">
        <v>45853.674413842593</v>
      </c>
    </row>
    <row r="14" spans="1:17" x14ac:dyDescent="0.2">
      <c r="A14" s="2" t="str">
        <f>HYPERLINK("https://portal.hubmapconsortium.org/browse/sample/3fa1932296953655051f1f5865ad3cdd", "HBM687.NZSP.353")</f>
        <v>HBM687.NZSP.353</v>
      </c>
      <c r="B14" t="s">
        <v>33</v>
      </c>
      <c r="C14" t="s">
        <v>34</v>
      </c>
      <c r="D14" s="2" t="str">
        <f t="shared" si="1"/>
        <v>HBM972.ZVMR.866</v>
      </c>
      <c r="E14" t="s">
        <v>230</v>
      </c>
      <c r="F14" t="s">
        <v>220</v>
      </c>
      <c r="G14" t="s">
        <v>20</v>
      </c>
      <c r="H14" t="s">
        <v>21</v>
      </c>
      <c r="I14" t="s">
        <v>22</v>
      </c>
      <c r="J14" s="2" t="b">
        <v>0</v>
      </c>
      <c r="K14" s="2" t="s">
        <v>187</v>
      </c>
      <c r="L14" t="s">
        <v>77</v>
      </c>
      <c r="M14" t="s">
        <v>183</v>
      </c>
      <c r="N14" t="s">
        <v>184</v>
      </c>
      <c r="O14" t="s">
        <v>169</v>
      </c>
      <c r="P14" s="3">
        <v>45853.662682754628</v>
      </c>
      <c r="Q14" s="3">
        <v>45853.662682754628</v>
      </c>
    </row>
    <row r="15" spans="1:17" x14ac:dyDescent="0.2">
      <c r="A15" s="2" t="str">
        <f>HYPERLINK("https://portal.hubmapconsortium.org/browse/sample/32c7714b2e98d7d4e0de6760919ba0d9", "HBM329.QXZW.545")</f>
        <v>HBM329.QXZW.545</v>
      </c>
      <c r="B15" t="s">
        <v>33</v>
      </c>
      <c r="C15" t="s">
        <v>34</v>
      </c>
      <c r="D15" s="2" t="str">
        <f t="shared" si="1"/>
        <v>HBM972.ZVMR.866</v>
      </c>
      <c r="E15" t="s">
        <v>231</v>
      </c>
      <c r="F15" t="s">
        <v>220</v>
      </c>
      <c r="G15" t="s">
        <v>20</v>
      </c>
      <c r="H15" t="s">
        <v>21</v>
      </c>
      <c r="I15" t="s">
        <v>22</v>
      </c>
      <c r="J15" s="2" t="b">
        <v>0</v>
      </c>
      <c r="K15" s="2" t="s">
        <v>187</v>
      </c>
      <c r="L15" t="s">
        <v>77</v>
      </c>
      <c r="M15" t="s">
        <v>183</v>
      </c>
      <c r="N15" t="s">
        <v>184</v>
      </c>
      <c r="O15" t="s">
        <v>169</v>
      </c>
      <c r="P15" s="3">
        <v>45853.674429143517</v>
      </c>
      <c r="Q15" s="3">
        <v>45853.674429143517</v>
      </c>
    </row>
    <row r="16" spans="1:17" x14ac:dyDescent="0.2">
      <c r="A16" s="2" t="str">
        <f>HYPERLINK("https://portal.hubmapconsortium.org/browse/sample/07372d0b5e844352aab09b63ffc30c0f", "HBM724.XQHT.833")</f>
        <v>HBM724.XQHT.833</v>
      </c>
      <c r="B16" t="s">
        <v>33</v>
      </c>
      <c r="C16" t="s">
        <v>34</v>
      </c>
      <c r="D16" s="2" t="str">
        <f t="shared" si="1"/>
        <v>HBM972.ZVMR.866</v>
      </c>
      <c r="E16" t="s">
        <v>237</v>
      </c>
      <c r="F16" t="s">
        <v>220</v>
      </c>
      <c r="G16" t="s">
        <v>20</v>
      </c>
      <c r="H16" t="s">
        <v>21</v>
      </c>
      <c r="I16" t="s">
        <v>22</v>
      </c>
      <c r="J16" s="2" t="b">
        <v>0</v>
      </c>
      <c r="K16" s="2" t="s">
        <v>187</v>
      </c>
      <c r="L16" t="s">
        <v>77</v>
      </c>
      <c r="M16" t="s">
        <v>183</v>
      </c>
      <c r="N16" t="s">
        <v>184</v>
      </c>
      <c r="O16" t="s">
        <v>169</v>
      </c>
      <c r="P16" s="3">
        <v>45853.662696261577</v>
      </c>
      <c r="Q16" s="3">
        <v>45853.662696261577</v>
      </c>
    </row>
    <row r="17" spans="1:17" x14ac:dyDescent="0.2">
      <c r="A17" s="2" t="str">
        <f>HYPERLINK("https://portal.hubmapconsortium.org/browse/sample/91ecf4f7a1c4ecc1322f27e3cb3be538", "HBM738.WJKG.622")</f>
        <v>HBM738.WJKG.622</v>
      </c>
      <c r="B17" t="s">
        <v>33</v>
      </c>
      <c r="C17" t="s">
        <v>34</v>
      </c>
      <c r="D17" s="2" t="str">
        <f t="shared" si="1"/>
        <v>HBM972.ZVMR.866</v>
      </c>
      <c r="E17" t="s">
        <v>240</v>
      </c>
      <c r="F17" t="s">
        <v>220</v>
      </c>
      <c r="G17" t="s">
        <v>20</v>
      </c>
      <c r="H17" t="s">
        <v>21</v>
      </c>
      <c r="I17" t="s">
        <v>22</v>
      </c>
      <c r="J17" s="2" t="b">
        <v>0</v>
      </c>
      <c r="K17" s="2" t="s">
        <v>187</v>
      </c>
      <c r="L17" t="s">
        <v>77</v>
      </c>
      <c r="M17" t="s">
        <v>183</v>
      </c>
      <c r="N17" t="s">
        <v>184</v>
      </c>
      <c r="O17" t="s">
        <v>169</v>
      </c>
      <c r="P17" s="3">
        <v>45848.878434039347</v>
      </c>
      <c r="Q17" s="3">
        <v>45848.878434039347</v>
      </c>
    </row>
    <row r="18" spans="1:17" x14ac:dyDescent="0.2">
      <c r="A18" s="2" t="str">
        <f>HYPERLINK("https://portal.hubmapconsortium.org/browse/sample/437385de8ac36c5abe2564c79c949604", "HBM226.WQCS.966")</f>
        <v>HBM226.WQCS.966</v>
      </c>
      <c r="B18" t="s">
        <v>33</v>
      </c>
      <c r="C18" t="s">
        <v>34</v>
      </c>
      <c r="D18" s="2" t="str">
        <f t="shared" si="1"/>
        <v>HBM972.ZVMR.866</v>
      </c>
      <c r="E18" t="s">
        <v>243</v>
      </c>
      <c r="F18" t="s">
        <v>220</v>
      </c>
      <c r="G18" t="s">
        <v>20</v>
      </c>
      <c r="H18" t="s">
        <v>21</v>
      </c>
      <c r="I18" t="s">
        <v>22</v>
      </c>
      <c r="J18" s="2" t="b">
        <v>0</v>
      </c>
      <c r="K18" s="2" t="s">
        <v>187</v>
      </c>
      <c r="L18" t="s">
        <v>77</v>
      </c>
      <c r="M18" t="s">
        <v>183</v>
      </c>
      <c r="N18" t="s">
        <v>184</v>
      </c>
      <c r="O18" t="s">
        <v>169</v>
      </c>
      <c r="P18" s="3">
        <v>45853.662711990743</v>
      </c>
      <c r="Q18" s="3">
        <v>45853.662711990743</v>
      </c>
    </row>
    <row r="19" spans="1:17" x14ac:dyDescent="0.2">
      <c r="A19" s="2" t="str">
        <f>HYPERLINK("https://portal.hubmapconsortium.org/browse/sample/81e5a7da28e014147f31cb90a52fb64e", "HBM389.GBKS.327")</f>
        <v>HBM389.GBKS.327</v>
      </c>
      <c r="B19" t="s">
        <v>33</v>
      </c>
      <c r="C19" t="s">
        <v>34</v>
      </c>
      <c r="D19" s="2" t="str">
        <f t="shared" si="1"/>
        <v>HBM972.ZVMR.866</v>
      </c>
      <c r="E19" t="s">
        <v>245</v>
      </c>
      <c r="F19" t="s">
        <v>220</v>
      </c>
      <c r="G19" t="s">
        <v>20</v>
      </c>
      <c r="H19" t="s">
        <v>21</v>
      </c>
      <c r="I19" t="s">
        <v>22</v>
      </c>
      <c r="J19" s="2" t="b">
        <v>0</v>
      </c>
      <c r="K19" s="2" t="s">
        <v>187</v>
      </c>
      <c r="L19" t="s">
        <v>77</v>
      </c>
      <c r="M19" t="s">
        <v>183</v>
      </c>
      <c r="N19" t="s">
        <v>184</v>
      </c>
      <c r="O19" t="s">
        <v>169</v>
      </c>
      <c r="P19" s="3">
        <v>45835.579813969911</v>
      </c>
      <c r="Q19" s="3">
        <v>45835.579813969911</v>
      </c>
    </row>
    <row r="20" spans="1:17" x14ac:dyDescent="0.2">
      <c r="A20" s="2" t="str">
        <f>HYPERLINK("https://portal.hubmapconsortium.org/browse/sample/82f18a05a077d002bfdb2adfe876b4d0", "HBM459.JXDJ.952")</f>
        <v>HBM459.JXDJ.952</v>
      </c>
      <c r="B20" t="s">
        <v>33</v>
      </c>
      <c r="C20" t="s">
        <v>34</v>
      </c>
      <c r="D20" s="2" t="str">
        <f t="shared" si="1"/>
        <v>HBM972.ZVMR.866</v>
      </c>
      <c r="E20" t="s">
        <v>248</v>
      </c>
      <c r="F20" t="s">
        <v>220</v>
      </c>
      <c r="G20" t="s">
        <v>20</v>
      </c>
      <c r="H20" t="s">
        <v>21</v>
      </c>
      <c r="I20" t="s">
        <v>22</v>
      </c>
      <c r="J20" s="2" t="b">
        <v>0</v>
      </c>
      <c r="K20" s="2" t="s">
        <v>187</v>
      </c>
      <c r="L20" t="s">
        <v>77</v>
      </c>
      <c r="M20" t="s">
        <v>183</v>
      </c>
      <c r="N20" t="s">
        <v>184</v>
      </c>
      <c r="O20" t="s">
        <v>169</v>
      </c>
      <c r="P20" s="3">
        <v>45848.878458831023</v>
      </c>
      <c r="Q20" s="3">
        <v>45848.878458831023</v>
      </c>
    </row>
    <row r="21" spans="1:17" x14ac:dyDescent="0.2">
      <c r="A21" s="2" t="str">
        <f>HYPERLINK("https://portal.hubmapconsortium.org/browse/sample/1800e1c91f4ed9521b1e2def56aeb283", "HBM273.PVCG.424")</f>
        <v>HBM273.PVCG.424</v>
      </c>
      <c r="B21" t="s">
        <v>33</v>
      </c>
      <c r="C21" t="s">
        <v>34</v>
      </c>
      <c r="D21" s="2" t="str">
        <f t="shared" si="1"/>
        <v>HBM972.ZVMR.866</v>
      </c>
      <c r="E21" t="s">
        <v>250</v>
      </c>
      <c r="F21" t="s">
        <v>220</v>
      </c>
      <c r="G21" t="s">
        <v>20</v>
      </c>
      <c r="H21" t="s">
        <v>21</v>
      </c>
      <c r="I21" t="s">
        <v>22</v>
      </c>
      <c r="J21" s="2" t="b">
        <v>0</v>
      </c>
      <c r="K21" s="2" t="s">
        <v>187</v>
      </c>
      <c r="L21" t="s">
        <v>77</v>
      </c>
      <c r="M21" t="s">
        <v>183</v>
      </c>
      <c r="N21" t="s">
        <v>184</v>
      </c>
      <c r="O21" t="s">
        <v>169</v>
      </c>
      <c r="P21" s="3">
        <v>45835.579831689807</v>
      </c>
      <c r="Q21" s="3">
        <v>45835.579831689807</v>
      </c>
    </row>
    <row r="22" spans="1:17" x14ac:dyDescent="0.2">
      <c r="A22" s="2" t="str">
        <f>HYPERLINK("https://portal.hubmapconsortium.org/browse/sample/2692a22a5a22b58832a802b8fa1737e6", "HBM885.GQNX.934")</f>
        <v>HBM885.GQNX.934</v>
      </c>
      <c r="B22" t="s">
        <v>139</v>
      </c>
      <c r="C22" t="s">
        <v>292</v>
      </c>
      <c r="D22" s="2" t="str">
        <f>HYPERLINK("https://portal.hubmapconsortium.org/browse/sample/c02b6ebeab4d35ab4834f7b2cbb1bd06", "HBM546.SGVC.249")</f>
        <v>HBM546.SGVC.249</v>
      </c>
      <c r="E22" t="s">
        <v>295</v>
      </c>
      <c r="F22" t="s">
        <v>296</v>
      </c>
      <c r="G22" t="s">
        <v>20</v>
      </c>
      <c r="H22" t="s">
        <v>21</v>
      </c>
      <c r="I22" t="s">
        <v>22</v>
      </c>
      <c r="J22" s="2" t="b">
        <v>0</v>
      </c>
      <c r="K22" s="2" t="s">
        <v>187</v>
      </c>
      <c r="L22" t="s">
        <v>77</v>
      </c>
      <c r="M22" t="s">
        <v>183</v>
      </c>
      <c r="N22" t="s">
        <v>184</v>
      </c>
      <c r="O22" t="s">
        <v>169</v>
      </c>
      <c r="P22" s="3">
        <v>45848.87848832176</v>
      </c>
      <c r="Q22" s="3">
        <v>45848.87848832176</v>
      </c>
    </row>
    <row r="23" spans="1:17" x14ac:dyDescent="0.2">
      <c r="A23" s="2" t="str">
        <f>HYPERLINK("https://portal.hubmapconsortium.org/browse/sample/42d95e89e05cd9a7be9f7bd3edb8d09a", "HBM922.MJLH.566")</f>
        <v>HBM922.MJLH.566</v>
      </c>
      <c r="B23" t="s">
        <v>139</v>
      </c>
      <c r="C23" t="s">
        <v>140</v>
      </c>
      <c r="D23" s="2" t="str">
        <f t="shared" ref="D23:D31" si="2">HYPERLINK("https://portal.hubmapconsortium.org/browse/sample/bf6797891187c90525e7e2a4778f58a8", "HBM559.ZVDB.249")</f>
        <v>HBM559.ZVDB.249</v>
      </c>
      <c r="E23" t="s">
        <v>303</v>
      </c>
      <c r="F23" t="s">
        <v>304</v>
      </c>
      <c r="G23" t="s">
        <v>20</v>
      </c>
      <c r="H23" t="s">
        <v>21</v>
      </c>
      <c r="I23" t="s">
        <v>22</v>
      </c>
      <c r="J23" s="2" t="b">
        <v>0</v>
      </c>
      <c r="K23" s="2" t="s">
        <v>187</v>
      </c>
      <c r="L23" t="s">
        <v>77</v>
      </c>
      <c r="M23" t="s">
        <v>183</v>
      </c>
      <c r="N23" t="s">
        <v>184</v>
      </c>
      <c r="O23" t="s">
        <v>169</v>
      </c>
      <c r="P23" s="3">
        <v>45853.674458194437</v>
      </c>
      <c r="Q23" s="3">
        <v>45853.674458194437</v>
      </c>
    </row>
    <row r="24" spans="1:17" x14ac:dyDescent="0.2">
      <c r="A24" s="2" t="str">
        <f>HYPERLINK("https://portal.hubmapconsortium.org/browse/sample/e82745887a2b238bff5712e63ded8161", "HBM443.BZHM.653")</f>
        <v>HBM443.BZHM.653</v>
      </c>
      <c r="B24" t="s">
        <v>139</v>
      </c>
      <c r="C24" t="s">
        <v>140</v>
      </c>
      <c r="D24" s="2" t="str">
        <f t="shared" si="2"/>
        <v>HBM559.ZVDB.249</v>
      </c>
      <c r="E24" t="s">
        <v>308</v>
      </c>
      <c r="F24" t="s">
        <v>296</v>
      </c>
      <c r="G24" t="s">
        <v>20</v>
      </c>
      <c r="H24" t="s">
        <v>21</v>
      </c>
      <c r="I24" t="s">
        <v>22</v>
      </c>
      <c r="J24" s="2" t="b">
        <v>0</v>
      </c>
      <c r="K24" s="2" t="s">
        <v>187</v>
      </c>
      <c r="L24" t="s">
        <v>77</v>
      </c>
      <c r="M24" t="s">
        <v>183</v>
      </c>
      <c r="N24" t="s">
        <v>184</v>
      </c>
      <c r="O24" t="s">
        <v>169</v>
      </c>
      <c r="P24" s="3">
        <v>45835.579850601847</v>
      </c>
      <c r="Q24" s="3">
        <v>45835.579850601847</v>
      </c>
    </row>
    <row r="25" spans="1:17" x14ac:dyDescent="0.2">
      <c r="A25" s="2" t="str">
        <f>HYPERLINK("https://portal.hubmapconsortium.org/browse/sample/eba383121509136758f66afe17219208", "HBM943.NPRP.986")</f>
        <v>HBM943.NPRP.986</v>
      </c>
      <c r="B25" t="s">
        <v>139</v>
      </c>
      <c r="C25" t="s">
        <v>140</v>
      </c>
      <c r="D25" s="2" t="str">
        <f t="shared" si="2"/>
        <v>HBM559.ZVDB.249</v>
      </c>
      <c r="E25" t="s">
        <v>310</v>
      </c>
      <c r="F25" t="s">
        <v>296</v>
      </c>
      <c r="G25" t="s">
        <v>20</v>
      </c>
      <c r="H25" t="s">
        <v>21</v>
      </c>
      <c r="I25" t="s">
        <v>22</v>
      </c>
      <c r="J25" s="2" t="b">
        <v>0</v>
      </c>
      <c r="K25" s="2" t="s">
        <v>187</v>
      </c>
      <c r="L25" t="s">
        <v>77</v>
      </c>
      <c r="M25" t="s">
        <v>183</v>
      </c>
      <c r="N25" t="s">
        <v>184</v>
      </c>
      <c r="O25" t="s">
        <v>169</v>
      </c>
      <c r="P25" s="3">
        <v>45848.878528726847</v>
      </c>
      <c r="Q25" s="3">
        <v>45848.878528726847</v>
      </c>
    </row>
    <row r="26" spans="1:17" x14ac:dyDescent="0.2">
      <c r="A26" s="2" t="str">
        <f>HYPERLINK("https://portal.hubmapconsortium.org/browse/sample/786504864bfaae8d235ca2865424b324", "HBM282.FJNQ.845")</f>
        <v>HBM282.FJNQ.845</v>
      </c>
      <c r="B26" t="s">
        <v>139</v>
      </c>
      <c r="C26" t="s">
        <v>140</v>
      </c>
      <c r="D26" s="2" t="str">
        <f t="shared" si="2"/>
        <v>HBM559.ZVDB.249</v>
      </c>
      <c r="E26" t="s">
        <v>311</v>
      </c>
      <c r="F26" t="s">
        <v>296</v>
      </c>
      <c r="G26" t="s">
        <v>20</v>
      </c>
      <c r="H26" t="s">
        <v>21</v>
      </c>
      <c r="I26" t="s">
        <v>22</v>
      </c>
      <c r="J26" s="2" t="b">
        <v>0</v>
      </c>
      <c r="K26" s="2" t="s">
        <v>187</v>
      </c>
      <c r="L26" t="s">
        <v>77</v>
      </c>
      <c r="M26" t="s">
        <v>183</v>
      </c>
      <c r="N26" t="s">
        <v>184</v>
      </c>
      <c r="O26" t="s">
        <v>169</v>
      </c>
      <c r="P26" s="3">
        <v>45853.674485937503</v>
      </c>
      <c r="Q26" s="3">
        <v>45853.674485937503</v>
      </c>
    </row>
    <row r="27" spans="1:17" x14ac:dyDescent="0.2">
      <c r="A27" s="2" t="str">
        <f>HYPERLINK("https://portal.hubmapconsortium.org/browse/sample/a4a5477cf8d75e058bc7cbc3ee041b3d", "HBM852.DZFW.723")</f>
        <v>HBM852.DZFW.723</v>
      </c>
      <c r="B27" t="s">
        <v>139</v>
      </c>
      <c r="C27" t="s">
        <v>140</v>
      </c>
      <c r="D27" s="2" t="str">
        <f t="shared" si="2"/>
        <v>HBM559.ZVDB.249</v>
      </c>
      <c r="E27" t="s">
        <v>313</v>
      </c>
      <c r="F27" t="s">
        <v>304</v>
      </c>
      <c r="G27" t="s">
        <v>20</v>
      </c>
      <c r="H27" t="s">
        <v>21</v>
      </c>
      <c r="I27" t="s">
        <v>22</v>
      </c>
      <c r="J27" s="2" t="b">
        <v>0</v>
      </c>
      <c r="K27" s="2" t="s">
        <v>187</v>
      </c>
      <c r="L27" t="s">
        <v>77</v>
      </c>
      <c r="M27" t="s">
        <v>183</v>
      </c>
      <c r="N27" t="s">
        <v>184</v>
      </c>
      <c r="O27" t="s">
        <v>169</v>
      </c>
      <c r="P27" s="3">
        <v>45853.662732500001</v>
      </c>
      <c r="Q27" s="3">
        <v>45853.662732500001</v>
      </c>
    </row>
    <row r="28" spans="1:17" x14ac:dyDescent="0.2">
      <c r="A28" s="2" t="str">
        <f>HYPERLINK("https://portal.hubmapconsortium.org/browse/sample/e38b9e0bba508500f17d2b3f0ff6e669", "HBM825.HNBN.789")</f>
        <v>HBM825.HNBN.789</v>
      </c>
      <c r="B28" t="s">
        <v>139</v>
      </c>
      <c r="C28" t="s">
        <v>140</v>
      </c>
      <c r="D28" s="2" t="str">
        <f t="shared" si="2"/>
        <v>HBM559.ZVDB.249</v>
      </c>
      <c r="E28" t="s">
        <v>322</v>
      </c>
      <c r="F28" t="s">
        <v>296</v>
      </c>
      <c r="G28" t="s">
        <v>20</v>
      </c>
      <c r="H28" t="s">
        <v>21</v>
      </c>
      <c r="I28" t="s">
        <v>22</v>
      </c>
      <c r="J28" s="2" t="b">
        <v>0</v>
      </c>
      <c r="K28" s="2" t="s">
        <v>187</v>
      </c>
      <c r="L28" t="s">
        <v>77</v>
      </c>
      <c r="M28" t="s">
        <v>183</v>
      </c>
      <c r="N28" t="s">
        <v>184</v>
      </c>
      <c r="O28" t="s">
        <v>169</v>
      </c>
      <c r="P28" s="3">
        <v>45835.579870543981</v>
      </c>
      <c r="Q28" s="3">
        <v>45835.579870543981</v>
      </c>
    </row>
    <row r="29" spans="1:17" x14ac:dyDescent="0.2">
      <c r="A29" s="2" t="str">
        <f>HYPERLINK("https://portal.hubmapconsortium.org/browse/sample/946fa6cea23cc9e46b5dcfc27f5bbdd6", "HBM754.KKGF.242")</f>
        <v>HBM754.KKGF.242</v>
      </c>
      <c r="B29" t="s">
        <v>139</v>
      </c>
      <c r="C29" t="s">
        <v>140</v>
      </c>
      <c r="D29" s="2" t="str">
        <f t="shared" si="2"/>
        <v>HBM559.ZVDB.249</v>
      </c>
      <c r="E29" t="s">
        <v>325</v>
      </c>
      <c r="F29" t="s">
        <v>296</v>
      </c>
      <c r="G29" t="s">
        <v>20</v>
      </c>
      <c r="H29" t="s">
        <v>21</v>
      </c>
      <c r="I29" t="s">
        <v>22</v>
      </c>
      <c r="J29" s="2" t="b">
        <v>0</v>
      </c>
      <c r="K29" s="2" t="s">
        <v>187</v>
      </c>
      <c r="L29" t="s">
        <v>77</v>
      </c>
      <c r="M29" t="s">
        <v>183</v>
      </c>
      <c r="N29" t="s">
        <v>184</v>
      </c>
      <c r="O29" t="s">
        <v>169</v>
      </c>
      <c r="P29" s="3">
        <v>45853.662757418977</v>
      </c>
      <c r="Q29" s="3">
        <v>45853.662757418977</v>
      </c>
    </row>
    <row r="30" spans="1:17" x14ac:dyDescent="0.2">
      <c r="A30" s="2" t="str">
        <f>HYPERLINK("https://portal.hubmapconsortium.org/browse/sample/f1e9ed7d09406cd62ed5ed40e34467eb", "HBM837.GQQN.245")</f>
        <v>HBM837.GQQN.245</v>
      </c>
      <c r="B30" t="s">
        <v>139</v>
      </c>
      <c r="C30" t="s">
        <v>140</v>
      </c>
      <c r="D30" s="2" t="str">
        <f t="shared" si="2"/>
        <v>HBM559.ZVDB.249</v>
      </c>
      <c r="E30" t="s">
        <v>327</v>
      </c>
      <c r="F30" t="s">
        <v>296</v>
      </c>
      <c r="G30" t="s">
        <v>20</v>
      </c>
      <c r="H30" t="s">
        <v>21</v>
      </c>
      <c r="I30" t="s">
        <v>22</v>
      </c>
      <c r="J30" s="2" t="b">
        <v>0</v>
      </c>
      <c r="K30" s="2" t="s">
        <v>187</v>
      </c>
      <c r="L30" t="s">
        <v>77</v>
      </c>
      <c r="M30" t="s">
        <v>183</v>
      </c>
      <c r="N30" t="s">
        <v>184</v>
      </c>
      <c r="O30" t="s">
        <v>169</v>
      </c>
      <c r="P30" s="3">
        <v>45848.87858084491</v>
      </c>
      <c r="Q30" s="3">
        <v>45848.87858084491</v>
      </c>
    </row>
    <row r="31" spans="1:17" x14ac:dyDescent="0.2">
      <c r="A31" s="2" t="str">
        <f>HYPERLINK("https://portal.hubmapconsortium.org/browse/sample/c7419104ca2f54b29a631c33f804740f", "HBM782.PNRH.494")</f>
        <v>HBM782.PNRH.494</v>
      </c>
      <c r="B31" t="s">
        <v>139</v>
      </c>
      <c r="C31" t="s">
        <v>140</v>
      </c>
      <c r="D31" s="2" t="str">
        <f t="shared" si="2"/>
        <v>HBM559.ZVDB.249</v>
      </c>
      <c r="E31" t="s">
        <v>328</v>
      </c>
      <c r="F31" t="s">
        <v>296</v>
      </c>
      <c r="G31" t="s">
        <v>20</v>
      </c>
      <c r="H31" t="s">
        <v>21</v>
      </c>
      <c r="I31" t="s">
        <v>22</v>
      </c>
      <c r="J31" s="2" t="b">
        <v>0</v>
      </c>
      <c r="K31" s="2" t="s">
        <v>187</v>
      </c>
      <c r="L31" t="s">
        <v>77</v>
      </c>
      <c r="M31" t="s">
        <v>183</v>
      </c>
      <c r="N31" t="s">
        <v>184</v>
      </c>
      <c r="O31" t="s">
        <v>169</v>
      </c>
      <c r="P31" s="3">
        <v>45848.878640127317</v>
      </c>
      <c r="Q31" s="3">
        <v>45848.878640127317</v>
      </c>
    </row>
    <row r="32" spans="1:17" x14ac:dyDescent="0.2">
      <c r="A32" s="2" t="str">
        <f>HYPERLINK("https://portal.hubmapconsortium.org/browse/sample/44a8bb58fb8faf5b3e33245c03da5e20", "HBM358.MRLP.538")</f>
        <v>HBM358.MRLP.538</v>
      </c>
      <c r="B32" t="s">
        <v>148</v>
      </c>
      <c r="C32" t="s">
        <v>335</v>
      </c>
      <c r="D32" s="2" t="str">
        <f>HYPERLINK("https://portal.hubmapconsortium.org/browse/sample/3c3158470b8f6dedc828cbcf1d0c20df", "HBM665.TTZV.976")</f>
        <v>HBM665.TTZV.976</v>
      </c>
      <c r="E32" t="s">
        <v>338</v>
      </c>
      <c r="F32" t="s">
        <v>339</v>
      </c>
      <c r="G32" t="s">
        <v>20</v>
      </c>
      <c r="H32" t="s">
        <v>21</v>
      </c>
      <c r="I32" t="s">
        <v>22</v>
      </c>
      <c r="J32" s="2" t="b">
        <v>0</v>
      </c>
      <c r="K32" s="2" t="s">
        <v>187</v>
      </c>
      <c r="L32" t="s">
        <v>77</v>
      </c>
      <c r="M32" t="s">
        <v>183</v>
      </c>
      <c r="N32" t="s">
        <v>184</v>
      </c>
      <c r="O32" t="s">
        <v>169</v>
      </c>
      <c r="P32" s="3">
        <v>45835.579910578701</v>
      </c>
      <c r="Q32" s="3">
        <v>45835.579910578701</v>
      </c>
    </row>
    <row r="33" spans="1:17" x14ac:dyDescent="0.2">
      <c r="A33" s="2" t="str">
        <f>HYPERLINK("https://portal.hubmapconsortium.org/browse/sample/496edfd13051b5e86137adeb2c2e657b", "HBM629.NFDQ.824")</f>
        <v>HBM629.NFDQ.824</v>
      </c>
      <c r="B33" t="s">
        <v>148</v>
      </c>
      <c r="C33" t="s">
        <v>149</v>
      </c>
      <c r="D33" s="2" t="str">
        <f t="shared" ref="D33:D41" si="3">HYPERLINK("https://portal.hubmapconsortium.org/browse/sample/647bb669b1302c49cada4274553543e1", "HBM436.JQXP.677")</f>
        <v>HBM436.JQXP.677</v>
      </c>
      <c r="E33" t="s">
        <v>351</v>
      </c>
      <c r="F33" t="s">
        <v>339</v>
      </c>
      <c r="G33" t="s">
        <v>20</v>
      </c>
      <c r="H33" t="s">
        <v>21</v>
      </c>
      <c r="I33" t="s">
        <v>22</v>
      </c>
      <c r="J33" s="2" t="b">
        <v>0</v>
      </c>
      <c r="K33" s="2" t="s">
        <v>187</v>
      </c>
      <c r="L33" t="s">
        <v>77</v>
      </c>
      <c r="M33" t="s">
        <v>183</v>
      </c>
      <c r="N33" t="s">
        <v>184</v>
      </c>
      <c r="O33" t="s">
        <v>169</v>
      </c>
      <c r="P33" s="3">
        <v>45853.662800312501</v>
      </c>
      <c r="Q33" s="3">
        <v>45853.662800312501</v>
      </c>
    </row>
    <row r="34" spans="1:17" x14ac:dyDescent="0.2">
      <c r="A34" s="2" t="str">
        <f>HYPERLINK("https://portal.hubmapconsortium.org/browse/sample/0292edf5d182b157b832344aabad36e2", "HBM253.XCTV.735")</f>
        <v>HBM253.XCTV.735</v>
      </c>
      <c r="B34" t="s">
        <v>148</v>
      </c>
      <c r="C34" t="s">
        <v>149</v>
      </c>
      <c r="D34" s="2" t="str">
        <f t="shared" si="3"/>
        <v>HBM436.JQXP.677</v>
      </c>
      <c r="E34" t="s">
        <v>354</v>
      </c>
      <c r="F34" t="s">
        <v>339</v>
      </c>
      <c r="G34" t="s">
        <v>20</v>
      </c>
      <c r="H34" t="s">
        <v>21</v>
      </c>
      <c r="I34" t="s">
        <v>22</v>
      </c>
      <c r="J34" s="2" t="b">
        <v>0</v>
      </c>
      <c r="K34" s="2" t="s">
        <v>187</v>
      </c>
      <c r="L34" t="s">
        <v>77</v>
      </c>
      <c r="M34" t="s">
        <v>183</v>
      </c>
      <c r="N34" t="s">
        <v>184</v>
      </c>
      <c r="O34" t="s">
        <v>169</v>
      </c>
      <c r="P34" s="3">
        <v>45848.878721747693</v>
      </c>
      <c r="Q34" s="3">
        <v>45848.878721747693</v>
      </c>
    </row>
    <row r="35" spans="1:17" x14ac:dyDescent="0.2">
      <c r="A35" s="2" t="str">
        <f>HYPERLINK("https://portal.hubmapconsortium.org/browse/sample/0e84c6738c67b930475a3a8d7ab34214", "HBM285.MMVZ.675")</f>
        <v>HBM285.MMVZ.675</v>
      </c>
      <c r="B35" t="s">
        <v>148</v>
      </c>
      <c r="C35" t="s">
        <v>149</v>
      </c>
      <c r="D35" s="2" t="str">
        <f t="shared" si="3"/>
        <v>HBM436.JQXP.677</v>
      </c>
      <c r="E35" t="s">
        <v>357</v>
      </c>
      <c r="F35" t="s">
        <v>339</v>
      </c>
      <c r="G35" t="s">
        <v>20</v>
      </c>
      <c r="H35" t="s">
        <v>21</v>
      </c>
      <c r="I35" t="s">
        <v>22</v>
      </c>
      <c r="J35" s="2" t="b">
        <v>0</v>
      </c>
      <c r="K35" s="2" t="s">
        <v>187</v>
      </c>
      <c r="L35" t="s">
        <v>77</v>
      </c>
      <c r="M35" t="s">
        <v>183</v>
      </c>
      <c r="N35" t="s">
        <v>184</v>
      </c>
      <c r="O35" t="s">
        <v>169</v>
      </c>
      <c r="P35" s="3">
        <v>45835.579995925917</v>
      </c>
      <c r="Q35" s="3">
        <v>45835.579995925917</v>
      </c>
    </row>
    <row r="36" spans="1:17" x14ac:dyDescent="0.2">
      <c r="A36" s="2" t="str">
        <f>HYPERLINK("https://portal.hubmapconsortium.org/browse/sample/5e31707ffc5291e72de28f268520fa98", "HBM574.VNPP.939")</f>
        <v>HBM574.VNPP.939</v>
      </c>
      <c r="B36" t="s">
        <v>148</v>
      </c>
      <c r="C36" t="s">
        <v>149</v>
      </c>
      <c r="D36" s="2" t="str">
        <f t="shared" si="3"/>
        <v>HBM436.JQXP.677</v>
      </c>
      <c r="E36" t="s">
        <v>358</v>
      </c>
      <c r="F36" t="s">
        <v>339</v>
      </c>
      <c r="G36" t="s">
        <v>20</v>
      </c>
      <c r="H36" t="s">
        <v>21</v>
      </c>
      <c r="I36" t="s">
        <v>22</v>
      </c>
      <c r="J36" s="2" t="b">
        <v>0</v>
      </c>
      <c r="K36" s="2" t="s">
        <v>187</v>
      </c>
      <c r="L36" t="s">
        <v>77</v>
      </c>
      <c r="M36" t="s">
        <v>183</v>
      </c>
      <c r="N36" t="s">
        <v>184</v>
      </c>
      <c r="O36" t="s">
        <v>169</v>
      </c>
      <c r="P36" s="3">
        <v>45853.674525613424</v>
      </c>
      <c r="Q36" s="3">
        <v>45853.674525613424</v>
      </c>
    </row>
    <row r="37" spans="1:17" x14ac:dyDescent="0.2">
      <c r="A37" s="2" t="str">
        <f>HYPERLINK("https://portal.hubmapconsortium.org/browse/sample/6e9e7617183ae24e7029486912635ba3", "HBM793.ZRCF.689")</f>
        <v>HBM793.ZRCF.689</v>
      </c>
      <c r="B37" t="s">
        <v>148</v>
      </c>
      <c r="C37" t="s">
        <v>149</v>
      </c>
      <c r="D37" s="2" t="str">
        <f t="shared" si="3"/>
        <v>HBM436.JQXP.677</v>
      </c>
      <c r="E37" t="s">
        <v>361</v>
      </c>
      <c r="F37" t="s">
        <v>339</v>
      </c>
      <c r="G37" t="s">
        <v>20</v>
      </c>
      <c r="H37" t="s">
        <v>21</v>
      </c>
      <c r="I37" t="s">
        <v>22</v>
      </c>
      <c r="J37" s="2" t="b">
        <v>0</v>
      </c>
      <c r="K37" s="2" t="s">
        <v>187</v>
      </c>
      <c r="L37" t="s">
        <v>77</v>
      </c>
      <c r="M37" t="s">
        <v>183</v>
      </c>
      <c r="N37" t="s">
        <v>184</v>
      </c>
      <c r="O37" t="s">
        <v>169</v>
      </c>
      <c r="P37" s="3">
        <v>45853.674584837972</v>
      </c>
      <c r="Q37" s="3">
        <v>45853.674584837972</v>
      </c>
    </row>
    <row r="38" spans="1:17" x14ac:dyDescent="0.2">
      <c r="A38" s="2" t="str">
        <f>HYPERLINK("https://portal.hubmapconsortium.org/browse/sample/4a98adf46dd224e3a75661e2e5019679", "HBM373.HFQZ.263")</f>
        <v>HBM373.HFQZ.263</v>
      </c>
      <c r="B38" t="s">
        <v>148</v>
      </c>
      <c r="C38" t="s">
        <v>149</v>
      </c>
      <c r="D38" s="2" t="str">
        <f t="shared" si="3"/>
        <v>HBM436.JQXP.677</v>
      </c>
      <c r="E38" t="s">
        <v>372</v>
      </c>
      <c r="F38" t="s">
        <v>339</v>
      </c>
      <c r="G38" t="s">
        <v>20</v>
      </c>
      <c r="H38" t="s">
        <v>21</v>
      </c>
      <c r="I38" t="s">
        <v>22</v>
      </c>
      <c r="J38" s="2" t="b">
        <v>0</v>
      </c>
      <c r="K38" s="2" t="s">
        <v>187</v>
      </c>
      <c r="L38" t="s">
        <v>77</v>
      </c>
      <c r="M38" t="s">
        <v>183</v>
      </c>
      <c r="N38" t="s">
        <v>184</v>
      </c>
      <c r="O38" t="s">
        <v>169</v>
      </c>
      <c r="P38" s="3">
        <v>45835.580033773149</v>
      </c>
      <c r="Q38" s="3">
        <v>45835.580033773149</v>
      </c>
    </row>
    <row r="39" spans="1:17" x14ac:dyDescent="0.2">
      <c r="A39" s="2" t="str">
        <f>HYPERLINK("https://portal.hubmapconsortium.org/browse/sample/100a3f93dfab8fe6c500b5c1b0b82f76", "HBM234.MKKV.873")</f>
        <v>HBM234.MKKV.873</v>
      </c>
      <c r="B39" t="s">
        <v>148</v>
      </c>
      <c r="C39" t="s">
        <v>149</v>
      </c>
      <c r="D39" s="2" t="str">
        <f t="shared" si="3"/>
        <v>HBM436.JQXP.677</v>
      </c>
      <c r="E39" t="s">
        <v>375</v>
      </c>
      <c r="F39" t="s">
        <v>339</v>
      </c>
      <c r="G39" t="s">
        <v>20</v>
      </c>
      <c r="H39" t="s">
        <v>21</v>
      </c>
      <c r="I39" t="s">
        <v>22</v>
      </c>
      <c r="J39" s="2" t="b">
        <v>0</v>
      </c>
      <c r="K39" s="2" t="s">
        <v>187</v>
      </c>
      <c r="L39" t="s">
        <v>77</v>
      </c>
      <c r="M39" t="s">
        <v>183</v>
      </c>
      <c r="N39" t="s">
        <v>184</v>
      </c>
      <c r="O39" t="s">
        <v>169</v>
      </c>
      <c r="P39" s="3">
        <v>45853.662882094897</v>
      </c>
      <c r="Q39" s="3">
        <v>45853.662882094897</v>
      </c>
    </row>
    <row r="40" spans="1:17" x14ac:dyDescent="0.2">
      <c r="A40" s="2" t="str">
        <f>HYPERLINK("https://portal.hubmapconsortium.org/browse/sample/bf35e932a48c717fab56a4b1b31a0d36", "HBM836.PKPP.432")</f>
        <v>HBM836.PKPP.432</v>
      </c>
      <c r="B40" t="s">
        <v>148</v>
      </c>
      <c r="C40" t="s">
        <v>149</v>
      </c>
      <c r="D40" s="2" t="str">
        <f t="shared" si="3"/>
        <v>HBM436.JQXP.677</v>
      </c>
      <c r="E40" t="s">
        <v>377</v>
      </c>
      <c r="F40" t="s">
        <v>339</v>
      </c>
      <c r="G40" t="s">
        <v>20</v>
      </c>
      <c r="H40" t="s">
        <v>21</v>
      </c>
      <c r="I40" t="s">
        <v>22</v>
      </c>
      <c r="J40" s="2" t="b">
        <v>0</v>
      </c>
      <c r="K40" s="2" t="s">
        <v>187</v>
      </c>
      <c r="L40" t="s">
        <v>77</v>
      </c>
      <c r="M40" t="s">
        <v>183</v>
      </c>
      <c r="N40" t="s">
        <v>184</v>
      </c>
      <c r="O40" t="s">
        <v>169</v>
      </c>
      <c r="P40" s="3">
        <v>45848.878780671293</v>
      </c>
      <c r="Q40" s="3">
        <v>45848.878780671293</v>
      </c>
    </row>
    <row r="41" spans="1:17" x14ac:dyDescent="0.2">
      <c r="A41" s="2" t="str">
        <f>HYPERLINK("https://portal.hubmapconsortium.org/browse/sample/af654397de0e217bd2bc46b4042da7dd", "HBM943.HBXS.767")</f>
        <v>HBM943.HBXS.767</v>
      </c>
      <c r="B41" t="s">
        <v>148</v>
      </c>
      <c r="C41" t="s">
        <v>149</v>
      </c>
      <c r="D41" s="2" t="str">
        <f t="shared" si="3"/>
        <v>HBM436.JQXP.677</v>
      </c>
      <c r="E41" t="s">
        <v>379</v>
      </c>
      <c r="F41" t="s">
        <v>339</v>
      </c>
      <c r="G41" t="s">
        <v>20</v>
      </c>
      <c r="H41" t="s">
        <v>21</v>
      </c>
      <c r="I41" t="s">
        <v>22</v>
      </c>
      <c r="J41" s="2" t="b">
        <v>0</v>
      </c>
      <c r="K41" s="2" t="s">
        <v>187</v>
      </c>
      <c r="L41" t="s">
        <v>77</v>
      </c>
      <c r="M41" t="s">
        <v>183</v>
      </c>
      <c r="N41" t="s">
        <v>184</v>
      </c>
      <c r="O41" t="s">
        <v>169</v>
      </c>
      <c r="P41" s="3">
        <v>45853.662927592603</v>
      </c>
      <c r="Q41" s="3">
        <v>45853.662927592603</v>
      </c>
    </row>
    <row r="42" spans="1:17" x14ac:dyDescent="0.2">
      <c r="A42" s="2" t="str">
        <f>HYPERLINK("https://portal.hubmapconsortium.org/browse/sample/568d11089b949f502ec2427d082d5769", "HBM964.DCSM.865")</f>
        <v>HBM964.DCSM.865</v>
      </c>
      <c r="B42" t="s">
        <v>386</v>
      </c>
      <c r="C42" t="s">
        <v>387</v>
      </c>
      <c r="D42" s="2" t="str">
        <f>HYPERLINK("https://portal.hubmapconsortium.org/browse/sample/74aeefbc8e5eb1ab9adba5bf2fd8be8b", "HBM652.DLTR.837")</f>
        <v>HBM652.DLTR.837</v>
      </c>
      <c r="E42" t="s">
        <v>390</v>
      </c>
      <c r="F42" t="s">
        <v>391</v>
      </c>
      <c r="G42" t="s">
        <v>20</v>
      </c>
      <c r="H42" t="s">
        <v>21</v>
      </c>
      <c r="I42" t="s">
        <v>22</v>
      </c>
      <c r="J42" s="2" t="b">
        <v>0</v>
      </c>
      <c r="K42" s="2" t="s">
        <v>187</v>
      </c>
      <c r="L42" t="s">
        <v>77</v>
      </c>
      <c r="M42" t="s">
        <v>183</v>
      </c>
      <c r="N42" t="s">
        <v>184</v>
      </c>
      <c r="O42" t="s">
        <v>169</v>
      </c>
      <c r="P42" s="3">
        <v>45853.674624409723</v>
      </c>
      <c r="Q42" s="3">
        <v>45853.674624409723</v>
      </c>
    </row>
    <row r="43" spans="1:17" x14ac:dyDescent="0.2">
      <c r="A43" s="2" t="str">
        <f>HYPERLINK("https://portal.hubmapconsortium.org/browse/sample/dc46e3c0d0626fa0731f1a2fb9d01752", "HBM589.NGGN.863")</f>
        <v>HBM589.NGGN.863</v>
      </c>
      <c r="B43" t="s">
        <v>386</v>
      </c>
      <c r="C43" t="s">
        <v>541</v>
      </c>
      <c r="D43" s="2" t="str">
        <f t="shared" ref="D43:D51" si="4">HYPERLINK("https://portal.hubmapconsortium.org/browse/sample/9954d4d8adb0a53a26179bc99b08b6c0", "HBM688.BJZV.237")</f>
        <v>HBM688.BJZV.237</v>
      </c>
      <c r="E43" t="s">
        <v>548</v>
      </c>
      <c r="F43" t="s">
        <v>391</v>
      </c>
      <c r="G43" t="s">
        <v>20</v>
      </c>
      <c r="H43" t="s">
        <v>21</v>
      </c>
      <c r="I43" t="s">
        <v>22</v>
      </c>
      <c r="J43" s="2" t="b">
        <v>0</v>
      </c>
      <c r="K43" s="2" t="s">
        <v>187</v>
      </c>
      <c r="L43" t="s">
        <v>77</v>
      </c>
      <c r="M43" t="s">
        <v>183</v>
      </c>
      <c r="N43" t="s">
        <v>184</v>
      </c>
      <c r="O43" t="s">
        <v>169</v>
      </c>
      <c r="P43" s="3">
        <v>45853.663033344907</v>
      </c>
      <c r="Q43" s="3">
        <v>45853.663033344907</v>
      </c>
    </row>
    <row r="44" spans="1:17" x14ac:dyDescent="0.2">
      <c r="A44" s="2" t="str">
        <f>HYPERLINK("https://portal.hubmapconsortium.org/browse/sample/e9625039401e12a3ab716b009a75db7a", "HBM435.ZVPD.974")</f>
        <v>HBM435.ZVPD.974</v>
      </c>
      <c r="B44" t="s">
        <v>386</v>
      </c>
      <c r="C44" t="s">
        <v>541</v>
      </c>
      <c r="D44" s="2" t="str">
        <f t="shared" si="4"/>
        <v>HBM688.BJZV.237</v>
      </c>
      <c r="E44" t="s">
        <v>550</v>
      </c>
      <c r="F44" t="s">
        <v>551</v>
      </c>
      <c r="G44" t="s">
        <v>20</v>
      </c>
      <c r="H44" t="s">
        <v>21</v>
      </c>
      <c r="I44" t="s">
        <v>22</v>
      </c>
      <c r="J44" s="2" t="b">
        <v>0</v>
      </c>
      <c r="K44" s="2" t="s">
        <v>187</v>
      </c>
      <c r="L44" t="s">
        <v>77</v>
      </c>
      <c r="M44" t="s">
        <v>183</v>
      </c>
      <c r="N44" t="s">
        <v>184</v>
      </c>
      <c r="O44" t="s">
        <v>169</v>
      </c>
      <c r="P44" s="3">
        <v>45848.878861655103</v>
      </c>
      <c r="Q44" s="3">
        <v>45848.878861655103</v>
      </c>
    </row>
    <row r="45" spans="1:17" x14ac:dyDescent="0.2">
      <c r="A45" s="2" t="str">
        <f>HYPERLINK("https://portal.hubmapconsortium.org/browse/sample/633b8391ac7604efebb6b462a81d1919", "HBM967.FFCW.834")</f>
        <v>HBM967.FFCW.834</v>
      </c>
      <c r="B45" t="s">
        <v>386</v>
      </c>
      <c r="C45" t="s">
        <v>541</v>
      </c>
      <c r="D45" s="2" t="str">
        <f t="shared" si="4"/>
        <v>HBM688.BJZV.237</v>
      </c>
      <c r="E45" t="s">
        <v>553</v>
      </c>
      <c r="F45" t="s">
        <v>391</v>
      </c>
      <c r="G45" t="s">
        <v>20</v>
      </c>
      <c r="H45" t="s">
        <v>21</v>
      </c>
      <c r="I45" t="s">
        <v>22</v>
      </c>
      <c r="J45" s="2" t="b">
        <v>0</v>
      </c>
      <c r="K45" s="2" t="s">
        <v>187</v>
      </c>
      <c r="L45" t="s">
        <v>77</v>
      </c>
      <c r="M45" t="s">
        <v>183</v>
      </c>
      <c r="N45" t="s">
        <v>184</v>
      </c>
      <c r="O45" t="s">
        <v>169</v>
      </c>
      <c r="P45" s="3">
        <v>45853.674653090267</v>
      </c>
      <c r="Q45" s="3">
        <v>45853.674653090267</v>
      </c>
    </row>
    <row r="46" spans="1:17" x14ac:dyDescent="0.2">
      <c r="A46" s="2" t="str">
        <f>HYPERLINK("https://portal.hubmapconsortium.org/browse/sample/5913cfaf9a37be4836fc91df10f4c0ce", "HBM462.QWWV.475")</f>
        <v>HBM462.QWWV.475</v>
      </c>
      <c r="B46" t="s">
        <v>386</v>
      </c>
      <c r="C46" t="s">
        <v>541</v>
      </c>
      <c r="D46" s="2" t="str">
        <f t="shared" si="4"/>
        <v>HBM688.BJZV.237</v>
      </c>
      <c r="E46" t="s">
        <v>562</v>
      </c>
      <c r="F46" t="s">
        <v>551</v>
      </c>
      <c r="G46" t="s">
        <v>20</v>
      </c>
      <c r="H46" t="s">
        <v>21</v>
      </c>
      <c r="I46" t="s">
        <v>22</v>
      </c>
      <c r="J46" s="2" t="b">
        <v>0</v>
      </c>
      <c r="K46" s="2" t="s">
        <v>187</v>
      </c>
      <c r="L46" t="s">
        <v>77</v>
      </c>
      <c r="M46" t="s">
        <v>183</v>
      </c>
      <c r="N46" t="s">
        <v>184</v>
      </c>
      <c r="O46" t="s">
        <v>169</v>
      </c>
      <c r="P46" s="3">
        <v>45848.87893820602</v>
      </c>
      <c r="Q46" s="3">
        <v>45848.87893820602</v>
      </c>
    </row>
    <row r="47" spans="1:17" x14ac:dyDescent="0.2">
      <c r="A47" s="2" t="str">
        <f>HYPERLINK("https://portal.hubmapconsortium.org/browse/sample/3deee3fa7067921264d5bd16b42eb6de", "HBM879.GFJB.625")</f>
        <v>HBM879.GFJB.625</v>
      </c>
      <c r="B47" t="s">
        <v>386</v>
      </c>
      <c r="C47" t="s">
        <v>541</v>
      </c>
      <c r="D47" s="2" t="str">
        <f t="shared" si="4"/>
        <v>HBM688.BJZV.237</v>
      </c>
      <c r="E47" t="s">
        <v>563</v>
      </c>
      <c r="F47" t="s">
        <v>551</v>
      </c>
      <c r="G47" t="s">
        <v>20</v>
      </c>
      <c r="H47" t="s">
        <v>21</v>
      </c>
      <c r="I47" t="s">
        <v>22</v>
      </c>
      <c r="J47" s="2" t="b">
        <v>0</v>
      </c>
      <c r="K47" s="2" t="s">
        <v>187</v>
      </c>
      <c r="L47" t="s">
        <v>77</v>
      </c>
      <c r="M47" t="s">
        <v>183</v>
      </c>
      <c r="N47" t="s">
        <v>184</v>
      </c>
      <c r="O47" t="s">
        <v>169</v>
      </c>
      <c r="P47" s="3">
        <v>45853.663110312496</v>
      </c>
      <c r="Q47" s="3">
        <v>45853.663110312496</v>
      </c>
    </row>
    <row r="48" spans="1:17" x14ac:dyDescent="0.2">
      <c r="A48" s="2" t="str">
        <f>HYPERLINK("https://portal.hubmapconsortium.org/browse/sample/05bef4bfc53aff14ae65e383b8fb86dd", "HBM289.XGWS.922")</f>
        <v>HBM289.XGWS.922</v>
      </c>
      <c r="B48" t="s">
        <v>386</v>
      </c>
      <c r="C48" t="s">
        <v>541</v>
      </c>
      <c r="D48" s="2" t="str">
        <f t="shared" si="4"/>
        <v>HBM688.BJZV.237</v>
      </c>
      <c r="E48" t="s">
        <v>564</v>
      </c>
      <c r="F48" t="s">
        <v>391</v>
      </c>
      <c r="G48" t="s">
        <v>20</v>
      </c>
      <c r="H48" t="s">
        <v>21</v>
      </c>
      <c r="I48" t="s">
        <v>22</v>
      </c>
      <c r="J48" s="2" t="b">
        <v>0</v>
      </c>
      <c r="K48" s="2" t="s">
        <v>187</v>
      </c>
      <c r="L48" t="s">
        <v>77</v>
      </c>
      <c r="M48" t="s">
        <v>183</v>
      </c>
      <c r="N48" t="s">
        <v>184</v>
      </c>
      <c r="O48" t="s">
        <v>169</v>
      </c>
      <c r="P48" s="3">
        <v>45853.663151736109</v>
      </c>
      <c r="Q48" s="3">
        <v>45853.663151736109</v>
      </c>
    </row>
    <row r="49" spans="1:17" x14ac:dyDescent="0.2">
      <c r="A49" s="2" t="str">
        <f>HYPERLINK("https://portal.hubmapconsortium.org/browse/sample/f0587692499588dec6071de0c43844fb", "HBM536.NVLF.338")</f>
        <v>HBM536.NVLF.338</v>
      </c>
      <c r="B49" t="s">
        <v>386</v>
      </c>
      <c r="C49" t="s">
        <v>541</v>
      </c>
      <c r="D49" s="2" t="str">
        <f t="shared" si="4"/>
        <v>HBM688.BJZV.237</v>
      </c>
      <c r="E49" t="s">
        <v>565</v>
      </c>
      <c r="F49" t="s">
        <v>551</v>
      </c>
      <c r="G49" t="s">
        <v>20</v>
      </c>
      <c r="H49" t="s">
        <v>21</v>
      </c>
      <c r="I49" t="s">
        <v>22</v>
      </c>
      <c r="J49" s="2" t="b">
        <v>0</v>
      </c>
      <c r="K49" s="2" t="s">
        <v>187</v>
      </c>
      <c r="L49" t="s">
        <v>77</v>
      </c>
      <c r="M49" t="s">
        <v>183</v>
      </c>
      <c r="N49" t="s">
        <v>184</v>
      </c>
      <c r="O49" t="s">
        <v>169</v>
      </c>
      <c r="P49" s="3">
        <v>45853.674697569448</v>
      </c>
      <c r="Q49" s="3">
        <v>45853.674697569448</v>
      </c>
    </row>
    <row r="50" spans="1:17" x14ac:dyDescent="0.2">
      <c r="A50" s="2" t="str">
        <f>HYPERLINK("https://portal.hubmapconsortium.org/browse/sample/29ca93761b3a8c2a27671140ea4dffc2", "HBM634.GGQC.623")</f>
        <v>HBM634.GGQC.623</v>
      </c>
      <c r="B50" t="s">
        <v>386</v>
      </c>
      <c r="C50" t="s">
        <v>541</v>
      </c>
      <c r="D50" s="2" t="str">
        <f t="shared" si="4"/>
        <v>HBM688.BJZV.237</v>
      </c>
      <c r="E50" t="s">
        <v>568</v>
      </c>
      <c r="F50" t="s">
        <v>551</v>
      </c>
      <c r="G50" t="s">
        <v>20</v>
      </c>
      <c r="H50" t="s">
        <v>21</v>
      </c>
      <c r="I50" t="s">
        <v>22</v>
      </c>
      <c r="J50" s="2" t="b">
        <v>0</v>
      </c>
      <c r="K50" s="2" t="s">
        <v>187</v>
      </c>
      <c r="L50" t="s">
        <v>77</v>
      </c>
      <c r="M50" t="s">
        <v>183</v>
      </c>
      <c r="N50" t="s">
        <v>184</v>
      </c>
      <c r="O50" t="s">
        <v>169</v>
      </c>
      <c r="P50" s="3">
        <v>45835.580053055557</v>
      </c>
      <c r="Q50" s="3">
        <v>45835.580053055557</v>
      </c>
    </row>
    <row r="51" spans="1:17" x14ac:dyDescent="0.2">
      <c r="A51" s="2" t="str">
        <f>HYPERLINK("https://portal.hubmapconsortium.org/browse/sample/4b66ef0d6ecd98354cbd814c0abb1732", "HBM699.JWGD.752")</f>
        <v>HBM699.JWGD.752</v>
      </c>
      <c r="B51" t="s">
        <v>386</v>
      </c>
      <c r="C51" t="s">
        <v>541</v>
      </c>
      <c r="D51" s="2" t="str">
        <f t="shared" si="4"/>
        <v>HBM688.BJZV.237</v>
      </c>
      <c r="E51" t="s">
        <v>570</v>
      </c>
      <c r="F51" t="s">
        <v>391</v>
      </c>
      <c r="G51" t="s">
        <v>20</v>
      </c>
      <c r="H51" t="s">
        <v>21</v>
      </c>
      <c r="I51" t="s">
        <v>22</v>
      </c>
      <c r="J51" s="2" t="b">
        <v>0</v>
      </c>
      <c r="K51" s="2" t="s">
        <v>187</v>
      </c>
      <c r="L51" t="s">
        <v>77</v>
      </c>
      <c r="M51" t="s">
        <v>183</v>
      </c>
      <c r="N51" t="s">
        <v>184</v>
      </c>
      <c r="O51" t="s">
        <v>169</v>
      </c>
      <c r="P51" s="3">
        <v>45835.580067013892</v>
      </c>
      <c r="Q51" s="3">
        <v>45835.580067013892</v>
      </c>
    </row>
    <row r="52" spans="1:17" x14ac:dyDescent="0.2">
      <c r="A52" s="2" t="str">
        <f>HYPERLINK("https://portal.hubmapconsortium.org/browse/sample/2af76e4f98530dba11fa28ad1967dc62", "HBM295.VMGJ.752")</f>
        <v>HBM295.VMGJ.752</v>
      </c>
      <c r="B52" t="s">
        <v>571</v>
      </c>
      <c r="C52" t="s">
        <v>572</v>
      </c>
      <c r="D52" s="2" t="str">
        <f>HYPERLINK("https://portal.hubmapconsortium.org/browse/sample/bc7918805c94ad395dd26c50573d1e40", "HBM367.CMSK.938")</f>
        <v>HBM367.CMSK.938</v>
      </c>
      <c r="E52" t="s">
        <v>582</v>
      </c>
      <c r="F52" t="s">
        <v>583</v>
      </c>
      <c r="G52" t="s">
        <v>20</v>
      </c>
      <c r="H52" t="s">
        <v>21</v>
      </c>
      <c r="I52" t="s">
        <v>22</v>
      </c>
      <c r="J52" s="2" t="b">
        <v>0</v>
      </c>
      <c r="K52" s="2" t="s">
        <v>187</v>
      </c>
      <c r="L52" t="s">
        <v>77</v>
      </c>
      <c r="M52" t="s">
        <v>183</v>
      </c>
      <c r="N52" t="s">
        <v>184</v>
      </c>
      <c r="O52" t="s">
        <v>169</v>
      </c>
      <c r="P52" s="3">
        <v>45853.663175601847</v>
      </c>
      <c r="Q52" s="3">
        <v>45853.663175601847</v>
      </c>
    </row>
    <row r="53" spans="1:17" x14ac:dyDescent="0.2">
      <c r="A53" s="2" t="str">
        <f>HYPERLINK("https://portal.hubmapconsortium.org/browse/sample/b7b220deaebf46cd729ab81a57f2ce30", "HBM957.GZHZ.588")</f>
        <v>HBM957.GZHZ.588</v>
      </c>
      <c r="B53" t="s">
        <v>571</v>
      </c>
      <c r="C53" t="s">
        <v>716</v>
      </c>
      <c r="D53" s="2" t="str">
        <f t="shared" ref="D53:D61" si="5">HYPERLINK("https://portal.hubmapconsortium.org/browse/sample/7f7f6faf1ed24ed62109de031b99a555", "HBM876.WSJF.893")</f>
        <v>HBM876.WSJF.893</v>
      </c>
      <c r="E53" t="s">
        <v>723</v>
      </c>
      <c r="F53" t="s">
        <v>583</v>
      </c>
      <c r="G53" t="s">
        <v>20</v>
      </c>
      <c r="H53" t="s">
        <v>21</v>
      </c>
      <c r="I53" t="s">
        <v>22</v>
      </c>
      <c r="J53" s="2" t="b">
        <v>0</v>
      </c>
      <c r="K53" s="2" t="s">
        <v>187</v>
      </c>
      <c r="L53" t="s">
        <v>77</v>
      </c>
      <c r="M53" t="s">
        <v>183</v>
      </c>
      <c r="N53" t="s">
        <v>184</v>
      </c>
      <c r="O53" t="s">
        <v>169</v>
      </c>
      <c r="P53" s="3">
        <v>45848.878959050933</v>
      </c>
      <c r="Q53" s="3">
        <v>45848.878959050933</v>
      </c>
    </row>
    <row r="54" spans="1:17" x14ac:dyDescent="0.2">
      <c r="A54" s="2" t="str">
        <f>HYPERLINK("https://portal.hubmapconsortium.org/browse/sample/2126aff6366f3dab6fd874eb98c682f9", "HBM924.DDQH.986")</f>
        <v>HBM924.DDQH.986</v>
      </c>
      <c r="B54" t="s">
        <v>571</v>
      </c>
      <c r="C54" t="s">
        <v>716</v>
      </c>
      <c r="D54" s="2" t="str">
        <f t="shared" si="5"/>
        <v>HBM876.WSJF.893</v>
      </c>
      <c r="E54" t="s">
        <v>725</v>
      </c>
      <c r="F54" t="s">
        <v>583</v>
      </c>
      <c r="G54" t="s">
        <v>20</v>
      </c>
      <c r="H54" t="s">
        <v>21</v>
      </c>
      <c r="I54" t="s">
        <v>22</v>
      </c>
      <c r="J54" s="2" t="b">
        <v>0</v>
      </c>
      <c r="K54" s="2" t="s">
        <v>187</v>
      </c>
      <c r="L54" t="s">
        <v>77</v>
      </c>
      <c r="M54" t="s">
        <v>183</v>
      </c>
      <c r="N54" t="s">
        <v>184</v>
      </c>
      <c r="O54" t="s">
        <v>169</v>
      </c>
      <c r="P54" s="3">
        <v>45848.879003148148</v>
      </c>
      <c r="Q54" s="3">
        <v>45848.879003148148</v>
      </c>
    </row>
    <row r="55" spans="1:17" x14ac:dyDescent="0.2">
      <c r="A55" s="2" t="str">
        <f>HYPERLINK("https://portal.hubmapconsortium.org/browse/sample/4c37e6f7c399a0828b7c1b9bcdc854b9", "HBM464.DVRJ.724")</f>
        <v>HBM464.DVRJ.724</v>
      </c>
      <c r="B55" t="s">
        <v>571</v>
      </c>
      <c r="C55" t="s">
        <v>716</v>
      </c>
      <c r="D55" s="2" t="str">
        <f t="shared" si="5"/>
        <v>HBM876.WSJF.893</v>
      </c>
      <c r="E55" t="s">
        <v>726</v>
      </c>
      <c r="F55" t="s">
        <v>583</v>
      </c>
      <c r="G55" t="s">
        <v>20</v>
      </c>
      <c r="H55" t="s">
        <v>21</v>
      </c>
      <c r="I55" t="s">
        <v>22</v>
      </c>
      <c r="J55" s="2" t="b">
        <v>0</v>
      </c>
      <c r="K55" s="2" t="s">
        <v>187</v>
      </c>
      <c r="L55" t="s">
        <v>77</v>
      </c>
      <c r="M55" t="s">
        <v>183</v>
      </c>
      <c r="N55" t="s">
        <v>184</v>
      </c>
      <c r="O55" t="s">
        <v>169</v>
      </c>
      <c r="P55" s="3">
        <v>45853.674832430559</v>
      </c>
      <c r="Q55" s="3">
        <v>45853.674832430559</v>
      </c>
    </row>
    <row r="56" spans="1:17" x14ac:dyDescent="0.2">
      <c r="A56" s="2" t="str">
        <f>HYPERLINK("https://portal.hubmapconsortium.org/browse/sample/32c809bc9e06a346dafcc9adbb484960", "HBM722.RMWV.297")</f>
        <v>HBM722.RMWV.297</v>
      </c>
      <c r="B56" t="s">
        <v>571</v>
      </c>
      <c r="C56" t="s">
        <v>716</v>
      </c>
      <c r="D56" s="2" t="str">
        <f t="shared" si="5"/>
        <v>HBM876.WSJF.893</v>
      </c>
      <c r="E56" t="s">
        <v>729</v>
      </c>
      <c r="F56" t="s">
        <v>583</v>
      </c>
      <c r="G56" t="s">
        <v>20</v>
      </c>
      <c r="H56" t="s">
        <v>21</v>
      </c>
      <c r="I56" t="s">
        <v>22</v>
      </c>
      <c r="J56" s="2" t="b">
        <v>0</v>
      </c>
      <c r="K56" s="2" t="s">
        <v>187</v>
      </c>
      <c r="L56" t="s">
        <v>77</v>
      </c>
      <c r="M56" t="s">
        <v>183</v>
      </c>
      <c r="N56" t="s">
        <v>184</v>
      </c>
      <c r="O56" t="s">
        <v>169</v>
      </c>
      <c r="P56" s="3">
        <v>45835.580079629632</v>
      </c>
      <c r="Q56" s="3">
        <v>45835.580079629632</v>
      </c>
    </row>
    <row r="57" spans="1:17" x14ac:dyDescent="0.2">
      <c r="A57" s="2" t="str">
        <f>HYPERLINK("https://portal.hubmapconsortium.org/browse/sample/8fce5608fc928b433768ae6bc15d2dfe", "HBM353.XZVK.286")</f>
        <v>HBM353.XZVK.286</v>
      </c>
      <c r="B57" t="s">
        <v>571</v>
      </c>
      <c r="C57" t="s">
        <v>716</v>
      </c>
      <c r="D57" s="2" t="str">
        <f t="shared" si="5"/>
        <v>HBM876.WSJF.893</v>
      </c>
      <c r="E57" t="s">
        <v>731</v>
      </c>
      <c r="F57" t="s">
        <v>583</v>
      </c>
      <c r="G57" t="s">
        <v>20</v>
      </c>
      <c r="H57" t="s">
        <v>21</v>
      </c>
      <c r="I57" t="s">
        <v>22</v>
      </c>
      <c r="J57" s="2" t="b">
        <v>0</v>
      </c>
      <c r="K57" s="2" t="s">
        <v>187</v>
      </c>
      <c r="L57" t="s">
        <v>77</v>
      </c>
      <c r="M57" t="s">
        <v>183</v>
      </c>
      <c r="N57" t="s">
        <v>184</v>
      </c>
      <c r="O57" t="s">
        <v>169</v>
      </c>
      <c r="P57" s="3">
        <v>45835.580099780091</v>
      </c>
      <c r="Q57" s="3">
        <v>45835.580099780091</v>
      </c>
    </row>
    <row r="58" spans="1:17" x14ac:dyDescent="0.2">
      <c r="A58" s="2" t="str">
        <f>HYPERLINK("https://portal.hubmapconsortium.org/browse/sample/a6f2cd3f447e53894328bc846278d198", "HBM835.DGHR.736")</f>
        <v>HBM835.DGHR.736</v>
      </c>
      <c r="B58" t="s">
        <v>571</v>
      </c>
      <c r="C58" t="s">
        <v>716</v>
      </c>
      <c r="D58" s="2" t="str">
        <f t="shared" si="5"/>
        <v>HBM876.WSJF.893</v>
      </c>
      <c r="E58" t="s">
        <v>738</v>
      </c>
      <c r="F58" t="s">
        <v>739</v>
      </c>
      <c r="G58" t="s">
        <v>20</v>
      </c>
      <c r="H58" t="s">
        <v>21</v>
      </c>
      <c r="I58" t="s">
        <v>22</v>
      </c>
      <c r="J58" s="2" t="b">
        <v>0</v>
      </c>
      <c r="K58" s="2" t="s">
        <v>187</v>
      </c>
      <c r="L58" t="s">
        <v>77</v>
      </c>
      <c r="M58" t="s">
        <v>183</v>
      </c>
      <c r="N58" t="s">
        <v>184</v>
      </c>
      <c r="O58" t="s">
        <v>169</v>
      </c>
      <c r="P58" s="3">
        <v>45853.663203807868</v>
      </c>
      <c r="Q58" s="3">
        <v>45853.663203807868</v>
      </c>
    </row>
    <row r="59" spans="1:17" x14ac:dyDescent="0.2">
      <c r="A59" s="2" t="str">
        <f>HYPERLINK("https://portal.hubmapconsortium.org/browse/sample/3ad9fa2f2b1254116bfe4e2747843a30", "HBM538.RPNV.965")</f>
        <v>HBM538.RPNV.965</v>
      </c>
      <c r="B59" t="s">
        <v>571</v>
      </c>
      <c r="C59" t="s">
        <v>716</v>
      </c>
      <c r="D59" s="2" t="str">
        <f t="shared" si="5"/>
        <v>HBM876.WSJF.893</v>
      </c>
      <c r="E59" t="s">
        <v>741</v>
      </c>
      <c r="F59" t="s">
        <v>583</v>
      </c>
      <c r="G59" t="s">
        <v>20</v>
      </c>
      <c r="H59" t="s">
        <v>21</v>
      </c>
      <c r="I59" t="s">
        <v>22</v>
      </c>
      <c r="J59" s="2" t="b">
        <v>0</v>
      </c>
      <c r="K59" s="2" t="s">
        <v>187</v>
      </c>
      <c r="L59" t="s">
        <v>77</v>
      </c>
      <c r="M59" t="s">
        <v>183</v>
      </c>
      <c r="N59" t="s">
        <v>184</v>
      </c>
      <c r="O59" t="s">
        <v>169</v>
      </c>
      <c r="P59" s="3">
        <v>45848.879079918981</v>
      </c>
      <c r="Q59" s="3">
        <v>45848.879079918981</v>
      </c>
    </row>
    <row r="60" spans="1:17" x14ac:dyDescent="0.2">
      <c r="A60" s="2" t="str">
        <f>HYPERLINK("https://portal.hubmapconsortium.org/browse/sample/dc7ea37cf98fabef4e257ffe99132eb9", "HBM377.ZTGD.332")</f>
        <v>HBM377.ZTGD.332</v>
      </c>
      <c r="B60" t="s">
        <v>571</v>
      </c>
      <c r="C60" t="s">
        <v>716</v>
      </c>
      <c r="D60" s="2" t="str">
        <f t="shared" si="5"/>
        <v>HBM876.WSJF.893</v>
      </c>
      <c r="E60" t="s">
        <v>743</v>
      </c>
      <c r="F60" t="s">
        <v>583</v>
      </c>
      <c r="G60" t="s">
        <v>20</v>
      </c>
      <c r="H60" t="s">
        <v>21</v>
      </c>
      <c r="I60" t="s">
        <v>22</v>
      </c>
      <c r="J60" s="2" t="b">
        <v>0</v>
      </c>
      <c r="K60" s="2" t="s">
        <v>187</v>
      </c>
      <c r="L60" t="s">
        <v>77</v>
      </c>
      <c r="M60" t="s">
        <v>183</v>
      </c>
      <c r="N60" t="s">
        <v>184</v>
      </c>
      <c r="O60" t="s">
        <v>169</v>
      </c>
      <c r="P60" s="3">
        <v>45853.674920949074</v>
      </c>
      <c r="Q60" s="3">
        <v>45853.674920949074</v>
      </c>
    </row>
    <row r="61" spans="1:17" x14ac:dyDescent="0.2">
      <c r="A61" s="2" t="str">
        <f>HYPERLINK("https://portal.hubmapconsortium.org/browse/sample/97ea169270708e7446dc32231e41de10", "HBM942.TJTH.934")</f>
        <v>HBM942.TJTH.934</v>
      </c>
      <c r="B61" t="s">
        <v>571</v>
      </c>
      <c r="C61" t="s">
        <v>716</v>
      </c>
      <c r="D61" s="2" t="str">
        <f t="shared" si="5"/>
        <v>HBM876.WSJF.893</v>
      </c>
      <c r="E61" t="s">
        <v>745</v>
      </c>
      <c r="F61" t="s">
        <v>739</v>
      </c>
      <c r="G61" t="s">
        <v>20</v>
      </c>
      <c r="H61" t="s">
        <v>21</v>
      </c>
      <c r="I61" t="s">
        <v>22</v>
      </c>
      <c r="J61" s="2" t="b">
        <v>0</v>
      </c>
      <c r="K61" s="2" t="s">
        <v>187</v>
      </c>
      <c r="L61" t="s">
        <v>77</v>
      </c>
      <c r="M61" t="s">
        <v>183</v>
      </c>
      <c r="N61" t="s">
        <v>184</v>
      </c>
      <c r="O61" t="s">
        <v>169</v>
      </c>
      <c r="P61" s="3">
        <v>45853.674950624998</v>
      </c>
      <c r="Q61" s="3">
        <v>45853.674950624998</v>
      </c>
    </row>
  </sheetData>
  <hyperlinks>
    <hyperlink ref="K2" r:id="rId1" xr:uid="{CF4860B7-7F51-8C47-8739-FFC125993E56}"/>
    <hyperlink ref="K3" r:id="rId2" xr:uid="{0FE3B812-1ED2-7A40-8917-424F8EBD3FD4}"/>
    <hyperlink ref="K4" r:id="rId3" xr:uid="{7C0187A7-8093-464B-B8A2-F978CFE52FE3}"/>
    <hyperlink ref="K5" r:id="rId4" xr:uid="{ACE07814-DCAB-9343-8D89-9CADC7921A16}"/>
    <hyperlink ref="K6" r:id="rId5" xr:uid="{721FB9A3-DC51-344F-A2A3-13F8E3AA88FD}"/>
    <hyperlink ref="K7" r:id="rId6" xr:uid="{3AFC48BB-7D36-E449-9D2C-BEACCC2967EF}"/>
    <hyperlink ref="K8" r:id="rId7" xr:uid="{6AAAA0CC-D67B-FB4D-B476-768D5D4D2301}"/>
    <hyperlink ref="K9" r:id="rId8" xr:uid="{8E0800BF-6BA9-4746-BC91-0B9A36360ACA}"/>
    <hyperlink ref="K10" r:id="rId9" xr:uid="{CFAB85A6-5604-CC4B-BFAD-39229ECF6C34}"/>
    <hyperlink ref="K11" r:id="rId10" xr:uid="{50B81FBD-F11B-9446-A43F-BEB677626DA8}"/>
    <hyperlink ref="K12" r:id="rId11" xr:uid="{BBB79444-4678-B44C-B93A-432756AA1485}"/>
    <hyperlink ref="K13" r:id="rId12" xr:uid="{16FC15EA-E564-274D-BF62-8DF418B95FE5}"/>
    <hyperlink ref="K14" r:id="rId13" xr:uid="{7695CE7B-2252-D74C-9CF9-EEC2FE204D5D}"/>
    <hyperlink ref="K15" r:id="rId14" xr:uid="{DE1F221A-77E9-F845-A9F5-CB34385339BA}"/>
    <hyperlink ref="K16" r:id="rId15" xr:uid="{4619B051-6CDE-E440-B704-003501398000}"/>
    <hyperlink ref="K17" r:id="rId16" xr:uid="{F0DF6CFA-1070-5E43-A17A-5277ABE8F10B}"/>
    <hyperlink ref="K18" r:id="rId17" xr:uid="{2644B78A-9C47-CE42-BB81-6ACF7A00B225}"/>
    <hyperlink ref="K19" r:id="rId18" xr:uid="{62BE81A9-3100-2E47-A61A-FD8CDFB2D212}"/>
    <hyperlink ref="K20" r:id="rId19" xr:uid="{091EEC20-A150-6640-9ADB-8DE3E0BAF768}"/>
    <hyperlink ref="K21" r:id="rId20" xr:uid="{6CA4E292-7E70-A743-BE71-11D60C17D470}"/>
    <hyperlink ref="K22" r:id="rId21" xr:uid="{224AFB4A-A82B-AE47-A40C-07A8533F7547}"/>
    <hyperlink ref="K23" r:id="rId22" xr:uid="{5AF99457-DAFC-BD42-9DFE-1A3FF8A79E83}"/>
    <hyperlink ref="K24" r:id="rId23" xr:uid="{8CEB5690-8EFE-A640-9BFA-7629908886D7}"/>
    <hyperlink ref="K25" r:id="rId24" xr:uid="{288F714E-D4FB-D94D-9B58-7FC100E0FDFE}"/>
    <hyperlink ref="K26" r:id="rId25" xr:uid="{6E8ECD83-5607-D648-9DD0-8F3DF282EC30}"/>
    <hyperlink ref="K27" r:id="rId26" xr:uid="{AC989B6D-063A-044C-9F35-000858D6F1A3}"/>
    <hyperlink ref="K28" r:id="rId27" xr:uid="{65D3E8CE-2DD5-0C4A-B093-C519FA459E44}"/>
    <hyperlink ref="K29" r:id="rId28" xr:uid="{4594BAE6-93F3-9A47-B660-4CCBD067BE11}"/>
    <hyperlink ref="K30" r:id="rId29" xr:uid="{DDB50BE3-C178-1A4C-891A-AF433A6B8652}"/>
    <hyperlink ref="K31" r:id="rId30" xr:uid="{5042F991-F864-AE43-BB41-6D4D90589CFE}"/>
    <hyperlink ref="K32" r:id="rId31" xr:uid="{6CED419F-1D2B-8045-814B-16417EE17A33}"/>
    <hyperlink ref="K33" r:id="rId32" xr:uid="{EE8E6E9C-47CE-654A-911C-E132CC63738E}"/>
    <hyperlink ref="K34" r:id="rId33" xr:uid="{21A7F2E7-D874-B14C-B84F-117D92775003}"/>
    <hyperlink ref="K35" r:id="rId34" xr:uid="{46AD4EB8-743A-E44E-96B4-39C3A9663A58}"/>
    <hyperlink ref="K36" r:id="rId35" xr:uid="{16B44236-12C7-4D41-808B-911727877325}"/>
    <hyperlink ref="K37" r:id="rId36" xr:uid="{6D73EE51-58D4-3C4E-8BA8-A0A5695DEB14}"/>
    <hyperlink ref="K38" r:id="rId37" xr:uid="{55E8CB0B-429D-3F44-BF2D-06BFA5DE7B7A}"/>
    <hyperlink ref="K39" r:id="rId38" xr:uid="{D3FCF1E1-6343-CC44-984C-29F6321C9F1B}"/>
    <hyperlink ref="K40" r:id="rId39" xr:uid="{4C14564B-08B6-CE40-8090-CDA2D3A40379}"/>
    <hyperlink ref="K41" r:id="rId40" xr:uid="{1FCFB4AD-9817-9E4E-899E-6565D24E8F44}"/>
    <hyperlink ref="K42" r:id="rId41" xr:uid="{EF6F861C-8666-AB47-860C-126DF682438D}"/>
    <hyperlink ref="K43" r:id="rId42" xr:uid="{B5578CE6-A510-2A4F-80EB-9489106C7526}"/>
    <hyperlink ref="K44" r:id="rId43" xr:uid="{0501CAED-677E-0C40-A2A6-7D394A20D256}"/>
    <hyperlink ref="K45" r:id="rId44" xr:uid="{391A62D3-6455-9943-A434-7B45FB7994F7}"/>
    <hyperlink ref="K46" r:id="rId45" xr:uid="{5D05F979-B815-6549-91D6-8FB8F260CDEF}"/>
    <hyperlink ref="K47" r:id="rId46" xr:uid="{B8682CEF-A6F0-6B4C-8F99-7B4AFAC9113C}"/>
    <hyperlink ref="K48" r:id="rId47" xr:uid="{90C50DD8-4723-6344-AEDF-0E10BD5FC286}"/>
    <hyperlink ref="K49" r:id="rId48" xr:uid="{E429950C-0986-0945-81CF-0198B5441DF1}"/>
    <hyperlink ref="K50" r:id="rId49" xr:uid="{594EE45B-E1DD-EE49-8F50-FFF6C7089044}"/>
    <hyperlink ref="K51" r:id="rId50" xr:uid="{FCBF0214-F774-8547-9F9E-8AE9B79CB304}"/>
    <hyperlink ref="K52" r:id="rId51" xr:uid="{46A1C0C1-5794-2042-9F2B-73FF84060E1B}"/>
    <hyperlink ref="K53" r:id="rId52" xr:uid="{449F9D11-ED08-224D-BDFB-1F90F2273E5D}"/>
    <hyperlink ref="K54" r:id="rId53" xr:uid="{FC3FC1C5-69B5-9D42-8DF6-D2B8119BEFBD}"/>
    <hyperlink ref="K55" r:id="rId54" xr:uid="{F34879CE-4809-984B-AED4-3C7BA127D1B1}"/>
    <hyperlink ref="K56" r:id="rId55" xr:uid="{2911D27F-E9C3-974F-A185-5080498DC06D}"/>
    <hyperlink ref="K57" r:id="rId56" xr:uid="{315399C7-594B-0344-BEF1-370C4B2D2C7E}"/>
    <hyperlink ref="K58" r:id="rId57" xr:uid="{931F43BD-FC85-4F4D-9A5C-3E27230DAF6B}"/>
    <hyperlink ref="K59" r:id="rId58" xr:uid="{1581BBEA-F231-324A-A819-F78606722A62}"/>
    <hyperlink ref="K60" r:id="rId59" xr:uid="{10340016-3203-CA47-A78A-938CCD33A298}"/>
    <hyperlink ref="K61" r:id="rId60" xr:uid="{DB175890-0698-3943-A3C4-C5245CCB6F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Lobes</vt:lpstr>
      <vt:lpstr>Slices</vt:lpstr>
      <vt:lpstr>Non-terminal bronchus &amp; artery</vt:lpstr>
      <vt:lpstr>Blocks</vt:lpstr>
      <vt:lpstr>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Watts, Andrew</dc:creator>
  <cp:lastModifiedBy>Pryhuber, Gloria</cp:lastModifiedBy>
  <dcterms:created xsi:type="dcterms:W3CDTF">2025-10-13T15:18:13Z</dcterms:created>
  <dcterms:modified xsi:type="dcterms:W3CDTF">2025-11-18T05:26:43Z</dcterms:modified>
</cp:coreProperties>
</file>